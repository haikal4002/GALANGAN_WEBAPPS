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ry LAP JULI" sheetId="1" r:id="rId5"/>
    <sheet state="visible" name="MASTER STOCK" sheetId="2" r:id="rId6"/>
    <sheet state="visible" name="JULI 25" sheetId="3" r:id="rId7"/>
    <sheet state="visible" name="AGS 25" sheetId="4" r:id="rId8"/>
    <sheet state="visible" name="SEP 25" sheetId="5" r:id="rId9"/>
    <sheet state="visible" name="OKT 25" sheetId="6" r:id="rId10"/>
    <sheet state="visible" name="NOV 25" sheetId="7" r:id="rId11"/>
    <sheet state="visible" name="DES 25" sheetId="8" r:id="rId12"/>
    <sheet state="visible" name="JAN 26" sheetId="9" r:id="rId13"/>
    <sheet state="visible" name="LAP CASH FLOW" sheetId="10" r:id="rId14"/>
    <sheet state="visible" name="LAINNYA" sheetId="11" r:id="rId15"/>
  </sheets>
  <definedNames/>
  <calcPr/>
</workbook>
</file>

<file path=xl/sharedStrings.xml><?xml version="1.0" encoding="utf-8"?>
<sst xmlns="http://schemas.openxmlformats.org/spreadsheetml/2006/main" count="1232" uniqueCount="643">
  <si>
    <t>LAPORAN PENJUALAN BULANAN</t>
  </si>
  <si>
    <t>NAMA BARANG</t>
  </si>
  <si>
    <t>STOK AWAL</t>
  </si>
  <si>
    <t>TOTAL</t>
  </si>
  <si>
    <t>STOCK</t>
  </si>
  <si>
    <t>SYSTEM</t>
  </si>
  <si>
    <t>KET/SELISIH</t>
  </si>
  <si>
    <t>HARGA BELI</t>
  </si>
  <si>
    <t>HARGA JUAL</t>
  </si>
  <si>
    <t>OMSET</t>
  </si>
  <si>
    <t>PROFIT</t>
  </si>
  <si>
    <t>NO</t>
  </si>
  <si>
    <t>TANGGAL</t>
  </si>
  <si>
    <t>KODE BARANG</t>
  </si>
  <si>
    <t>KATEGORI</t>
  </si>
  <si>
    <t>NOMOR RESI</t>
  </si>
  <si>
    <t>QTY</t>
  </si>
  <si>
    <t xml:space="preserve">HARGA BELI </t>
  </si>
  <si>
    <t>NOMINAL</t>
  </si>
  <si>
    <t>MARGIN</t>
  </si>
  <si>
    <t>HARGA ATAS</t>
  </si>
  <si>
    <t>HARGA BAWAH</t>
  </si>
  <si>
    <t>SUPPLIER</t>
  </si>
  <si>
    <t>STATUS</t>
  </si>
  <si>
    <t>STATUS BARANG</t>
  </si>
  <si>
    <t>JATUH TEMPO</t>
  </si>
  <si>
    <t>QTY KULAK</t>
  </si>
  <si>
    <t>250709NWY3UCWW</t>
  </si>
  <si>
    <t>Fitting Gantung</t>
  </si>
  <si>
    <t>Toko A8 (SHOPEE)</t>
  </si>
  <si>
    <t>LUNAS</t>
  </si>
  <si>
    <t xml:space="preserve">Colokan T </t>
  </si>
  <si>
    <t>Steker Bulat</t>
  </si>
  <si>
    <t>Steker Gepeng</t>
  </si>
  <si>
    <t>Saklar Gantung Putih jumbo</t>
  </si>
  <si>
    <t>Saklar Gantung Hitam</t>
  </si>
  <si>
    <t>250709NWY3UCWX</t>
  </si>
  <si>
    <t>Isolasi Hitam National</t>
  </si>
  <si>
    <t>ksam_uuwyn (SHOPEE)</t>
  </si>
  <si>
    <t>250709NXRSWD52</t>
  </si>
  <si>
    <t>Lem PVC Isarplas 40gram</t>
  </si>
  <si>
    <t>Arvella (SHOPEE)</t>
  </si>
  <si>
    <t>579559980040946979</t>
  </si>
  <si>
    <t xml:space="preserve">Isolasi Kran air onda </t>
  </si>
  <si>
    <t>Cakra Tools (TOKOPEDIA)</t>
  </si>
  <si>
    <t>579669984986359075</t>
  </si>
  <si>
    <t>Tutup Pipa 3/4"</t>
  </si>
  <si>
    <t>PionTools Sby (TOKOPEDIA)</t>
  </si>
  <si>
    <t>579560031901418787</t>
  </si>
  <si>
    <t>Fitting lampu gantung outdoor (10 m 5 fitting)</t>
  </si>
  <si>
    <t>Msizg shop (TOKOPEDIA)</t>
  </si>
  <si>
    <t>579560282645497123</t>
  </si>
  <si>
    <t>Obeng karet 4" plus</t>
  </si>
  <si>
    <t>TripleWayElektrik (TOKOPEDIA)</t>
  </si>
  <si>
    <t>Obeng karet 4" minus</t>
  </si>
  <si>
    <t>Obeng karet 6" plus</t>
  </si>
  <si>
    <t>Obeng karet 6" Minus</t>
  </si>
  <si>
    <t>579560388730455331</t>
  </si>
  <si>
    <t>Kabel Awg 24 Double 2x18 merah hitam</t>
  </si>
  <si>
    <t>manse.strore (TOKOPEDIA)</t>
  </si>
  <si>
    <t>579560388730127651</t>
  </si>
  <si>
    <t>Kabel bintik serabut tembaga motor mobil 20mx0.5mm/0,85mm merah 0,5mm</t>
  </si>
  <si>
    <t>GLOBAL LED MOTORINDO (TOKOPEDIA)</t>
  </si>
  <si>
    <t>Kabel bintik serabut tembaga motor mobil 20mx0.5mm/0,85mm hitam 0,5mm</t>
  </si>
  <si>
    <t>Mata Gerinda keramik 4 inch kering</t>
  </si>
  <si>
    <t>Kabel tunggal serabut 0.8mmx25m biru 25m</t>
  </si>
  <si>
    <t>Bintang Terang Listrik (TOKOPEDIA)</t>
  </si>
  <si>
    <t>Kabel tunggal serabut 0.8mmx25m Hitam 25m</t>
  </si>
  <si>
    <t xml:space="preserve">Lampu Hias LED strip USB 10m+adaptor </t>
  </si>
  <si>
    <t>Lampu LED strip outdoor rainbow 10m +adaptor</t>
  </si>
  <si>
    <t>Lampu LED strip outdoor merah putih 10m +adaptor</t>
  </si>
  <si>
    <t>Lampu tumbler 10m (rainbow)</t>
  </si>
  <si>
    <t>250709NYQK3BEY</t>
  </si>
  <si>
    <t>WD Gerinda potong besi</t>
  </si>
  <si>
    <t>Artha Tirta Bangunan (SHOPEE)</t>
  </si>
  <si>
    <t>Meteran karet 7,5m (merk HPP)</t>
  </si>
  <si>
    <t>Meteran karet 5m (merk VPR)</t>
  </si>
  <si>
    <t>Kuas cat 2 1/2" (merk MDN)</t>
  </si>
  <si>
    <t>Kuas cat 2" (merk MDN)</t>
  </si>
  <si>
    <t>Kuas cat 3" (merk MDN)</t>
  </si>
  <si>
    <t>Kuas cat 1 1/2" (merk MDN)</t>
  </si>
  <si>
    <t>Kuas cat 1" (merk MDN)</t>
  </si>
  <si>
    <t>250709P0689QTR</t>
  </si>
  <si>
    <t>Kran PVC Tembok 3/4"</t>
  </si>
  <si>
    <r>
      <rPr>
        <color rgb="FF1155CC"/>
        <u/>
      </rPr>
      <t>LARIS.CO</t>
    </r>
    <r>
      <rPr/>
      <t>*</t>
    </r>
  </si>
  <si>
    <t>Kran PVC Tembok 1/2"</t>
  </si>
  <si>
    <r>
      <rPr>
        <color rgb="FF1155CC"/>
        <u/>
      </rPr>
      <t>LARIS.CO</t>
    </r>
    <r>
      <rPr/>
      <t>*</t>
    </r>
  </si>
  <si>
    <t>579563506087200035</t>
  </si>
  <si>
    <t>Lampu bohlam inlite 5w Putih</t>
  </si>
  <si>
    <t>GLOBAL PERKASA INDAH (TOKOPEDIA)</t>
  </si>
  <si>
    <t>Lampu bohlam inlite 7w Putih</t>
  </si>
  <si>
    <t>Lampu bohlam inlite 15w Putih</t>
  </si>
  <si>
    <t>Lampu bohlam inlite 12w Putih</t>
  </si>
  <si>
    <t>579563433831597347</t>
  </si>
  <si>
    <t>Lampu tintin platinum LED 9w</t>
  </si>
  <si>
    <t>Sie Ibin Store (TOKOPEDIA)</t>
  </si>
  <si>
    <t>Lampu tintin platinum LED 5w</t>
  </si>
  <si>
    <t>Lampu tintin platinum LED 21w</t>
  </si>
  <si>
    <t>Lampu tintin platinum LED 15w</t>
  </si>
  <si>
    <t>Lampu tintin platinum LED 12w</t>
  </si>
  <si>
    <t>Lampu tintin platinum LED 7w</t>
  </si>
  <si>
    <t xml:space="preserve">Gergaji kayu (POPEYE) 18 inch </t>
  </si>
  <si>
    <t>BocahDH (TOKOPEDIA)</t>
  </si>
  <si>
    <t>579563300860822819</t>
  </si>
  <si>
    <t>Kapi plamir plastik PVC 9" (23cm)</t>
  </si>
  <si>
    <t>S-Logam Teknik (TOKOPEDIA)</t>
  </si>
  <si>
    <t>Kapi plamir plastik PVC 5" (12cm)</t>
  </si>
  <si>
    <t>Kapi plamir plastik PVC 7" (18cm)</t>
  </si>
  <si>
    <t>579563324108670243</t>
  </si>
  <si>
    <t>Tang Kombinasi karet 8"</t>
  </si>
  <si>
    <t>Nika Tools (TOKOPEDIA)</t>
  </si>
  <si>
    <t>579563324109063459</t>
  </si>
  <si>
    <t>Tang Kombinasi 8"</t>
  </si>
  <si>
    <t>Verona Tools (TOKOPEDIA)</t>
  </si>
  <si>
    <t>579562774312224035</t>
  </si>
  <si>
    <t xml:space="preserve">Stop Kontak Hitam 3L 5M </t>
  </si>
  <si>
    <t>Twins88listrik (TOKOPEDIA)</t>
  </si>
  <si>
    <t xml:space="preserve">Stop Kontak Hitam 4L 5M </t>
  </si>
  <si>
    <t xml:space="preserve">Stop Kontak Hitam 5L 5M </t>
  </si>
  <si>
    <t xml:space="preserve">Stop Kontak Hitam 2L 5M </t>
  </si>
  <si>
    <t>579563692998231331</t>
  </si>
  <si>
    <t>Palu Konde besi cor gagang kayu ukuran 1LB</t>
  </si>
  <si>
    <t>GOnBAY Store (TOKOPEDIA)</t>
  </si>
  <si>
    <t>579563713467352355</t>
  </si>
  <si>
    <t>Lem kuning 100gr</t>
  </si>
  <si>
    <t>Sahabat DMP_NEW (TOKOPEDIA)</t>
  </si>
  <si>
    <t>579563713467745571</t>
  </si>
  <si>
    <t>Lem aica aibon kuning 125gr</t>
  </si>
  <si>
    <t>CV ANUGRAH ABADI NUSANTARA (TOKOPEDIA)</t>
  </si>
  <si>
    <t>Kuas 4" incco</t>
  </si>
  <si>
    <t>DIY</t>
  </si>
  <si>
    <t>Meteran Autostop Wilmer 5m*19mm</t>
  </si>
  <si>
    <t>Precision S/Driver Obeng 6S DIY</t>
  </si>
  <si>
    <t>Blades / Isi Cutter Besar DIY</t>
  </si>
  <si>
    <t>Blades / Isi Cutter Kecil DIY</t>
  </si>
  <si>
    <t>Screwdriver  / Obeng 4" isi 2 DIY</t>
  </si>
  <si>
    <t>Test Pen DIY</t>
  </si>
  <si>
    <t>Door Bolt / Selot Pintu DIY 4"</t>
  </si>
  <si>
    <t>Door Bolt / Selot Pintu DIY 3"</t>
  </si>
  <si>
    <t>Kuas 2" incco</t>
  </si>
  <si>
    <t xml:space="preserve">Kuas 1" incco </t>
  </si>
  <si>
    <t>Kapi Plastik Kuning DIY</t>
  </si>
  <si>
    <t>579563816346092835</t>
  </si>
  <si>
    <t>Kabel Ties 3.6x300mm (85 gram) isi 100 pcs</t>
  </si>
  <si>
    <t>Hanzcell (TOKOPEDIA)</t>
  </si>
  <si>
    <t>Kabel Ties 3.6x150mm (60 gram) isi 100 pcs</t>
  </si>
  <si>
    <t>Kabel Ties 2.5x200mm (50 gram) isi 100 pcs</t>
  </si>
  <si>
    <t>Kabel Ties 2.5x100mm (50 gram) isi 100 pcs</t>
  </si>
  <si>
    <t>Kabel Ties 2.5x150mm (50 gram) isi 100 pcs</t>
  </si>
  <si>
    <t>Kabel Ties 3.6x250mm (80 gram) isi 100 pcs</t>
  </si>
  <si>
    <t>Kabel Ties 4.8x200mm (85 gram) isi 100 pcs</t>
  </si>
  <si>
    <t>Kabel Ties 3.6x150mm (70 gram) isi 100 pcs</t>
  </si>
  <si>
    <t>Kabel Ties 3.6x250mm (70 gram) isi 100 pcs</t>
  </si>
  <si>
    <t>579563965982803235</t>
  </si>
  <si>
    <t>Kabel Transparan 2x30 90M full serabut per roll 2line</t>
  </si>
  <si>
    <t>SafetyAbadiStore (TOKOPEDIA)</t>
  </si>
  <si>
    <t>Kabel Transparan 2x80 90M full serabut per roll 2line</t>
  </si>
  <si>
    <t>Kabel Transparan 2x50 90M full serabut per roll 2line</t>
  </si>
  <si>
    <t>579564048213640483</t>
  </si>
  <si>
    <t>Solder listrik gagang kayu 60watt</t>
  </si>
  <si>
    <t>Zidan Electric (TOKOPEDIA)</t>
  </si>
  <si>
    <t>579564079325349155</t>
  </si>
  <si>
    <t>Timah gulung solder tenol elektrik</t>
  </si>
  <si>
    <t>Emperor Raja Biled (TOKOPEDIA)</t>
  </si>
  <si>
    <t>579569423540978979</t>
  </si>
  <si>
    <t>Solasi lakban coklat</t>
  </si>
  <si>
    <t>SNW JAYA (TOKOPEDIA)</t>
  </si>
  <si>
    <t>579569423541568803</t>
  </si>
  <si>
    <t>Spidol Kecil snowman Hitam</t>
  </si>
  <si>
    <t>Leony Indonesia (TOKOPEDIA)</t>
  </si>
  <si>
    <t>Spidol Kecil snowman Merah</t>
  </si>
  <si>
    <t>579569423541437731</t>
  </si>
  <si>
    <t>isolasi Lakban Packing bening</t>
  </si>
  <si>
    <t>HEMAT PEKING_NEW (TOKOPEDIA)</t>
  </si>
  <si>
    <t>250709PHE78DE0</t>
  </si>
  <si>
    <t>Tali tampar/ Tali tukang</t>
  </si>
  <si>
    <t>Yuanapurnomo (SHOPEE)</t>
  </si>
  <si>
    <t>25071207CHG44T</t>
  </si>
  <si>
    <t>Keranjang serbaguna</t>
  </si>
  <si>
    <t>Yani_Store123 (SHOPEE)</t>
  </si>
  <si>
    <t>SI.2025.0716.00049</t>
  </si>
  <si>
    <t>Paku (Nail 2000) 1 1/2"</t>
  </si>
  <si>
    <t>Sumber Abadi (Graha SA)</t>
  </si>
  <si>
    <t>Paku (Nail 2000) 2 1/2"</t>
  </si>
  <si>
    <t>Paku (Nail 2000) 3"</t>
  </si>
  <si>
    <t>SI.2025.0723.00037</t>
  </si>
  <si>
    <t>Paku (Nail 2000) 1"</t>
  </si>
  <si>
    <t>Paku (Nail 20000 1 3/4"</t>
  </si>
  <si>
    <t>Paku (Nail 2000) 2"</t>
  </si>
  <si>
    <t>Besi Beton 6mm SNI (U)</t>
  </si>
  <si>
    <t>Besi Beton 8mm SNI (U)</t>
  </si>
  <si>
    <t>Besi Beton 10mm SNI (U)</t>
  </si>
  <si>
    <t>Hollow G Tube 20x40x0.4</t>
  </si>
  <si>
    <t>Hollow G Tube 40x40x0.4</t>
  </si>
  <si>
    <t>Reng Galvalum Kenana 0.45 (M)</t>
  </si>
  <si>
    <t>C Truss Kencana 75x0.85 (0.75) MM</t>
  </si>
  <si>
    <t>KAYU BALOK 4X6X4</t>
  </si>
  <si>
    <t>KAYU BALOK 3X5X4</t>
  </si>
  <si>
    <t>KAYU BALOK 2X3X4</t>
  </si>
  <si>
    <t xml:space="preserve">CANGKUL </t>
  </si>
  <si>
    <t>Gofarm Store31</t>
  </si>
  <si>
    <t>SEKOP PASIR</t>
  </si>
  <si>
    <t>Mas Oke21</t>
  </si>
  <si>
    <t>Baut Drilling Galvalum Baja Ringan 100
Pcs Per Plastik - WL 12x50 100Pcs</t>
  </si>
  <si>
    <t>Maxima Jaya</t>
  </si>
  <si>
    <t>Baut Drilling Galvalum Baja Ringan 100
Pcs Per Plastik - WL 12x60 100Pcs</t>
  </si>
  <si>
    <t>Baut Drilling Galvalum Baja Ringan 100
Pcs Per Plastik - WL 12x30 100Pcs</t>
  </si>
  <si>
    <t>Baut Drilling Galvalum Baja Ringan 100
Pcs Per Plastik - WL 12x40 100Pcs</t>
  </si>
  <si>
    <t>Baut Drilling Galvalum Baja Ringan 100
Pcs Per Plastik - WL 12x20 100Pcs</t>
  </si>
  <si>
    <t>Batu Kumbung</t>
  </si>
  <si>
    <t>Triplek 8m sengon</t>
  </si>
  <si>
    <t>Rejeki Triplek</t>
  </si>
  <si>
    <t>Triplek 6m sengon</t>
  </si>
  <si>
    <t>Triplek 3m sengon</t>
  </si>
  <si>
    <t>Semen Gresik</t>
  </si>
  <si>
    <t>TOKO LANCAR PANDAN</t>
  </si>
  <si>
    <t>Kapur</t>
  </si>
  <si>
    <t>Pasir</t>
  </si>
  <si>
    <t>5800010169776278819</t>
  </si>
  <si>
    <t>Stop kontak 1 lubang</t>
  </si>
  <si>
    <t>Stop kontak 2 lubang</t>
  </si>
  <si>
    <t>Stop kontak 3 lubang</t>
  </si>
  <si>
    <t>Stop kontak 4 lubang</t>
  </si>
  <si>
    <t>Stop kontak 5 lubang</t>
  </si>
  <si>
    <t>Baterai ABC</t>
  </si>
  <si>
    <t>Awali Store</t>
  </si>
  <si>
    <t>NAIL  PAKU PAYUNG 2"</t>
  </si>
  <si>
    <t>SA</t>
  </si>
  <si>
    <t>NAIL PAKU PAYUNG ULIR 3"</t>
  </si>
  <si>
    <t>NAIL PAKU PAYUNG ULIR 4"</t>
  </si>
  <si>
    <t xml:space="preserve">PAKU PINES </t>
  </si>
  <si>
    <t>580213108280296739</t>
  </si>
  <si>
    <t>KIKIR 3 INC</t>
  </si>
  <si>
    <t>SURYA JAYA ABADIE</t>
  </si>
  <si>
    <t>KIKIR 3.5 INC</t>
  </si>
  <si>
    <t>KIKIR 4 INC</t>
  </si>
  <si>
    <t>AVIAN 192 VERMILLION 25CC</t>
  </si>
  <si>
    <t>AVIAN SB 25CC</t>
  </si>
  <si>
    <t>AVIAN 465 MEDIUM YELLOW 25CC</t>
  </si>
  <si>
    <t>AVIAN 733 OCEAN BLUE 25CC</t>
  </si>
  <si>
    <t>AVIAN SW 25CC</t>
  </si>
  <si>
    <t>AVIAN KAYU BESI SB</t>
  </si>
  <si>
    <t>AVIAN KAYU BESI 192</t>
  </si>
  <si>
    <t>AVIAN KAYU BESI 480</t>
  </si>
  <si>
    <t>AVIAN KAYU BESI SW</t>
  </si>
  <si>
    <t>BEE BRAND KAYU BESI 126 GREEN</t>
  </si>
  <si>
    <t>BEE BRAND KAYU BESI 1019 DEL FOGLIO</t>
  </si>
  <si>
    <t>BEE BRAND KAYU BESI 115 SILVER</t>
  </si>
  <si>
    <t>PARAGON TEMBOK SW 5KG</t>
  </si>
  <si>
    <t>PARAGON TEMBOK SW 1KG</t>
  </si>
  <si>
    <t>NODROP TEMBOK ABU-ABU 602 1KG</t>
  </si>
  <si>
    <t>AVITEX TEMBOK 710 BLUE</t>
  </si>
  <si>
    <t>AVITEX TEMBOK 770 GREEN</t>
  </si>
  <si>
    <t>AVITEX TEMBOK 750 YELLOW</t>
  </si>
  <si>
    <t>AVITEX TEMBOK 831 CREAM</t>
  </si>
  <si>
    <t>AVITEX TEMBOK SB</t>
  </si>
  <si>
    <t>knee 1/2 dim</t>
  </si>
  <si>
    <t>21</t>
  </si>
  <si>
    <t>knee 3/4 dim</t>
  </si>
  <si>
    <t>8</t>
  </si>
  <si>
    <t>knee drat dalam 3/4 dim</t>
  </si>
  <si>
    <t>paku 1 1/2</t>
  </si>
  <si>
    <t>1</t>
  </si>
  <si>
    <t>paku 3/4</t>
  </si>
  <si>
    <t>t  1/2 dim</t>
  </si>
  <si>
    <t>9</t>
  </si>
  <si>
    <t>knee 1 dim</t>
  </si>
  <si>
    <t>18</t>
  </si>
  <si>
    <t>t 1/2 dim</t>
  </si>
  <si>
    <t>15</t>
  </si>
  <si>
    <t>t 1/4 dim</t>
  </si>
  <si>
    <t>5</t>
  </si>
  <si>
    <t>t 2 dim</t>
  </si>
  <si>
    <t>24</t>
  </si>
  <si>
    <t>t 3/4 dim</t>
  </si>
  <si>
    <t>11</t>
  </si>
  <si>
    <t>knee 1 1/2</t>
  </si>
  <si>
    <t>10</t>
  </si>
  <si>
    <t>t drat dalam 1/2 dim</t>
  </si>
  <si>
    <t>t drat dalam 3/4</t>
  </si>
  <si>
    <t>7</t>
  </si>
  <si>
    <t>sok darat luar 1/2</t>
  </si>
  <si>
    <t>12</t>
  </si>
  <si>
    <t>knee 1 1/4</t>
  </si>
  <si>
    <t>13</t>
  </si>
  <si>
    <t>sok drat dalam 1/2</t>
  </si>
  <si>
    <t>300</t>
  </si>
  <si>
    <t>sok 1/2</t>
  </si>
  <si>
    <t>sok 3/4</t>
  </si>
  <si>
    <t>sok 1 1/2</t>
  </si>
  <si>
    <t>sok 2</t>
  </si>
  <si>
    <t>sok 1 1/4</t>
  </si>
  <si>
    <t>17</t>
  </si>
  <si>
    <t>sok 3</t>
  </si>
  <si>
    <t>sok drat dalam 1</t>
  </si>
  <si>
    <t>sok drat dalam 3/4</t>
  </si>
  <si>
    <t>sok drat luar 3/4</t>
  </si>
  <si>
    <t>overlup 1 x 3/4</t>
  </si>
  <si>
    <t>26</t>
  </si>
  <si>
    <t>sok drat dalam 3/4 x 1/2</t>
  </si>
  <si>
    <t>6</t>
  </si>
  <si>
    <t>overlup 2 x 1</t>
  </si>
  <si>
    <t>overlup 2 x 1 1/2</t>
  </si>
  <si>
    <t>overlup 1 x 1 1/2</t>
  </si>
  <si>
    <t>overlup 2 x 2 1/2</t>
  </si>
  <si>
    <t>3</t>
  </si>
  <si>
    <t>t  3/4 x 1</t>
  </si>
  <si>
    <t>knee 2 1/2</t>
  </si>
  <si>
    <t>sok 4</t>
  </si>
  <si>
    <t>22</t>
  </si>
  <si>
    <t>sok 2 1/2</t>
  </si>
  <si>
    <t>2</t>
  </si>
  <si>
    <t>sok drat luar 2</t>
  </si>
  <si>
    <t>t 4</t>
  </si>
  <si>
    <t>t 3</t>
  </si>
  <si>
    <t>knee 4</t>
  </si>
  <si>
    <t>overlup 4 x 2 1/2</t>
  </si>
  <si>
    <t>overlup 4 x 3</t>
  </si>
  <si>
    <t>knee 3</t>
  </si>
  <si>
    <t>tutup pipa 3</t>
  </si>
  <si>
    <t>4</t>
  </si>
  <si>
    <t>tutup pipa 4</t>
  </si>
  <si>
    <t>tutup pipa 2 1/2</t>
  </si>
  <si>
    <t>tutup pipa 2</t>
  </si>
  <si>
    <t>pipa 1/2</t>
  </si>
  <si>
    <t>pipa 3/4</t>
  </si>
  <si>
    <t>pipa 5/8</t>
  </si>
  <si>
    <t>pipa 1 aw</t>
  </si>
  <si>
    <t>pipa bluefin 1 1/2</t>
  </si>
  <si>
    <t>pipa quinlon 1 1/2</t>
  </si>
  <si>
    <t>pipa bluefin 2 dim c</t>
  </si>
  <si>
    <t>pipa bluefin 2 dim d</t>
  </si>
  <si>
    <t>pipa interniti 2 dim</t>
  </si>
  <si>
    <t>pipa bluefin 2 1/2 dim c</t>
  </si>
  <si>
    <t>pipa quinlon 3 dim c</t>
  </si>
  <si>
    <t>pipa quinlon 3 dim d</t>
  </si>
  <si>
    <t>asbes 180 x 1 m</t>
  </si>
  <si>
    <t>asbes 240 x 1 m</t>
  </si>
  <si>
    <t>fiber glass</t>
  </si>
  <si>
    <t>kasiboard 2 m</t>
  </si>
  <si>
    <t>besi  p 10</t>
  </si>
  <si>
    <t>besi  8</t>
  </si>
  <si>
    <t>talang seng gulung</t>
  </si>
  <si>
    <t>galvalum</t>
  </si>
  <si>
    <t>watermur 1/2</t>
  </si>
  <si>
    <t>loster besar kotak</t>
  </si>
  <si>
    <t>loster besar saringan</t>
  </si>
  <si>
    <t>lem rajawali</t>
  </si>
  <si>
    <t>pain roller nippon pain</t>
  </si>
  <si>
    <t xml:space="preserve">pain roller index </t>
  </si>
  <si>
    <t>timba</t>
  </si>
  <si>
    <t>paku 5</t>
  </si>
  <si>
    <t>0,4</t>
  </si>
  <si>
    <t>paku 3 1/2</t>
  </si>
  <si>
    <t>5,5</t>
  </si>
  <si>
    <t>geraji</t>
  </si>
  <si>
    <t>cutter</t>
  </si>
  <si>
    <t>cutter joyko</t>
  </si>
  <si>
    <t>tang</t>
  </si>
  <si>
    <t>sarung tangan karet</t>
  </si>
  <si>
    <t>batrai panasonic 1,5 volt AAA</t>
  </si>
  <si>
    <t>penggaris siku</t>
  </si>
  <si>
    <t>turbo cut 1,2 mm</t>
  </si>
  <si>
    <t>diamond cutting well</t>
  </si>
  <si>
    <t>paku 1 1/4</t>
  </si>
  <si>
    <t>0,5</t>
  </si>
  <si>
    <t>siku  kecil</t>
  </si>
  <si>
    <t>paku 6</t>
  </si>
  <si>
    <t>paku 4</t>
  </si>
  <si>
    <t>kasutan /  trowel</t>
  </si>
  <si>
    <t>kapi 3 dim</t>
  </si>
  <si>
    <t>kapi 5 dim</t>
  </si>
  <si>
    <t>cetok sukun hitam</t>
  </si>
  <si>
    <t>cetok sukun sedang</t>
  </si>
  <si>
    <t>cetak sukun kecil</t>
  </si>
  <si>
    <t>paku payung</t>
  </si>
  <si>
    <t>57</t>
  </si>
  <si>
    <t>pinnes</t>
  </si>
  <si>
    <t>jaring kawat 1/2</t>
  </si>
  <si>
    <t>jaring kawat 1/4</t>
  </si>
  <si>
    <t>lampu kepala</t>
  </si>
  <si>
    <t>lampu led muxindo 25 watt</t>
  </si>
  <si>
    <t>lampu hemat  5 watt</t>
  </si>
  <si>
    <t>skrup atap  sedang</t>
  </si>
  <si>
    <t>20</t>
  </si>
  <si>
    <t>waseo led panel 3+3w</t>
  </si>
  <si>
    <t>distribution box</t>
  </si>
  <si>
    <t>skrup kecil</t>
  </si>
  <si>
    <t>skrup besar</t>
  </si>
  <si>
    <t>41</t>
  </si>
  <si>
    <t>floor stainer plastik</t>
  </si>
  <si>
    <t>skrup atap  kecil</t>
  </si>
  <si>
    <t>lampu led</t>
  </si>
  <si>
    <t>waterpres magnet (alat ukur)</t>
  </si>
  <si>
    <t>round kabel klip 6 mm</t>
  </si>
  <si>
    <t>round kabel klip 7 mm</t>
  </si>
  <si>
    <t>round kabel klip 9 mm</t>
  </si>
  <si>
    <t>round kabel klip 10 mm</t>
  </si>
  <si>
    <t>16</t>
  </si>
  <si>
    <t>floor stainer stainless</t>
  </si>
  <si>
    <t>amplass bunder</t>
  </si>
  <si>
    <t>paku beton 1 1/2</t>
  </si>
  <si>
    <t>tusen klep air</t>
  </si>
  <si>
    <t>saringan plastik biasa</t>
  </si>
  <si>
    <t>kuas  2</t>
  </si>
  <si>
    <t>afur hpp</t>
  </si>
  <si>
    <t>afur klasik</t>
  </si>
  <si>
    <t>kuas cat garis</t>
  </si>
  <si>
    <t>pilox</t>
  </si>
  <si>
    <t>sikring</t>
  </si>
  <si>
    <t>Tutup  skring</t>
  </si>
  <si>
    <t>14</t>
  </si>
  <si>
    <t>kabel serabut 0.75 mm</t>
  </si>
  <si>
    <t>Skalar Tunggal</t>
  </si>
  <si>
    <t>Saklar Ganda</t>
  </si>
  <si>
    <t>Kabel audio 2 x 1 1/2</t>
  </si>
  <si>
    <t>100</t>
  </si>
  <si>
    <t>Skalar Triple</t>
  </si>
  <si>
    <t>Senter</t>
  </si>
  <si>
    <t>Fittingan</t>
  </si>
  <si>
    <t>Fittingan bagus</t>
  </si>
  <si>
    <t>Kassa gibsum</t>
  </si>
  <si>
    <t>Lampu Tidur</t>
  </si>
  <si>
    <t>Soket Lampu</t>
  </si>
  <si>
    <t>Sarung tangan kain</t>
  </si>
  <si>
    <t>Grendel Double</t>
  </si>
  <si>
    <t>Kunci Oval pintu</t>
  </si>
  <si>
    <t>Benang ris  sedang</t>
  </si>
  <si>
    <t>Jepitan Udang grendel</t>
  </si>
  <si>
    <t>Cengkal jendela panjang lurus</t>
  </si>
  <si>
    <t>Gagang Pintu</t>
  </si>
  <si>
    <t>Sekrup  3cm</t>
  </si>
  <si>
    <t>Sekrup  2.5</t>
  </si>
  <si>
    <t>Roda etalase</t>
  </si>
  <si>
    <t>Gagang pintu besi  besar</t>
  </si>
  <si>
    <t>Gagang pintu besi  Kecil</t>
  </si>
  <si>
    <t>Sekrup  6 x 1</t>
  </si>
  <si>
    <t>Klem kabel  8 mm</t>
  </si>
  <si>
    <t>Klem kabel  9 mm</t>
  </si>
  <si>
    <t>Fishcer 8 mm</t>
  </si>
  <si>
    <t>Fishcer 5 mm</t>
  </si>
  <si>
    <t>Kran besi 3/4</t>
  </si>
  <si>
    <t>Gunting tanggung</t>
  </si>
  <si>
    <t>Stop kran PVC onda 3/4</t>
  </si>
  <si>
    <t>Stop kran PVC move 1/2</t>
  </si>
  <si>
    <t>Ungkal</t>
  </si>
  <si>
    <t>Stop kran PVC jia rong 1</t>
  </si>
  <si>
    <t>Stop kran move 1</t>
  </si>
  <si>
    <t>Pegangan laci/ lemari  3</t>
  </si>
  <si>
    <t>Pegangan laci/ lemari  4</t>
  </si>
  <si>
    <t>cutter besar</t>
  </si>
  <si>
    <t>Paku beton 1</t>
  </si>
  <si>
    <t>Footklem PVC 1 royal 3/4</t>
  </si>
  <si>
    <t>Footklem PVC 1 royal 1</t>
  </si>
  <si>
    <t>Tinner 1/2liter</t>
  </si>
  <si>
    <t>Cat emco</t>
  </si>
  <si>
    <t>Cat kayu avian 25cc</t>
  </si>
  <si>
    <t>Engsel Pintu</t>
  </si>
  <si>
    <t xml:space="preserve">1 </t>
  </si>
  <si>
    <t>Lem tikus</t>
  </si>
  <si>
    <t>Catut 6"</t>
  </si>
  <si>
    <t>Catut 9"</t>
  </si>
  <si>
    <t>Kunci  lemari/laci</t>
  </si>
  <si>
    <t>Microphone</t>
  </si>
  <si>
    <t>Isolasi kecil</t>
  </si>
  <si>
    <t>Lakban coklat</t>
  </si>
  <si>
    <t>Fiberglass tape</t>
  </si>
  <si>
    <t>Gembok 40m</t>
  </si>
  <si>
    <t>Gembok 35 m</t>
  </si>
  <si>
    <t>Gembok 25mm</t>
  </si>
  <si>
    <t>Microphone mini clip</t>
  </si>
  <si>
    <t>Double tip foam hitam</t>
  </si>
  <si>
    <t>amplass</t>
  </si>
  <si>
    <t>Tie clip microphone</t>
  </si>
  <si>
    <t>Selot besar / grendel 3"</t>
  </si>
  <si>
    <t>Tee dos</t>
  </si>
  <si>
    <t>Double tip foam putih</t>
  </si>
  <si>
    <t xml:space="preserve">pegangan pintu putih </t>
  </si>
  <si>
    <t>INBOW DUS</t>
  </si>
  <si>
    <t>TEE DOS</t>
  </si>
  <si>
    <t>LEM TEMBAK</t>
  </si>
  <si>
    <t>580626767056438563</t>
  </si>
  <si>
    <t>STOP KONTAK BROCO TANAM</t>
  </si>
  <si>
    <t>STOP KONTAK TANAM PANASONIC</t>
  </si>
  <si>
    <t>STOP KONTAK INBOW TANAM</t>
  </si>
  <si>
    <t>580626854675842339</t>
  </si>
  <si>
    <t>SAKLAR3 CABANG (TEE)</t>
  </si>
  <si>
    <t>580626854675514659</t>
  </si>
  <si>
    <t>SAKLAR HOKSUN 3 LUBANG</t>
  </si>
  <si>
    <t>SAKLAR TRM 4 LUBANG</t>
  </si>
  <si>
    <t>SEMEN MERAH PUTIH</t>
  </si>
  <si>
    <t>SEMEN SINGA MERAH</t>
  </si>
  <si>
    <t>WATERMUR 3/4</t>
  </si>
  <si>
    <t>SOLDER GAGANG KAYU 40W</t>
  </si>
  <si>
    <t>KUAS GRT 3"</t>
  </si>
  <si>
    <t>PENGAMAN REGULATOR</t>
  </si>
  <si>
    <t>KLEM REGULATOR</t>
  </si>
  <si>
    <t>TIMBA STANDART</t>
  </si>
  <si>
    <t>581934152872527139</t>
  </si>
  <si>
    <t>KNEE DRAT DALAM 1/2 DIM</t>
  </si>
  <si>
    <t>MENARA BANGUNAN SENTOSA</t>
  </si>
  <si>
    <t>581933964860949795</t>
  </si>
  <si>
    <t xml:space="preserve">AMPLAS UK 60 </t>
  </si>
  <si>
    <t>AMPLAS UK 150</t>
  </si>
  <si>
    <t>AMPLAS UK 240</t>
  </si>
  <si>
    <t>WATERMUR DD 3/4</t>
  </si>
  <si>
    <t>BENDRAT 5KG</t>
  </si>
  <si>
    <t>S MERDEKA 5</t>
  </si>
  <si>
    <t>MORODADI</t>
  </si>
  <si>
    <t>TOTAL MODAL</t>
  </si>
  <si>
    <t>KD</t>
  </si>
  <si>
    <t>KETERANGAN</t>
  </si>
  <si>
    <t>DEBIT</t>
  </si>
  <si>
    <t>KREDIT</t>
  </si>
  <si>
    <t>SALDO</t>
  </si>
  <si>
    <t>BULAN</t>
  </si>
  <si>
    <t>OMSET (Rp)</t>
  </si>
  <si>
    <t>OPERASIONAL (Rp)</t>
  </si>
  <si>
    <t>MODAL</t>
  </si>
  <si>
    <t>PROFIT (Rp)</t>
  </si>
  <si>
    <t>KET</t>
  </si>
  <si>
    <t>SALDO AWAL BRI</t>
  </si>
  <si>
    <t>pemasukan</t>
  </si>
  <si>
    <t>KULAK KAYU 3 UKURAN UD.JATI UTAMA</t>
  </si>
  <si>
    <t>upah</t>
  </si>
  <si>
    <t>PELUNASA NOTA.1 KULAK PAKU 3 UK TGL 16 JULI 2025</t>
  </si>
  <si>
    <t>kulak</t>
  </si>
  <si>
    <t>BELI KRESEK DAN PLASTIK</t>
  </si>
  <si>
    <t>operasional</t>
  </si>
  <si>
    <t>BELI BUKU DAN TAS PINK UNTUK NOTA</t>
  </si>
  <si>
    <t>saldo</t>
  </si>
  <si>
    <t>BAUT DRILLING TOKPED</t>
  </si>
  <si>
    <t>aset</t>
  </si>
  <si>
    <t>SEKOP TOKPED</t>
  </si>
  <si>
    <t>support</t>
  </si>
  <si>
    <t>CANGKUL TOKPED</t>
  </si>
  <si>
    <t>PEMASUKAN DARI TOKO</t>
  </si>
  <si>
    <t>MATERAI</t>
  </si>
  <si>
    <t>PEMBELIAN MOBIL PICK UP</t>
  </si>
  <si>
    <t>JASA REPARASI PICK UP</t>
  </si>
  <si>
    <t>ROKOK CAK SURADI</t>
  </si>
  <si>
    <t>PELUNASAN NOTA 2 BELANJA BESI</t>
  </si>
  <si>
    <t>PELUNASAN NOTA 2 BELANJA HOLLOW</t>
  </si>
  <si>
    <t>BATU KOMBONG 300</t>
  </si>
  <si>
    <t>ADMIN TARIK TUNAI</t>
  </si>
  <si>
    <t>KONSUMSI TUKANG BONGKAR</t>
  </si>
  <si>
    <t>UPAH DEH MUN MEI JUNI JULI</t>
  </si>
  <si>
    <t>KULAK TRIPLEK</t>
  </si>
  <si>
    <t>SEMEN GRESIK 50 SAK (TOKO LANCAR PANDAN ARUM)</t>
  </si>
  <si>
    <t>100 SAK KAPUR</t>
  </si>
  <si>
    <t>BELANJA PASIR</t>
  </si>
  <si>
    <t>KULAK STOP KONTAK</t>
  </si>
  <si>
    <t>PELUNASAN PAKU TGL 23 JULI 2025</t>
  </si>
  <si>
    <t>ADMIN BULANAN ATM</t>
  </si>
  <si>
    <t>PEMASUKAN TOKO</t>
  </si>
  <si>
    <t>KULAK BATERAI ABC 24</t>
  </si>
  <si>
    <t>KULAK LEM KUNING 10</t>
  </si>
  <si>
    <t>KULAK PAKU PAYUNG SA</t>
  </si>
  <si>
    <t>BELI SAPU GALANGAN</t>
  </si>
  <si>
    <t>CETAK BROSUR</t>
  </si>
  <si>
    <t>KERANJANG BUAH</t>
  </si>
  <si>
    <t>UPAH DE MUN + UPAH DE HADI</t>
  </si>
  <si>
    <t>KULAK LAMPU INLITE</t>
  </si>
  <si>
    <t>KULAK WD 2 KOTAK</t>
  </si>
  <si>
    <t>CAT AVIAN 25C 25PCS</t>
  </si>
  <si>
    <t>BELANJA CAT DI TOKO LANCAR</t>
  </si>
  <si>
    <t>KIKIR</t>
  </si>
  <si>
    <t>T dus 5/8 dan IB Dus 5/8</t>
  </si>
  <si>
    <t>SOK DRAT DALAM 1/2"</t>
  </si>
  <si>
    <t>SOK 3/4"</t>
  </si>
  <si>
    <t>SOK 1/2"</t>
  </si>
  <si>
    <t>ISI LEM TEMBAK KECIL</t>
  </si>
  <si>
    <t>BATA KUMBUNG 100PCS</t>
  </si>
  <si>
    <t>UPAH DE HADI BATU KUMBUNG ABAH KOLIL</t>
  </si>
  <si>
    <t xml:space="preserve">PELUNASAN BELANJA KANTOR </t>
  </si>
  <si>
    <t>PELUNASAN BELANJA KABEL ARJUNA</t>
  </si>
  <si>
    <t>KULAK PAKU SA</t>
  </si>
  <si>
    <t>NOTA KECIL</t>
  </si>
  <si>
    <t>KULAK STOP KONTAK BROCO TANAM</t>
  </si>
  <si>
    <t>KULAK SAKLAR</t>
  </si>
  <si>
    <t>UPAH DE MUN + UPAH DE HADI BULAN SEPTEMBER</t>
  </si>
  <si>
    <t>KULAK BATU KOMBONG 270 BJ</t>
  </si>
  <si>
    <t>BELI NASI GORENG UNTUK KULI DAN SUPIR KIRIM BATU KOMBONG</t>
  </si>
  <si>
    <t>KULAK SEMEN 25 SAK</t>
  </si>
  <si>
    <t>SUPPORT NATUSI</t>
  </si>
  <si>
    <t>GANTI BENSIN PICKUP</t>
  </si>
  <si>
    <t>WATERMUR</t>
  </si>
  <si>
    <t>SOLDER</t>
  </si>
  <si>
    <t>KRAN 3/4</t>
  </si>
  <si>
    <t>SEMEN GRESIK 25 SAK MORODADI</t>
  </si>
  <si>
    <t>KULAK PAKU 2 DIM 10KG</t>
  </si>
  <si>
    <t>OPS GALANGAN (BENSIN DLL)</t>
  </si>
  <si>
    <t>UPAH DEH MUN BULAN OKT 2025 + DE HADI</t>
  </si>
  <si>
    <t>KAMPAS KOPLING PIKEP</t>
  </si>
  <si>
    <t>TIKAR</t>
  </si>
  <si>
    <t>KIPAS</t>
  </si>
  <si>
    <t>UPAH SEBAR BROSUR</t>
  </si>
  <si>
    <t>KULAK KNEE 1/2DIM</t>
  </si>
  <si>
    <t>KULAK TIMBA</t>
  </si>
  <si>
    <t>KULAK KRAN DAN KUAS 3"</t>
  </si>
  <si>
    <t>CATOK REGULATOR</t>
  </si>
  <si>
    <t>UPAH DEMUN 23 HARI KERJA NOVEMBER</t>
  </si>
  <si>
    <t>KULAK PAKU 1 1/4</t>
  </si>
  <si>
    <t>KALENDAER GALANGAN 50PCS</t>
  </si>
  <si>
    <t>KULAK KNEE DD 1/2</t>
  </si>
  <si>
    <t>KULAK KNEE 3/4</t>
  </si>
  <si>
    <t>KULAK AMPLAS 3 UKURAN (60,150,240)</t>
  </si>
  <si>
    <t>KAWAT GALVANIS</t>
  </si>
  <si>
    <t>UPAH DE MUN BULAN DESEMBER</t>
  </si>
  <si>
    <t>LEM RAJAWALI 12</t>
  </si>
  <si>
    <t>S GRESIK 15</t>
  </si>
  <si>
    <t>PAKU 3" 10KG</t>
  </si>
  <si>
    <t>PAKU 2 1/2" 10KG</t>
  </si>
  <si>
    <t>UPAH WATU KUMBUNG 50</t>
  </si>
  <si>
    <t>BELI PLASTIK UNTUK WADAH KAPUR</t>
  </si>
  <si>
    <t>21/012026</t>
  </si>
  <si>
    <t>KULAK LAMPU</t>
  </si>
  <si>
    <t>KULAK DOP</t>
  </si>
  <si>
    <t>DOP HEMAT</t>
  </si>
  <si>
    <t>SAKLAR TEMPEL</t>
  </si>
  <si>
    <t>PITING GANTUNG</t>
  </si>
  <si>
    <t>OVERLUP</t>
  </si>
  <si>
    <t>UPAH PASANG PAVING DP</t>
  </si>
  <si>
    <t>GERGAJI BESI PIPA</t>
  </si>
  <si>
    <t>KNEE 1 DIM</t>
  </si>
  <si>
    <t>tanggal</t>
  </si>
  <si>
    <t>ket</t>
  </si>
  <si>
    <t>nominal</t>
  </si>
  <si>
    <t>TGL</t>
  </si>
  <si>
    <t>paket modem indosat</t>
  </si>
  <si>
    <t>PAVING BLOK 3M</t>
  </si>
  <si>
    <t>inet sanan</t>
  </si>
  <si>
    <t>KERAMIK DLL UNTUK PEMELIHARAAN TOKO</t>
  </si>
  <si>
    <t>SOTO</t>
  </si>
  <si>
    <t>simpang</t>
  </si>
  <si>
    <t>token</t>
  </si>
  <si>
    <t>token graha</t>
  </si>
  <si>
    <t>kebutuhan kantor</t>
  </si>
  <si>
    <t>domain</t>
  </si>
  <si>
    <t>upah bu tika</t>
  </si>
  <si>
    <t>MTS ALMULTAZAM</t>
  </si>
  <si>
    <t>MAKAN MALAM SEDAP ABADI</t>
  </si>
  <si>
    <t>UANG BUAT MBAK DESSY MAKAN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</si>
</sst>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yyyy-m-d"/>
    <numFmt numFmtId="165" formatCode="d"/>
    <numFmt numFmtId="166" formatCode="[$Rp]#,##0"/>
    <numFmt numFmtId="167" formatCode="[$Rp]#,##0.00"/>
    <numFmt numFmtId="168" formatCode="[$Rp-421]#,##0"/>
    <numFmt numFmtId="169" formatCode="dd/mm/yyyy"/>
    <numFmt numFmtId="170" formatCode="[$Rp-421]#,##0.00"/>
    <numFmt numFmtId="171" formatCode="dd/MM/yyyy"/>
    <numFmt numFmtId="172" formatCode="_-[$Rp-421]* #,##0_-;_-[$Rp-421]* \-#,##0_-;_-[$Rp-421]* &quot;-&quot;??_-;_-@"/>
    <numFmt numFmtId="173" formatCode="_-[$Rp-421]* #,##0.00_-;_-[$Rp-421]* \-#,##0.00_-;_-[$Rp-421]* &quot;-&quot;??_-;_-@"/>
    <numFmt numFmtId="174" formatCode="mmm&quot;-&quot;yyyy"/>
    <numFmt numFmtId="175" formatCode="d/m/yyyy"/>
    <numFmt numFmtId="176" formatCode="#,##0.00;(#,##0.00)"/>
  </numFmts>
  <fonts count="15">
    <font>
      <sz val="10.0"/>
      <color rgb="FF000000"/>
      <name val="Arial"/>
      <scheme val="minor"/>
    </font>
    <font>
      <b/>
      <sz val="13.0"/>
      <color theme="1"/>
      <name val="Roboto"/>
    </font>
    <font>
      <color rgb="FFFFFFFF"/>
      <name val="Arial"/>
    </font>
    <font>
      <b/>
      <color theme="1"/>
      <name val="Roboto"/>
    </font>
    <font>
      <color theme="1"/>
      <name val="Roboto"/>
    </font>
    <font/>
    <font>
      <color theme="1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u/>
      <color rgb="FF0000FF"/>
    </font>
    <font>
      <sz val="11.0"/>
      <color theme="1"/>
      <name val="Calibri"/>
    </font>
    <font>
      <sz val="11.0"/>
      <color rgb="FFFF0000"/>
      <name val="Calibri"/>
    </font>
    <font>
      <b/>
      <sz val="13.0"/>
      <color theme="1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right" readingOrder="0" vertical="bottom"/>
    </xf>
    <xf borderId="1" fillId="3" fontId="2" numFmtId="164" xfId="0" applyAlignment="1" applyBorder="1" applyFill="1" applyFont="1" applyNumberFormat="1">
      <alignment horizontal="center" vertical="bottom"/>
    </xf>
    <xf borderId="2" fillId="4" fontId="3" numFmtId="0" xfId="0" applyAlignment="1" applyBorder="1" applyFill="1" applyFont="1">
      <alignment horizontal="center" readingOrder="0"/>
    </xf>
    <xf borderId="3" fillId="5" fontId="4" numFmtId="0" xfId="0" applyAlignment="1" applyBorder="1" applyFill="1" applyFont="1">
      <alignment horizontal="center" vertical="bottom"/>
    </xf>
    <xf borderId="4" fillId="0" fontId="5" numFmtId="0" xfId="0" applyBorder="1" applyFont="1"/>
    <xf borderId="5" fillId="0" fontId="5" numFmtId="0" xfId="0" applyBorder="1" applyFont="1"/>
    <xf borderId="1" fillId="5" fontId="4" numFmtId="0" xfId="0" applyAlignment="1" applyBorder="1" applyFont="1">
      <alignment horizontal="right" vertical="bottom"/>
    </xf>
    <xf borderId="1" fillId="5" fontId="4" numFmtId="0" xfId="0" applyAlignment="1" applyBorder="1" applyFont="1">
      <alignment horizontal="center" vertical="bottom"/>
    </xf>
    <xf borderId="1" fillId="0" fontId="6" numFmtId="0" xfId="0" applyAlignment="1" applyBorder="1" applyFont="1">
      <alignment vertical="bottom"/>
    </xf>
    <xf borderId="6" fillId="0" fontId="5" numFmtId="0" xfId="0" applyBorder="1" applyFont="1"/>
    <xf borderId="1" fillId="6" fontId="3" numFmtId="0" xfId="0" applyAlignment="1" applyBorder="1" applyFill="1" applyFont="1">
      <alignment horizontal="center" textRotation="90" vertical="bottom"/>
    </xf>
    <xf borderId="1" fillId="6" fontId="3" numFmtId="0" xfId="0" applyAlignment="1" applyBorder="1" applyFont="1">
      <alignment readingOrder="0" textRotation="90" vertical="bottom"/>
    </xf>
    <xf borderId="1" fillId="6" fontId="3" numFmtId="0" xfId="0" applyAlignment="1" applyBorder="1" applyFont="1">
      <alignment horizontal="right" readingOrder="0" textRotation="90" vertical="bottom"/>
    </xf>
    <xf borderId="7" fillId="0" fontId="5" numFmtId="0" xfId="0" applyBorder="1" applyFont="1"/>
    <xf borderId="1" fillId="6" fontId="4" numFmtId="165" xfId="0" applyAlignment="1" applyBorder="1" applyFont="1" applyNumberFormat="1">
      <alignment horizontal="center"/>
    </xf>
    <xf borderId="1" fillId="6" fontId="6" numFmtId="0" xfId="0" applyAlignment="1" applyBorder="1" applyFont="1">
      <alignment vertical="bottom"/>
    </xf>
    <xf borderId="1" fillId="6" fontId="6" numFmtId="0" xfId="0" applyBorder="1" applyFont="1"/>
    <xf borderId="1" fillId="6" fontId="6" numFmtId="0" xfId="0" applyAlignment="1" applyBorder="1" applyFont="1">
      <alignment horizontal="right"/>
    </xf>
    <xf borderId="1" fillId="0" fontId="4" numFmtId="0" xfId="0" applyAlignment="1" applyBorder="1" applyFont="1">
      <alignment horizontal="left" vertical="bottom"/>
    </xf>
    <xf borderId="1" fillId="0" fontId="7" numFmtId="0" xfId="0" applyAlignment="1" applyBorder="1" applyFont="1">
      <alignment horizontal="center"/>
    </xf>
    <xf borderId="1" fillId="0" fontId="6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166" xfId="0" applyAlignment="1" applyBorder="1" applyFont="1" applyNumberFormat="1">
      <alignment horizontal="right" vertical="bottom"/>
    </xf>
    <xf borderId="1" fillId="0" fontId="4" numFmtId="167" xfId="0" applyAlignment="1" applyBorder="1" applyFont="1" applyNumberFormat="1">
      <alignment horizontal="center" vertical="bottom"/>
    </xf>
    <xf borderId="1" fillId="0" fontId="4" numFmtId="167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4" numFmtId="49" xfId="0" applyAlignment="1" applyBorder="1" applyFont="1" applyNumberFormat="1">
      <alignment horizontal="left" vertical="bottom"/>
    </xf>
    <xf borderId="1" fillId="0" fontId="7" numFmtId="49" xfId="0" applyAlignment="1" applyBorder="1" applyFont="1" applyNumberFormat="1">
      <alignment horizontal="center"/>
    </xf>
    <xf borderId="1" fillId="0" fontId="4" numFmtId="49" xfId="0" applyAlignment="1" applyBorder="1" applyFont="1" applyNumberFormat="1">
      <alignment horizontal="center" readingOrder="0" vertical="bottom"/>
    </xf>
    <xf borderId="1" fillId="0" fontId="4" numFmtId="49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right" vertical="bottom"/>
    </xf>
    <xf borderId="2" fillId="0" fontId="4" numFmtId="0" xfId="0" applyAlignment="1" applyBorder="1" applyFont="1">
      <alignment horizontal="left" vertical="bottom"/>
    </xf>
    <xf borderId="2" fillId="0" fontId="7" numFmtId="0" xfId="0" applyAlignment="1" applyBorder="1" applyFont="1">
      <alignment horizontal="center"/>
    </xf>
    <xf borderId="2" fillId="0" fontId="6" numFmtId="0" xfId="0" applyAlignment="1" applyBorder="1" applyFont="1">
      <alignment vertical="bottom"/>
    </xf>
    <xf borderId="2" fillId="0" fontId="6" numFmtId="0" xfId="0" applyAlignment="1" applyBorder="1" applyFont="1">
      <alignment horizontal="right" vertical="bottom"/>
    </xf>
    <xf borderId="0" fillId="0" fontId="4" numFmtId="0" xfId="0" applyAlignment="1" applyFont="1">
      <alignment horizontal="left" vertical="bottom"/>
    </xf>
    <xf borderId="0" fillId="0" fontId="7" numFmtId="0" xfId="0" applyAlignment="1" applyFont="1">
      <alignment horizontal="center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right"/>
    </xf>
    <xf borderId="1" fillId="7" fontId="8" numFmtId="0" xfId="0" applyAlignment="1" applyBorder="1" applyFill="1" applyFont="1">
      <alignment horizontal="center" readingOrder="0"/>
    </xf>
    <xf borderId="1" fillId="7" fontId="9" numFmtId="0" xfId="0" applyAlignment="1" applyBorder="1" applyFont="1">
      <alignment horizontal="center" vertical="bottom"/>
    </xf>
    <xf borderId="1" fillId="7" fontId="9" numFmtId="0" xfId="0" applyAlignment="1" applyBorder="1" applyFont="1">
      <alignment horizontal="center" readingOrder="0" vertical="bottom"/>
    </xf>
    <xf borderId="1" fillId="7" fontId="8" numFmtId="166" xfId="0" applyAlignment="1" applyBorder="1" applyFont="1" applyNumberFormat="1">
      <alignment horizontal="right" readingOrder="0"/>
    </xf>
    <xf borderId="1" fillId="7" fontId="8" numFmtId="168" xfId="0" applyAlignment="1" applyBorder="1" applyFont="1" applyNumberFormat="1">
      <alignment horizontal="right" readingOrder="0"/>
    </xf>
    <xf borderId="1" fillId="7" fontId="8" numFmtId="9" xfId="0" applyAlignment="1" applyBorder="1" applyFont="1" applyNumberFormat="1">
      <alignment horizontal="center" readingOrder="0"/>
    </xf>
    <xf borderId="1" fillId="2" fontId="8" numFmtId="167" xfId="0" applyAlignment="1" applyBorder="1" applyFont="1" applyNumberFormat="1">
      <alignment horizontal="right" readingOrder="0"/>
    </xf>
    <xf borderId="1" fillId="7" fontId="8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7" numFmtId="169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vertical="bottom"/>
    </xf>
    <xf borderId="1" fillId="0" fontId="7" numFmtId="166" xfId="0" applyAlignment="1" applyBorder="1" applyFont="1" applyNumberFormat="1">
      <alignment horizontal="right" readingOrder="0"/>
    </xf>
    <xf borderId="1" fillId="0" fontId="7" numFmtId="168" xfId="0" applyAlignment="1" applyBorder="1" applyFont="1" applyNumberFormat="1">
      <alignment horizontal="right"/>
    </xf>
    <xf borderId="1" fillId="0" fontId="7" numFmtId="9" xfId="0" applyAlignment="1" applyBorder="1" applyFont="1" applyNumberFormat="1">
      <alignment horizontal="center" readingOrder="0"/>
    </xf>
    <xf borderId="1" fillId="2" fontId="7" numFmtId="167" xfId="0" applyAlignment="1" applyBorder="1" applyFont="1" applyNumberFormat="1">
      <alignment horizontal="right" readingOrder="0"/>
    </xf>
    <xf borderId="1" fillId="0" fontId="7" numFmtId="170" xfId="0" applyAlignment="1" applyBorder="1" applyFont="1" applyNumberFormat="1">
      <alignment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Border="1" applyFont="1"/>
    <xf borderId="1" fillId="8" fontId="7" numFmtId="169" xfId="0" applyAlignment="1" applyBorder="1" applyFill="1" applyFont="1" applyNumberFormat="1">
      <alignment horizontal="center" readingOrder="0"/>
    </xf>
    <xf borderId="1" fillId="8" fontId="7" numFmtId="0" xfId="0" applyBorder="1" applyFont="1"/>
    <xf borderId="1" fillId="8" fontId="7" numFmtId="0" xfId="0" applyAlignment="1" applyBorder="1" applyFont="1">
      <alignment readingOrder="0"/>
    </xf>
    <xf borderId="1" fillId="8" fontId="6" numFmtId="0" xfId="0" applyAlignment="1" applyBorder="1" applyFont="1">
      <alignment horizontal="center" vertical="bottom"/>
    </xf>
    <xf borderId="1" fillId="8" fontId="7" numFmtId="166" xfId="0" applyAlignment="1" applyBorder="1" applyFont="1" applyNumberFormat="1">
      <alignment horizontal="right" readingOrder="0"/>
    </xf>
    <xf borderId="1" fillId="8" fontId="7" numFmtId="168" xfId="0" applyAlignment="1" applyBorder="1" applyFont="1" applyNumberFormat="1">
      <alignment horizontal="right"/>
    </xf>
    <xf borderId="1" fillId="8" fontId="7" numFmtId="9" xfId="0" applyAlignment="1" applyBorder="1" applyFont="1" applyNumberFormat="1">
      <alignment horizontal="center" readingOrder="0"/>
    </xf>
    <xf borderId="1" fillId="8" fontId="7" numFmtId="170" xfId="0" applyAlignment="1" applyBorder="1" applyFont="1" applyNumberFormat="1">
      <alignment readingOrder="0"/>
    </xf>
    <xf borderId="1" fillId="8" fontId="7" numFmtId="0" xfId="0" applyAlignment="1" applyBorder="1" applyFont="1">
      <alignment horizontal="center" readingOrder="0"/>
    </xf>
    <xf borderId="0" fillId="8" fontId="7" numFmtId="0" xfId="0" applyFont="1"/>
    <xf borderId="1" fillId="8" fontId="6" numFmtId="0" xfId="0" applyAlignment="1" applyBorder="1" applyFont="1">
      <alignment horizontal="center" readingOrder="0" vertical="bottom"/>
    </xf>
    <xf borderId="1" fillId="8" fontId="10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1" fillId="3" fontId="6" numFmtId="0" xfId="0" applyAlignment="1" applyBorder="1" applyFont="1">
      <alignment horizontal="center" vertical="bottom"/>
    </xf>
    <xf borderId="1" fillId="3" fontId="7" numFmtId="166" xfId="0" applyAlignment="1" applyBorder="1" applyFont="1" applyNumberFormat="1">
      <alignment horizontal="right" readingOrder="0"/>
    </xf>
    <xf borderId="1" fillId="3" fontId="7" numFmtId="168" xfId="0" applyAlignment="1" applyBorder="1" applyFont="1" applyNumberFormat="1">
      <alignment horizontal="right"/>
    </xf>
    <xf borderId="1" fillId="3" fontId="7" numFmtId="9" xfId="0" applyAlignment="1" applyBorder="1" applyFont="1" applyNumberFormat="1">
      <alignment horizontal="center" readingOrder="0"/>
    </xf>
    <xf borderId="1" fillId="8" fontId="7" numFmtId="168" xfId="0" applyAlignment="1" applyBorder="1" applyFont="1" applyNumberFormat="1">
      <alignment horizontal="right" readingOrder="0"/>
    </xf>
    <xf borderId="1" fillId="3" fontId="7" numFmtId="170" xfId="0" applyAlignment="1" applyBorder="1" applyFont="1" applyNumberFormat="1">
      <alignment readingOrder="0"/>
    </xf>
    <xf borderId="1" fillId="8" fontId="7" numFmtId="169" xfId="0" applyAlignment="1" applyBorder="1" applyFont="1" applyNumberFormat="1">
      <alignment readingOrder="0"/>
    </xf>
    <xf borderId="1" fillId="0" fontId="7" numFmtId="169" xfId="0" applyAlignment="1" applyBorder="1" applyFont="1" applyNumberFormat="1">
      <alignment readingOrder="0"/>
    </xf>
    <xf borderId="1" fillId="0" fontId="7" numFmtId="10" xfId="0" applyAlignment="1" applyBorder="1" applyFont="1" applyNumberFormat="1">
      <alignment horizontal="center" readingOrder="0"/>
    </xf>
    <xf borderId="1" fillId="0" fontId="11" numFmtId="49" xfId="0" applyAlignment="1" applyBorder="1" applyFont="1" applyNumberFormat="1">
      <alignment vertical="bottom"/>
    </xf>
    <xf borderId="1" fillId="0" fontId="6" numFmtId="49" xfId="0" applyAlignment="1" applyBorder="1" applyFont="1" applyNumberFormat="1">
      <alignment horizontal="center" vertical="bottom"/>
    </xf>
    <xf borderId="1" fillId="0" fontId="11" numFmtId="49" xfId="0" applyAlignment="1" applyBorder="1" applyFont="1" applyNumberFormat="1">
      <alignment horizontal="center" vertical="bottom"/>
    </xf>
    <xf borderId="1" fillId="0" fontId="11" numFmtId="166" xfId="0" applyAlignment="1" applyBorder="1" applyFont="1" applyNumberFormat="1">
      <alignment horizontal="right" vertical="bottom"/>
    </xf>
    <xf borderId="1" fillId="2" fontId="11" numFmtId="167" xfId="0" applyAlignment="1" applyBorder="1" applyFont="1" applyNumberFormat="1">
      <alignment horizontal="right" vertical="bottom"/>
    </xf>
    <xf borderId="1" fillId="0" fontId="12" numFmtId="49" xfId="0" applyAlignment="1" applyBorder="1" applyFont="1" applyNumberFormat="1">
      <alignment horizontal="center" vertical="bottom"/>
    </xf>
    <xf borderId="1" fillId="0" fontId="7" numFmtId="9" xfId="0" applyAlignment="1" applyBorder="1" applyFont="1" applyNumberFormat="1">
      <alignment horizontal="center"/>
    </xf>
    <xf borderId="1" fillId="0" fontId="11" numFmtId="49" xfId="0" applyAlignment="1" applyBorder="1" applyFont="1" applyNumberFormat="1">
      <alignment horizontal="center" readingOrder="0" vertical="bottom"/>
    </xf>
    <xf borderId="1" fillId="0" fontId="11" numFmtId="166" xfId="0" applyAlignment="1" applyBorder="1" applyFont="1" applyNumberFormat="1">
      <alignment horizontal="right" readingOrder="0" vertical="bottom"/>
    </xf>
    <xf borderId="1" fillId="2" fontId="11" numFmtId="167" xfId="0" applyAlignment="1" applyBorder="1" applyFont="1" applyNumberFormat="1">
      <alignment horizontal="right" readingOrder="0" vertical="bottom"/>
    </xf>
    <xf borderId="1" fillId="3" fontId="7" numFmtId="0" xfId="0" applyBorder="1" applyFont="1"/>
    <xf borderId="1" fillId="3" fontId="11" numFmtId="49" xfId="0" applyAlignment="1" applyBorder="1" applyFont="1" applyNumberFormat="1">
      <alignment vertical="bottom"/>
    </xf>
    <xf borderId="1" fillId="3" fontId="11" numFmtId="49" xfId="0" applyAlignment="1" applyBorder="1" applyFont="1" applyNumberFormat="1">
      <alignment horizontal="center" vertical="bottom"/>
    </xf>
    <xf borderId="1" fillId="3" fontId="7" numFmtId="9" xfId="0" applyAlignment="1" applyBorder="1" applyFont="1" applyNumberFormat="1">
      <alignment horizontal="center"/>
    </xf>
    <xf borderId="0" fillId="3" fontId="7" numFmtId="0" xfId="0" applyFont="1"/>
    <xf borderId="1" fillId="0" fontId="11" numFmtId="49" xfId="0" applyAlignment="1" applyBorder="1" applyFont="1" applyNumberFormat="1">
      <alignment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7" numFmtId="166" xfId="0" applyAlignment="1" applyBorder="1" applyFont="1" applyNumberFormat="1">
      <alignment horizontal="right"/>
    </xf>
    <xf borderId="1" fillId="2" fontId="7" numFmtId="167" xfId="0" applyAlignment="1" applyBorder="1" applyFont="1" applyNumberFormat="1">
      <alignment horizontal="right"/>
    </xf>
    <xf borderId="0" fillId="0" fontId="7" numFmtId="166" xfId="0" applyAlignment="1" applyFont="1" applyNumberFormat="1">
      <alignment horizontal="right"/>
    </xf>
    <xf borderId="0" fillId="0" fontId="7" numFmtId="168" xfId="0" applyAlignment="1" applyFont="1" applyNumberFormat="1">
      <alignment horizontal="right"/>
    </xf>
    <xf borderId="0" fillId="0" fontId="7" numFmtId="9" xfId="0" applyAlignment="1" applyFont="1" applyNumberFormat="1">
      <alignment horizontal="center"/>
    </xf>
    <xf borderId="0" fillId="2" fontId="7" numFmtId="167" xfId="0" applyAlignment="1" applyFont="1" applyNumberFormat="1">
      <alignment horizontal="right"/>
    </xf>
    <xf borderId="2" fillId="0" fontId="4" numFmtId="166" xfId="0" applyAlignment="1" applyBorder="1" applyFont="1" applyNumberFormat="1">
      <alignment horizontal="right" vertical="bottom"/>
    </xf>
    <xf borderId="2" fillId="0" fontId="4" numFmtId="167" xfId="0" applyAlignment="1" applyBorder="1" applyFont="1" applyNumberFormat="1">
      <alignment horizontal="right" vertical="bottom"/>
    </xf>
    <xf borderId="2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3" fillId="2" fontId="1" numFmtId="0" xfId="0" applyAlignment="1" applyBorder="1" applyFont="1">
      <alignment horizontal="center" readingOrder="0" vertical="bottom"/>
    </xf>
    <xf borderId="1" fillId="3" fontId="2" numFmtId="164" xfId="0" applyAlignment="1" applyBorder="1" applyFont="1" applyNumberFormat="1">
      <alignment horizontal="center" readingOrder="0" vertical="bottom"/>
    </xf>
    <xf borderId="1" fillId="0" fontId="4" numFmtId="166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horizontal="right"/>
    </xf>
    <xf borderId="1" fillId="0" fontId="6" numFmtId="4" xfId="0" applyAlignment="1" applyBorder="1" applyFont="1" applyNumberFormat="1">
      <alignment horizontal="right" vertical="bottom"/>
    </xf>
    <xf borderId="1" fillId="0" fontId="4" numFmtId="4" xfId="0" applyAlignment="1" applyBorder="1" applyFont="1" applyNumberFormat="1">
      <alignment horizontal="center" vertical="bottom"/>
    </xf>
    <xf borderId="1" fillId="0" fontId="13" numFmtId="0" xfId="0" applyAlignment="1" applyBorder="1" applyFont="1">
      <alignment readingOrder="0"/>
    </xf>
    <xf borderId="1" fillId="0" fontId="13" numFmtId="171" xfId="0" applyAlignment="1" applyBorder="1" applyFont="1" applyNumberFormat="1">
      <alignment horizontal="right" readingOrder="0"/>
    </xf>
    <xf borderId="1" fillId="0" fontId="13" numFmtId="172" xfId="0" applyAlignment="1" applyBorder="1" applyFont="1" applyNumberFormat="1">
      <alignment readingOrder="0"/>
    </xf>
    <xf borderId="1" fillId="0" fontId="13" numFmtId="173" xfId="0" applyAlignment="1" applyBorder="1" applyFont="1" applyNumberFormat="1">
      <alignment readingOrder="0"/>
    </xf>
    <xf borderId="2" fillId="9" fontId="7" numFmtId="0" xfId="0" applyBorder="1" applyFill="1" applyFont="1"/>
    <xf borderId="1" fillId="0" fontId="13" numFmtId="174" xfId="0" applyAlignment="1" applyBorder="1" applyFont="1" applyNumberFormat="1">
      <alignment readingOrder="0"/>
    </xf>
    <xf borderId="1" fillId="0" fontId="13" numFmtId="167" xfId="0" applyAlignment="1" applyBorder="1" applyFont="1" applyNumberFormat="1">
      <alignment readingOrder="0"/>
    </xf>
    <xf borderId="0" fillId="9" fontId="13" numFmtId="0" xfId="0" applyAlignment="1" applyFont="1">
      <alignment readingOrder="0"/>
    </xf>
    <xf borderId="0" fillId="0" fontId="7" numFmtId="167" xfId="0" applyFont="1" applyNumberFormat="1"/>
    <xf borderId="1" fillId="0" fontId="7" numFmtId="171" xfId="0" applyAlignment="1" applyBorder="1" applyFont="1" applyNumberFormat="1">
      <alignment horizontal="right" readingOrder="0"/>
    </xf>
    <xf borderId="1" fillId="0" fontId="7" numFmtId="172" xfId="0" applyAlignment="1" applyBorder="1" applyFont="1" applyNumberFormat="1">
      <alignment readingOrder="0"/>
    </xf>
    <xf borderId="1" fillId="0" fontId="7" numFmtId="173" xfId="0" applyAlignment="1" applyBorder="1" applyFont="1" applyNumberFormat="1">
      <alignment readingOrder="0"/>
    </xf>
    <xf borderId="1" fillId="0" fontId="7" numFmtId="172" xfId="0" applyBorder="1" applyFont="1" applyNumberFormat="1"/>
    <xf borderId="6" fillId="9" fontId="7" numFmtId="0" xfId="0" applyBorder="1" applyFont="1"/>
    <xf borderId="1" fillId="0" fontId="7" numFmtId="174" xfId="0" applyAlignment="1" applyBorder="1" applyFont="1" applyNumberFormat="1">
      <alignment readingOrder="0"/>
    </xf>
    <xf borderId="1" fillId="0" fontId="7" numFmtId="167" xfId="0" applyAlignment="1" applyBorder="1" applyFont="1" applyNumberFormat="1">
      <alignment readingOrder="0"/>
    </xf>
    <xf borderId="1" fillId="0" fontId="7" numFmtId="167" xfId="0" applyBorder="1" applyFont="1" applyNumberFormat="1"/>
    <xf borderId="0" fillId="9" fontId="7" numFmtId="0" xfId="0" applyAlignment="1" applyFont="1">
      <alignment readingOrder="0"/>
    </xf>
    <xf borderId="0" fillId="9" fontId="7" numFmtId="0" xfId="0" applyFont="1"/>
    <xf borderId="0" fillId="0" fontId="7" numFmtId="167" xfId="0" applyFont="1" applyNumberFormat="1"/>
    <xf borderId="1" fillId="0" fontId="7" numFmtId="169" xfId="0" applyAlignment="1" applyBorder="1" applyFont="1" applyNumberFormat="1">
      <alignment horizontal="right" readingOrder="0"/>
    </xf>
    <xf borderId="1" fillId="0" fontId="7" numFmtId="173" xfId="0" applyBorder="1" applyFont="1" applyNumberFormat="1"/>
    <xf borderId="1" fillId="2" fontId="7" numFmtId="171" xfId="0" applyAlignment="1" applyBorder="1" applyFont="1" applyNumberFormat="1">
      <alignment horizontal="right" readingOrder="0"/>
    </xf>
    <xf borderId="1" fillId="2" fontId="7" numFmtId="0" xfId="0" applyAlignment="1" applyBorder="1" applyFont="1">
      <alignment readingOrder="0"/>
    </xf>
    <xf borderId="1" fillId="2" fontId="7" numFmtId="172" xfId="0" applyBorder="1" applyFont="1" applyNumberFormat="1"/>
    <xf borderId="1" fillId="2" fontId="7" numFmtId="173" xfId="0" applyBorder="1" applyFont="1" applyNumberFormat="1"/>
    <xf borderId="6" fillId="2" fontId="7" numFmtId="0" xfId="0" applyBorder="1" applyFont="1"/>
    <xf borderId="0" fillId="2" fontId="7" numFmtId="0" xfId="0" applyFont="1"/>
    <xf borderId="0" fillId="2" fontId="7" numFmtId="167" xfId="0" applyFont="1" applyNumberFormat="1"/>
    <xf borderId="0" fillId="2" fontId="7" numFmtId="167" xfId="0" applyFont="1" applyNumberFormat="1"/>
    <xf borderId="0" fillId="0" fontId="7" numFmtId="0" xfId="0" applyAlignment="1" applyFont="1">
      <alignment readingOrder="0"/>
    </xf>
    <xf borderId="1" fillId="0" fontId="7" numFmtId="175" xfId="0" applyAlignment="1" applyBorder="1" applyFont="1" applyNumberFormat="1">
      <alignment horizontal="right" readingOrder="0"/>
    </xf>
    <xf borderId="1" fillId="0" fontId="7" numFmtId="0" xfId="0" applyAlignment="1" applyBorder="1" applyFont="1">
      <alignment horizontal="right" readingOrder="0"/>
    </xf>
    <xf borderId="1" fillId="0" fontId="7" numFmtId="171" xfId="0" applyAlignment="1" applyBorder="1" applyFont="1" applyNumberFormat="1">
      <alignment horizontal="right"/>
    </xf>
    <xf borderId="1" fillId="0" fontId="7" numFmtId="171" xfId="0" applyBorder="1" applyFont="1" applyNumberFormat="1"/>
    <xf borderId="0" fillId="0" fontId="7" numFmtId="171" xfId="0" applyAlignment="1" applyFont="1" applyNumberFormat="1">
      <alignment horizontal="right"/>
    </xf>
    <xf borderId="0" fillId="0" fontId="7" numFmtId="171" xfId="0" applyFont="1" applyNumberFormat="1"/>
    <xf borderId="0" fillId="0" fontId="7" numFmtId="172" xfId="0" applyFont="1" applyNumberFormat="1"/>
    <xf borderId="0" fillId="0" fontId="7" numFmtId="173" xfId="0" applyFont="1" applyNumberFormat="1"/>
    <xf borderId="7" fillId="9" fontId="7" numFmtId="0" xfId="0" applyBorder="1" applyFont="1"/>
    <xf borderId="1" fillId="0" fontId="14" numFmtId="0" xfId="0" applyAlignment="1" applyBorder="1" applyFont="1">
      <alignment readingOrder="0"/>
    </xf>
    <xf borderId="1" fillId="0" fontId="14" numFmtId="167" xfId="0" applyAlignment="1" applyBorder="1" applyFont="1" applyNumberFormat="1">
      <alignment readingOrder="0"/>
    </xf>
    <xf borderId="0" fillId="0" fontId="7" numFmtId="176" xfId="0" applyAlignment="1" applyFont="1" applyNumberFormat="1">
      <alignment readingOrder="0"/>
    </xf>
    <xf borderId="1" fillId="0" fontId="7" numFmtId="14" xfId="0" applyAlignment="1" applyBorder="1" applyFont="1" applyNumberFormat="1">
      <alignment readingOrder="0"/>
    </xf>
    <xf borderId="1" fillId="0" fontId="7" numFmtId="167" xfId="0" applyAlignment="1" applyBorder="1" applyFont="1" applyNumberFormat="1">
      <alignment readingOrder="0"/>
    </xf>
    <xf borderId="0" fillId="0" fontId="7" numFmtId="169" xfId="0" applyAlignment="1" applyFont="1" applyNumberFormat="1">
      <alignment readingOrder="0"/>
    </xf>
    <xf borderId="0" fillId="0" fontId="7" numFmtId="176" xfId="0" applyFont="1" applyNumberFormat="1"/>
    <xf borderId="1" fillId="0" fontId="7" numFmtId="175" xfId="0" applyAlignment="1" applyBorder="1" applyFont="1" applyNumberFormat="1">
      <alignment readingOrder="0"/>
    </xf>
    <xf borderId="0" fillId="0" fontId="7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aris.co/" TargetMode="External"/><Relationship Id="rId2" Type="http://schemas.openxmlformats.org/officeDocument/2006/relationships/hyperlink" Target="http://laris.co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36.13"/>
    <col customWidth="1" min="2" max="2" width="10.13"/>
    <col customWidth="1" min="3" max="3" width="4.13"/>
    <col customWidth="1" min="4" max="37" width="3.0"/>
    <col customWidth="1" min="38" max="38" width="10.38"/>
    <col customWidth="1" min="39" max="39" width="12.63"/>
    <col customWidth="1" min="40" max="40" width="10.25"/>
    <col customWidth="1" min="41" max="41" width="9.3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  <c r="AM1" s="1"/>
      <c r="AN1" s="2"/>
      <c r="AO1" s="1"/>
      <c r="AP1" s="3">
        <v>45839.0</v>
      </c>
    </row>
    <row r="2">
      <c r="A2" s="4" t="s">
        <v>1</v>
      </c>
      <c r="B2" s="4" t="s">
        <v>2</v>
      </c>
      <c r="C2" s="5" t="str">
        <f>UPPER("HARI / BULAN : " &amp; TEXT(AP1, "MMMM YYYY"))</f>
        <v>HARI / BULAN : JULI 2025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  <c r="AL2" s="8"/>
      <c r="AM2" s="9"/>
      <c r="AN2" s="8"/>
      <c r="AO2" s="9"/>
      <c r="AP2" s="10"/>
    </row>
    <row r="3">
      <c r="A3" s="11"/>
      <c r="B3" s="11"/>
      <c r="C3" s="12" t="str">
        <f t="shared" ref="C3:AG3" si="1">TEXT(C4,"dddd")</f>
        <v>Selasa</v>
      </c>
      <c r="D3" s="12" t="str">
        <f t="shared" si="1"/>
        <v>Rabu</v>
      </c>
      <c r="E3" s="12" t="str">
        <f t="shared" si="1"/>
        <v>Kamis</v>
      </c>
      <c r="F3" s="12" t="str">
        <f t="shared" si="1"/>
        <v>Jumat</v>
      </c>
      <c r="G3" s="12" t="str">
        <f t="shared" si="1"/>
        <v>Sabtu</v>
      </c>
      <c r="H3" s="12" t="str">
        <f t="shared" si="1"/>
        <v>Minggu</v>
      </c>
      <c r="I3" s="12" t="str">
        <f t="shared" si="1"/>
        <v>Senin</v>
      </c>
      <c r="J3" s="12" t="str">
        <f t="shared" si="1"/>
        <v>Selasa</v>
      </c>
      <c r="K3" s="12" t="str">
        <f t="shared" si="1"/>
        <v>Rabu</v>
      </c>
      <c r="L3" s="12" t="str">
        <f t="shared" si="1"/>
        <v>Kamis</v>
      </c>
      <c r="M3" s="12" t="str">
        <f t="shared" si="1"/>
        <v>Jumat</v>
      </c>
      <c r="N3" s="12" t="str">
        <f t="shared" si="1"/>
        <v>Sabtu</v>
      </c>
      <c r="O3" s="12" t="str">
        <f t="shared" si="1"/>
        <v>Minggu</v>
      </c>
      <c r="P3" s="12" t="str">
        <f t="shared" si="1"/>
        <v>Senin</v>
      </c>
      <c r="Q3" s="12" t="str">
        <f t="shared" si="1"/>
        <v>Selasa</v>
      </c>
      <c r="R3" s="12" t="str">
        <f t="shared" si="1"/>
        <v>Rabu</v>
      </c>
      <c r="S3" s="12" t="str">
        <f t="shared" si="1"/>
        <v>Kamis</v>
      </c>
      <c r="T3" s="12" t="str">
        <f t="shared" si="1"/>
        <v>Jumat</v>
      </c>
      <c r="U3" s="12" t="str">
        <f t="shared" si="1"/>
        <v>Sabtu</v>
      </c>
      <c r="V3" s="12" t="str">
        <f t="shared" si="1"/>
        <v>Minggu</v>
      </c>
      <c r="W3" s="12" t="str">
        <f t="shared" si="1"/>
        <v>Senin</v>
      </c>
      <c r="X3" s="12" t="str">
        <f t="shared" si="1"/>
        <v>Selasa</v>
      </c>
      <c r="Y3" s="12" t="str">
        <f t="shared" si="1"/>
        <v>Rabu</v>
      </c>
      <c r="Z3" s="12" t="str">
        <f t="shared" si="1"/>
        <v>Kamis</v>
      </c>
      <c r="AA3" s="12" t="str">
        <f t="shared" si="1"/>
        <v>Jumat</v>
      </c>
      <c r="AB3" s="12" t="str">
        <f t="shared" si="1"/>
        <v>Sabtu</v>
      </c>
      <c r="AC3" s="12" t="str">
        <f t="shared" si="1"/>
        <v>Minggu</v>
      </c>
      <c r="AD3" s="12" t="str">
        <f t="shared" si="1"/>
        <v>Senin</v>
      </c>
      <c r="AE3" s="12" t="str">
        <f t="shared" si="1"/>
        <v>Selasa</v>
      </c>
      <c r="AF3" s="12" t="str">
        <f t="shared" si="1"/>
        <v>Rabu</v>
      </c>
      <c r="AG3" s="12" t="str">
        <f t="shared" si="1"/>
        <v>Kamis</v>
      </c>
      <c r="AH3" s="13" t="s">
        <v>3</v>
      </c>
      <c r="AI3" s="13" t="s">
        <v>4</v>
      </c>
      <c r="AJ3" s="13" t="s">
        <v>5</v>
      </c>
      <c r="AK3" s="13" t="s">
        <v>6</v>
      </c>
      <c r="AL3" s="14" t="s">
        <v>7</v>
      </c>
      <c r="AM3" s="13" t="s">
        <v>8</v>
      </c>
      <c r="AN3" s="14" t="s">
        <v>9</v>
      </c>
      <c r="AO3" s="13" t="s">
        <v>10</v>
      </c>
      <c r="AP3" s="10"/>
    </row>
    <row r="4">
      <c r="A4" s="15"/>
      <c r="B4" s="15"/>
      <c r="C4" s="16">
        <f>AP1</f>
        <v>45839</v>
      </c>
      <c r="D4" s="16">
        <f t="shared" ref="D4:AG4" si="2">IF(AND(MONTH(C4+1) = MONTH(C4), C4&lt;&gt;""),C4  + 1, "")</f>
        <v>45840</v>
      </c>
      <c r="E4" s="16">
        <f t="shared" si="2"/>
        <v>45841</v>
      </c>
      <c r="F4" s="16">
        <f t="shared" si="2"/>
        <v>45842</v>
      </c>
      <c r="G4" s="16">
        <f t="shared" si="2"/>
        <v>45843</v>
      </c>
      <c r="H4" s="16">
        <f t="shared" si="2"/>
        <v>45844</v>
      </c>
      <c r="I4" s="16">
        <f t="shared" si="2"/>
        <v>45845</v>
      </c>
      <c r="J4" s="16">
        <f t="shared" si="2"/>
        <v>45846</v>
      </c>
      <c r="K4" s="16">
        <f t="shared" si="2"/>
        <v>45847</v>
      </c>
      <c r="L4" s="16">
        <f t="shared" si="2"/>
        <v>45848</v>
      </c>
      <c r="M4" s="16">
        <f t="shared" si="2"/>
        <v>45849</v>
      </c>
      <c r="N4" s="16">
        <f t="shared" si="2"/>
        <v>45850</v>
      </c>
      <c r="O4" s="16">
        <f t="shared" si="2"/>
        <v>45851</v>
      </c>
      <c r="P4" s="16">
        <f t="shared" si="2"/>
        <v>45852</v>
      </c>
      <c r="Q4" s="16">
        <f t="shared" si="2"/>
        <v>45853</v>
      </c>
      <c r="R4" s="16">
        <f t="shared" si="2"/>
        <v>45854</v>
      </c>
      <c r="S4" s="16">
        <f t="shared" si="2"/>
        <v>45855</v>
      </c>
      <c r="T4" s="16">
        <f t="shared" si="2"/>
        <v>45856</v>
      </c>
      <c r="U4" s="16">
        <f t="shared" si="2"/>
        <v>45857</v>
      </c>
      <c r="V4" s="16">
        <f t="shared" si="2"/>
        <v>45858</v>
      </c>
      <c r="W4" s="16">
        <f t="shared" si="2"/>
        <v>45859</v>
      </c>
      <c r="X4" s="16">
        <f t="shared" si="2"/>
        <v>45860</v>
      </c>
      <c r="Y4" s="16">
        <f t="shared" si="2"/>
        <v>45861</v>
      </c>
      <c r="Z4" s="16">
        <f t="shared" si="2"/>
        <v>45862</v>
      </c>
      <c r="AA4" s="16">
        <f t="shared" si="2"/>
        <v>45863</v>
      </c>
      <c r="AB4" s="16">
        <f t="shared" si="2"/>
        <v>45864</v>
      </c>
      <c r="AC4" s="16">
        <f t="shared" si="2"/>
        <v>45865</v>
      </c>
      <c r="AD4" s="16">
        <f t="shared" si="2"/>
        <v>45866</v>
      </c>
      <c r="AE4" s="16">
        <f t="shared" si="2"/>
        <v>45867</v>
      </c>
      <c r="AF4" s="16">
        <f t="shared" si="2"/>
        <v>45868</v>
      </c>
      <c r="AG4" s="16">
        <f t="shared" si="2"/>
        <v>45869</v>
      </c>
      <c r="AH4" s="17"/>
      <c r="AI4" s="17"/>
      <c r="AJ4" s="18"/>
      <c r="AK4" s="18"/>
      <c r="AL4" s="19"/>
      <c r="AM4" s="18"/>
      <c r="AN4" s="19"/>
      <c r="AO4" s="18"/>
      <c r="AP4" s="10"/>
    </row>
    <row r="5">
      <c r="A5" s="20" t="str">
        <f>'MASTER STOCK'!F2</f>
        <v>Fitting Gantung</v>
      </c>
      <c r="B5" s="21">
        <f>'MASTER STOCK'!G2</f>
        <v>12</v>
      </c>
      <c r="C5" s="22"/>
      <c r="D5" s="2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23">
        <f t="shared" ref="AH5:AH367" si="3">SUM(C5:AG5)</f>
        <v>0</v>
      </c>
      <c r="AI5" s="24">
        <f t="shared" ref="AI5:AI367" si="4">B5-SUM(C5:AG5)</f>
        <v>12</v>
      </c>
      <c r="AJ5" s="23">
        <f t="shared" ref="AJ5:AJ367" si="5">B5-AH5</f>
        <v>12</v>
      </c>
      <c r="AK5" s="23">
        <f t="shared" ref="AK5:AK368" si="6">AJ5-AI5</f>
        <v>0</v>
      </c>
      <c r="AL5" s="25">
        <f>'MASTER STOCK'!I2</f>
        <v>1400</v>
      </c>
      <c r="AM5" s="26">
        <f>'MASTER STOCK'!L2</f>
        <v>1820</v>
      </c>
      <c r="AN5" s="27">
        <f t="shared" ref="AN5:AN368" si="7">AH5*AM5</f>
        <v>0</v>
      </c>
      <c r="AO5" s="26">
        <f t="shared" ref="AO5:AO368" si="8">(AH5*AM5)-(AH5*AL5)</f>
        <v>0</v>
      </c>
      <c r="AP5" s="10"/>
    </row>
    <row r="6">
      <c r="A6" s="20" t="str">
        <f>'MASTER STOCK'!F3</f>
        <v>Colokan T </v>
      </c>
      <c r="B6" s="21">
        <f>'MASTER STOCK'!G3</f>
        <v>12</v>
      </c>
      <c r="C6" s="22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23">
        <f t="shared" si="3"/>
        <v>0</v>
      </c>
      <c r="AI6" s="24">
        <f t="shared" si="4"/>
        <v>12</v>
      </c>
      <c r="AJ6" s="23">
        <f t="shared" si="5"/>
        <v>12</v>
      </c>
      <c r="AK6" s="23">
        <f t="shared" si="6"/>
        <v>0</v>
      </c>
      <c r="AL6" s="25">
        <f>'MASTER STOCK'!I3</f>
        <v>3000</v>
      </c>
      <c r="AM6" s="26">
        <f>'MASTER STOCK'!L3</f>
        <v>3900</v>
      </c>
      <c r="AN6" s="27">
        <f t="shared" si="7"/>
        <v>0</v>
      </c>
      <c r="AO6" s="26">
        <f t="shared" si="8"/>
        <v>0</v>
      </c>
      <c r="AP6" s="10"/>
    </row>
    <row r="7">
      <c r="A7" s="20" t="str">
        <f>'MASTER STOCK'!F4</f>
        <v>Steker Bulat</v>
      </c>
      <c r="B7" s="21">
        <f>'MASTER STOCK'!G4</f>
        <v>12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23">
        <f t="shared" si="3"/>
        <v>0</v>
      </c>
      <c r="AI7" s="24">
        <f t="shared" si="4"/>
        <v>12</v>
      </c>
      <c r="AJ7" s="23">
        <f t="shared" si="5"/>
        <v>12</v>
      </c>
      <c r="AK7" s="23">
        <f t="shared" si="6"/>
        <v>0</v>
      </c>
      <c r="AL7" s="25">
        <f>'MASTER STOCK'!I4</f>
        <v>3000</v>
      </c>
      <c r="AM7" s="26">
        <f>'MASTER STOCK'!L4</f>
        <v>6000</v>
      </c>
      <c r="AN7" s="27">
        <f t="shared" si="7"/>
        <v>0</v>
      </c>
      <c r="AO7" s="26">
        <f t="shared" si="8"/>
        <v>0</v>
      </c>
      <c r="AP7" s="10"/>
    </row>
    <row r="8">
      <c r="A8" s="20" t="str">
        <f>'MASTER STOCK'!F5</f>
        <v>Steker Gepeng</v>
      </c>
      <c r="B8" s="21">
        <f>'MASTER STOCK'!G5</f>
        <v>12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23">
        <f t="shared" si="3"/>
        <v>0</v>
      </c>
      <c r="AI8" s="24">
        <f t="shared" si="4"/>
        <v>12</v>
      </c>
      <c r="AJ8" s="23">
        <f t="shared" si="5"/>
        <v>12</v>
      </c>
      <c r="AK8" s="23">
        <f t="shared" si="6"/>
        <v>0</v>
      </c>
      <c r="AL8" s="25">
        <f>'MASTER STOCK'!I5</f>
        <v>1100</v>
      </c>
      <c r="AM8" s="26">
        <f>'MASTER STOCK'!L5</f>
        <v>1430</v>
      </c>
      <c r="AN8" s="27">
        <f t="shared" si="7"/>
        <v>0</v>
      </c>
      <c r="AO8" s="26">
        <f t="shared" si="8"/>
        <v>0</v>
      </c>
      <c r="AP8" s="10"/>
    </row>
    <row r="9">
      <c r="A9" s="20" t="str">
        <f>'MASTER STOCK'!F6</f>
        <v>Saklar Gantung Putih jumbo</v>
      </c>
      <c r="B9" s="21">
        <f>'MASTER STOCK'!G6</f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23">
        <f t="shared" si="3"/>
        <v>0</v>
      </c>
      <c r="AI9" s="24">
        <f t="shared" si="4"/>
        <v>12</v>
      </c>
      <c r="AJ9" s="23">
        <f t="shared" si="5"/>
        <v>12</v>
      </c>
      <c r="AK9" s="23">
        <f t="shared" si="6"/>
        <v>0</v>
      </c>
      <c r="AL9" s="25">
        <f>'MASTER STOCK'!I6</f>
        <v>2250</v>
      </c>
      <c r="AM9" s="26">
        <f>'MASTER STOCK'!L6</f>
        <v>4000</v>
      </c>
      <c r="AN9" s="27">
        <f t="shared" si="7"/>
        <v>0</v>
      </c>
      <c r="AO9" s="26">
        <f t="shared" si="8"/>
        <v>0</v>
      </c>
      <c r="AP9" s="10"/>
    </row>
    <row r="10">
      <c r="A10" s="20" t="str">
        <f>'MASTER STOCK'!F7</f>
        <v>Saklar Gantung Hitam</v>
      </c>
      <c r="B10" s="21">
        <f>'MASTER STOCK'!G7</f>
        <v>12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23">
        <f t="shared" si="3"/>
        <v>0</v>
      </c>
      <c r="AI10" s="24">
        <f t="shared" si="4"/>
        <v>12</v>
      </c>
      <c r="AJ10" s="23">
        <f t="shared" si="5"/>
        <v>12</v>
      </c>
      <c r="AK10" s="23">
        <f t="shared" si="6"/>
        <v>0</v>
      </c>
      <c r="AL10" s="25">
        <f>'MASTER STOCK'!I7</f>
        <v>1850</v>
      </c>
      <c r="AM10" s="26">
        <f>'MASTER STOCK'!L7</f>
        <v>4000</v>
      </c>
      <c r="AN10" s="27">
        <f t="shared" si="7"/>
        <v>0</v>
      </c>
      <c r="AO10" s="26">
        <f t="shared" si="8"/>
        <v>0</v>
      </c>
      <c r="AP10" s="10"/>
    </row>
    <row r="11">
      <c r="A11" s="20" t="str">
        <f>'MASTER STOCK'!F8</f>
        <v>Isolasi Hitam National</v>
      </c>
      <c r="B11" s="21">
        <f>'MASTER STOCK'!G8</f>
        <v>20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23">
        <f t="shared" si="3"/>
        <v>0</v>
      </c>
      <c r="AI11" s="24">
        <f t="shared" si="4"/>
        <v>20</v>
      </c>
      <c r="AJ11" s="23">
        <f t="shared" si="5"/>
        <v>20</v>
      </c>
      <c r="AK11" s="23">
        <f t="shared" si="6"/>
        <v>0</v>
      </c>
      <c r="AL11" s="25">
        <f>'MASTER STOCK'!I8</f>
        <v>5150</v>
      </c>
      <c r="AM11" s="26">
        <f>'MASTER STOCK'!L8</f>
        <v>7982.5</v>
      </c>
      <c r="AN11" s="27">
        <f t="shared" si="7"/>
        <v>0</v>
      </c>
      <c r="AO11" s="26">
        <f t="shared" si="8"/>
        <v>0</v>
      </c>
      <c r="AP11" s="10"/>
    </row>
    <row r="12">
      <c r="A12" s="20" t="str">
        <f>'MASTER STOCK'!F9</f>
        <v>Lem PVC Isarplas 40gram</v>
      </c>
      <c r="B12" s="21">
        <f>'MASTER STOCK'!G9</f>
        <v>24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23">
        <f t="shared" si="3"/>
        <v>0</v>
      </c>
      <c r="AI12" s="24">
        <f t="shared" si="4"/>
        <v>24</v>
      </c>
      <c r="AJ12" s="23">
        <f t="shared" si="5"/>
        <v>24</v>
      </c>
      <c r="AK12" s="23">
        <f t="shared" si="6"/>
        <v>0</v>
      </c>
      <c r="AL12" s="25">
        <f>'MASTER STOCK'!I9</f>
        <v>6900</v>
      </c>
      <c r="AM12" s="26">
        <f>'MASTER STOCK'!L9</f>
        <v>9500</v>
      </c>
      <c r="AN12" s="27">
        <f t="shared" si="7"/>
        <v>0</v>
      </c>
      <c r="AO12" s="26">
        <f t="shared" si="8"/>
        <v>0</v>
      </c>
      <c r="AP12" s="10"/>
    </row>
    <row r="13">
      <c r="A13" s="20" t="str">
        <f>'MASTER STOCK'!F10</f>
        <v>Isolasi Kran air onda </v>
      </c>
      <c r="B13" s="21">
        <f>'MASTER STOCK'!G10</f>
        <v>60</v>
      </c>
      <c r="C13" s="23"/>
      <c r="D13" s="23"/>
      <c r="E13" s="23"/>
      <c r="F13" s="2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23">
        <f t="shared" si="3"/>
        <v>0</v>
      </c>
      <c r="AI13" s="24">
        <f t="shared" si="4"/>
        <v>60</v>
      </c>
      <c r="AJ13" s="23">
        <f t="shared" si="5"/>
        <v>60</v>
      </c>
      <c r="AK13" s="23">
        <f t="shared" si="6"/>
        <v>0</v>
      </c>
      <c r="AL13" s="25">
        <f>'MASTER STOCK'!I10</f>
        <v>1150</v>
      </c>
      <c r="AM13" s="26">
        <f>'MASTER STOCK'!L10</f>
        <v>1495</v>
      </c>
      <c r="AN13" s="27">
        <f t="shared" si="7"/>
        <v>0</v>
      </c>
      <c r="AO13" s="26">
        <f t="shared" si="8"/>
        <v>0</v>
      </c>
      <c r="AP13" s="10"/>
    </row>
    <row r="14">
      <c r="A14" s="20" t="str">
        <f>'MASTER STOCK'!F11</f>
        <v>Tutup Pipa 3/4"</v>
      </c>
      <c r="B14" s="21">
        <f>'MASTER STOCK'!G11</f>
        <v>50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23">
        <f t="shared" si="3"/>
        <v>0</v>
      </c>
      <c r="AI14" s="24">
        <f t="shared" si="4"/>
        <v>50</v>
      </c>
      <c r="AJ14" s="23">
        <f t="shared" si="5"/>
        <v>50</v>
      </c>
      <c r="AK14" s="23">
        <f t="shared" si="6"/>
        <v>0</v>
      </c>
      <c r="AL14" s="25">
        <f>'MASTER STOCK'!I11</f>
        <v>850</v>
      </c>
      <c r="AM14" s="26">
        <f>'MASTER STOCK'!L11</f>
        <v>1275</v>
      </c>
      <c r="AN14" s="27">
        <f t="shared" si="7"/>
        <v>0</v>
      </c>
      <c r="AO14" s="26">
        <f t="shared" si="8"/>
        <v>0</v>
      </c>
      <c r="AP14" s="10"/>
    </row>
    <row r="15">
      <c r="A15" s="20" t="str">
        <f>'MASTER STOCK'!F12</f>
        <v>Fitting lampu gantung outdoor (10 m 5 fitting)</v>
      </c>
      <c r="B15" s="21">
        <f>'MASTER STOCK'!G12</f>
        <v>1</v>
      </c>
      <c r="C15" s="28"/>
      <c r="D15" s="28"/>
      <c r="E15" s="28"/>
      <c r="F15" s="28"/>
      <c r="G15" s="10"/>
      <c r="H15" s="10"/>
      <c r="I15" s="2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23">
        <f t="shared" si="3"/>
        <v>0</v>
      </c>
      <c r="AI15" s="24">
        <f t="shared" si="4"/>
        <v>1</v>
      </c>
      <c r="AJ15" s="23">
        <f t="shared" si="5"/>
        <v>1</v>
      </c>
      <c r="AK15" s="23">
        <f t="shared" si="6"/>
        <v>0</v>
      </c>
      <c r="AL15" s="25">
        <f>'MASTER STOCK'!I12</f>
        <v>38000</v>
      </c>
      <c r="AM15" s="26">
        <f>'MASTER STOCK'!L12</f>
        <v>49400</v>
      </c>
      <c r="AN15" s="27">
        <f t="shared" si="7"/>
        <v>0</v>
      </c>
      <c r="AO15" s="26">
        <f t="shared" si="8"/>
        <v>0</v>
      </c>
      <c r="AP15" s="10"/>
    </row>
    <row r="16">
      <c r="A16" s="20" t="str">
        <f>'MASTER STOCK'!F13</f>
        <v>Obeng karet 4" plus</v>
      </c>
      <c r="B16" s="21">
        <f>'MASTER STOCK'!G13</f>
        <v>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23">
        <f t="shared" si="3"/>
        <v>0</v>
      </c>
      <c r="AI16" s="24">
        <f t="shared" si="4"/>
        <v>5</v>
      </c>
      <c r="AJ16" s="23">
        <f t="shared" si="5"/>
        <v>5</v>
      </c>
      <c r="AK16" s="23">
        <f t="shared" si="6"/>
        <v>0</v>
      </c>
      <c r="AL16" s="25">
        <f>'MASTER STOCK'!I13</f>
        <v>5500</v>
      </c>
      <c r="AM16" s="26">
        <f>'MASTER STOCK'!L13</f>
        <v>7150</v>
      </c>
      <c r="AN16" s="27">
        <f t="shared" si="7"/>
        <v>0</v>
      </c>
      <c r="AO16" s="26">
        <f t="shared" si="8"/>
        <v>0</v>
      </c>
      <c r="AP16" s="10"/>
    </row>
    <row r="17">
      <c r="A17" s="20" t="str">
        <f>'MASTER STOCK'!F14</f>
        <v>Obeng karet 4" minus</v>
      </c>
      <c r="B17" s="21">
        <f>'MASTER STOCK'!G14</f>
        <v>5</v>
      </c>
      <c r="C17" s="28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22">
        <v>1.0</v>
      </c>
      <c r="T17" s="22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23">
        <f t="shared" si="3"/>
        <v>1</v>
      </c>
      <c r="AI17" s="24">
        <f t="shared" si="4"/>
        <v>4</v>
      </c>
      <c r="AJ17" s="23">
        <f t="shared" si="5"/>
        <v>4</v>
      </c>
      <c r="AK17" s="23">
        <f t="shared" si="6"/>
        <v>0</v>
      </c>
      <c r="AL17" s="25">
        <f>'MASTER STOCK'!I14</f>
        <v>5500</v>
      </c>
      <c r="AM17" s="26">
        <f>'MASTER STOCK'!L14</f>
        <v>7150</v>
      </c>
      <c r="AN17" s="27">
        <f t="shared" si="7"/>
        <v>7150</v>
      </c>
      <c r="AO17" s="26">
        <f t="shared" si="8"/>
        <v>1650</v>
      </c>
      <c r="AP17" s="10"/>
    </row>
    <row r="18">
      <c r="A18" s="20" t="str">
        <f>'MASTER STOCK'!F15</f>
        <v>Obeng karet 6" plus</v>
      </c>
      <c r="B18" s="21">
        <f>'MASTER STOCK'!G15</f>
        <v>5</v>
      </c>
      <c r="C18" s="28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23">
        <f t="shared" si="3"/>
        <v>0</v>
      </c>
      <c r="AI18" s="24">
        <f t="shared" si="4"/>
        <v>5</v>
      </c>
      <c r="AJ18" s="23">
        <f t="shared" si="5"/>
        <v>5</v>
      </c>
      <c r="AK18" s="23">
        <f t="shared" si="6"/>
        <v>0</v>
      </c>
      <c r="AL18" s="25">
        <f>'MASTER STOCK'!I15</f>
        <v>7000</v>
      </c>
      <c r="AM18" s="26">
        <f>'MASTER STOCK'!L15</f>
        <v>9100</v>
      </c>
      <c r="AN18" s="27">
        <f t="shared" si="7"/>
        <v>0</v>
      </c>
      <c r="AO18" s="26">
        <f t="shared" si="8"/>
        <v>0</v>
      </c>
      <c r="AP18" s="10"/>
    </row>
    <row r="19">
      <c r="A19" s="20" t="str">
        <f>'MASTER STOCK'!F16</f>
        <v>Obeng karet 6" Minus</v>
      </c>
      <c r="B19" s="21">
        <f>'MASTER STOCK'!G16</f>
        <v>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22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23">
        <f t="shared" si="3"/>
        <v>0</v>
      </c>
      <c r="AI19" s="24">
        <f t="shared" si="4"/>
        <v>5</v>
      </c>
      <c r="AJ19" s="23">
        <f t="shared" si="5"/>
        <v>5</v>
      </c>
      <c r="AK19" s="23">
        <f t="shared" si="6"/>
        <v>0</v>
      </c>
      <c r="AL19" s="25">
        <f>'MASTER STOCK'!I16</f>
        <v>7000</v>
      </c>
      <c r="AM19" s="26">
        <f>'MASTER STOCK'!L16</f>
        <v>9100</v>
      </c>
      <c r="AN19" s="27">
        <f t="shared" si="7"/>
        <v>0</v>
      </c>
      <c r="AO19" s="26">
        <f t="shared" si="8"/>
        <v>0</v>
      </c>
      <c r="AP19" s="10"/>
    </row>
    <row r="20">
      <c r="A20" s="20" t="str">
        <f>'MASTER STOCK'!F17</f>
        <v>Kabel Awg 24 Double 2x18 merah hitam</v>
      </c>
      <c r="B20" s="21">
        <f>'MASTER STOCK'!G17</f>
        <v>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23">
        <f t="shared" si="3"/>
        <v>0</v>
      </c>
      <c r="AI20" s="24">
        <f t="shared" si="4"/>
        <v>2</v>
      </c>
      <c r="AJ20" s="23">
        <f t="shared" si="5"/>
        <v>2</v>
      </c>
      <c r="AK20" s="23">
        <f t="shared" si="6"/>
        <v>0</v>
      </c>
      <c r="AL20" s="25">
        <f>'MASTER STOCK'!I17</f>
        <v>106500</v>
      </c>
      <c r="AM20" s="26">
        <f>'MASTER STOCK'!L17</f>
        <v>181050</v>
      </c>
      <c r="AN20" s="27">
        <f t="shared" si="7"/>
        <v>0</v>
      </c>
      <c r="AO20" s="26">
        <f t="shared" si="8"/>
        <v>0</v>
      </c>
      <c r="AP20" s="10"/>
    </row>
    <row r="21">
      <c r="A21" s="20" t="str">
        <f>'MASTER STOCK'!F18</f>
        <v>Kabel bintik serabut tembaga motor mobil 20mx0.5mm/0,85mm merah 0,5mm</v>
      </c>
      <c r="B21" s="21">
        <f>'MASTER STOCK'!G18</f>
        <v>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23">
        <f t="shared" si="3"/>
        <v>0</v>
      </c>
      <c r="AI21" s="24">
        <f t="shared" si="4"/>
        <v>2</v>
      </c>
      <c r="AJ21" s="23">
        <f t="shared" si="5"/>
        <v>2</v>
      </c>
      <c r="AK21" s="23">
        <f t="shared" si="6"/>
        <v>0</v>
      </c>
      <c r="AL21" s="25">
        <f>'MASTER STOCK'!I18</f>
        <v>33700</v>
      </c>
      <c r="AM21" s="26">
        <f>'MASTER STOCK'!L18</f>
        <v>57290</v>
      </c>
      <c r="AN21" s="27">
        <f t="shared" si="7"/>
        <v>0</v>
      </c>
      <c r="AO21" s="26">
        <f t="shared" si="8"/>
        <v>0</v>
      </c>
      <c r="AP21" s="10"/>
    </row>
    <row r="22">
      <c r="A22" s="20" t="str">
        <f>'MASTER STOCK'!F19</f>
        <v>Kabel bintik serabut tembaga motor mobil 20mx0.5mm/0,85mm hitam 0,5mm</v>
      </c>
      <c r="B22" s="21">
        <f>'MASTER STOCK'!G19</f>
        <v>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23">
        <f t="shared" si="3"/>
        <v>0</v>
      </c>
      <c r="AI22" s="24">
        <f t="shared" si="4"/>
        <v>2</v>
      </c>
      <c r="AJ22" s="23">
        <f t="shared" si="5"/>
        <v>2</v>
      </c>
      <c r="AK22" s="23">
        <f t="shared" si="6"/>
        <v>0</v>
      </c>
      <c r="AL22" s="25">
        <f>'MASTER STOCK'!I19</f>
        <v>33700</v>
      </c>
      <c r="AM22" s="26">
        <f>'MASTER STOCK'!L19</f>
        <v>57290</v>
      </c>
      <c r="AN22" s="27">
        <f t="shared" si="7"/>
        <v>0</v>
      </c>
      <c r="AO22" s="26">
        <f t="shared" si="8"/>
        <v>0</v>
      </c>
      <c r="AP22" s="10"/>
    </row>
    <row r="23">
      <c r="A23" s="20" t="str">
        <f>'MASTER STOCK'!F20</f>
        <v>Mata Gerinda keramik 4 inch kering</v>
      </c>
      <c r="B23" s="21">
        <f>'MASTER STOCK'!G20</f>
        <v>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23">
        <f t="shared" si="3"/>
        <v>0</v>
      </c>
      <c r="AI23" s="24">
        <f t="shared" si="4"/>
        <v>5</v>
      </c>
      <c r="AJ23" s="23">
        <f t="shared" si="5"/>
        <v>5</v>
      </c>
      <c r="AK23" s="23">
        <f t="shared" si="6"/>
        <v>0</v>
      </c>
      <c r="AL23" s="25">
        <f>'MASTER STOCK'!I20</f>
        <v>12000</v>
      </c>
      <c r="AM23" s="26">
        <f>'MASTER STOCK'!L20</f>
        <v>18000</v>
      </c>
      <c r="AN23" s="27">
        <f t="shared" si="7"/>
        <v>0</v>
      </c>
      <c r="AO23" s="26">
        <f t="shared" si="8"/>
        <v>0</v>
      </c>
      <c r="AP23" s="10"/>
    </row>
    <row r="24">
      <c r="A24" s="20" t="str">
        <f>'MASTER STOCK'!F21</f>
        <v>Kabel tunggal serabut 0.8mmx25m biru 25m</v>
      </c>
      <c r="B24" s="21">
        <f>'MASTER STOCK'!G21</f>
        <v>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23">
        <f t="shared" si="3"/>
        <v>0</v>
      </c>
      <c r="AI24" s="24">
        <f t="shared" si="4"/>
        <v>1</v>
      </c>
      <c r="AJ24" s="23">
        <f t="shared" si="5"/>
        <v>1</v>
      </c>
      <c r="AK24" s="23">
        <f t="shared" si="6"/>
        <v>0</v>
      </c>
      <c r="AL24" s="25">
        <f>'MASTER STOCK'!I21</f>
        <v>17500</v>
      </c>
      <c r="AM24" s="26">
        <f>'MASTER STOCK'!L21</f>
        <v>29750</v>
      </c>
      <c r="AN24" s="27">
        <f t="shared" si="7"/>
        <v>0</v>
      </c>
      <c r="AO24" s="26">
        <f t="shared" si="8"/>
        <v>0</v>
      </c>
      <c r="AP24" s="10"/>
    </row>
    <row r="25">
      <c r="A25" s="20" t="str">
        <f>'MASTER STOCK'!F22</f>
        <v>Kabel tunggal serabut 0.8mmx25m Hitam 25m</v>
      </c>
      <c r="B25" s="21">
        <f>'MASTER STOCK'!G22</f>
        <v>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23">
        <f t="shared" si="3"/>
        <v>0</v>
      </c>
      <c r="AI25" s="24">
        <f t="shared" si="4"/>
        <v>1</v>
      </c>
      <c r="AJ25" s="23">
        <f t="shared" si="5"/>
        <v>1</v>
      </c>
      <c r="AK25" s="23">
        <f t="shared" si="6"/>
        <v>0</v>
      </c>
      <c r="AL25" s="25">
        <f>'MASTER STOCK'!I22</f>
        <v>17500</v>
      </c>
      <c r="AM25" s="26">
        <f>'MASTER STOCK'!L22</f>
        <v>29750</v>
      </c>
      <c r="AN25" s="27">
        <f t="shared" si="7"/>
        <v>0</v>
      </c>
      <c r="AO25" s="26">
        <f t="shared" si="8"/>
        <v>0</v>
      </c>
      <c r="AP25" s="10"/>
    </row>
    <row r="26">
      <c r="A26" s="20" t="str">
        <f>'MASTER STOCK'!F23</f>
        <v>Lampu Hias LED strip USB 10m+adaptor </v>
      </c>
      <c r="B26" s="21">
        <f>'MASTER STOCK'!G23</f>
        <v>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23">
        <f t="shared" si="3"/>
        <v>0</v>
      </c>
      <c r="AI26" s="24">
        <f t="shared" si="4"/>
        <v>2</v>
      </c>
      <c r="AJ26" s="23">
        <f t="shared" si="5"/>
        <v>2</v>
      </c>
      <c r="AK26" s="23">
        <f t="shared" si="6"/>
        <v>0</v>
      </c>
      <c r="AL26" s="25">
        <f>'MASTER STOCK'!I23</f>
        <v>50000</v>
      </c>
      <c r="AM26" s="26">
        <f>'MASTER STOCK'!L23</f>
        <v>65000</v>
      </c>
      <c r="AN26" s="27">
        <f t="shared" si="7"/>
        <v>0</v>
      </c>
      <c r="AO26" s="26">
        <f t="shared" si="8"/>
        <v>0</v>
      </c>
      <c r="AP26" s="10"/>
    </row>
    <row r="27">
      <c r="A27" s="20" t="str">
        <f>'MASTER STOCK'!F24</f>
        <v>Lampu LED strip outdoor rainbow 10m +adaptor</v>
      </c>
      <c r="B27" s="21">
        <f>'MASTER STOCK'!G24</f>
        <v>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23">
        <f t="shared" si="3"/>
        <v>0</v>
      </c>
      <c r="AI27" s="24">
        <f t="shared" si="4"/>
        <v>5</v>
      </c>
      <c r="AJ27" s="23">
        <f t="shared" si="5"/>
        <v>5</v>
      </c>
      <c r="AK27" s="23">
        <f t="shared" si="6"/>
        <v>0</v>
      </c>
      <c r="AL27" s="25">
        <f>'MASTER STOCK'!I24</f>
        <v>27000</v>
      </c>
      <c r="AM27" s="26">
        <f>'MASTER STOCK'!L24</f>
        <v>35100</v>
      </c>
      <c r="AN27" s="27">
        <f t="shared" si="7"/>
        <v>0</v>
      </c>
      <c r="AO27" s="26">
        <f t="shared" si="8"/>
        <v>0</v>
      </c>
      <c r="AP27" s="10"/>
    </row>
    <row r="28">
      <c r="A28" s="20" t="str">
        <f>'MASTER STOCK'!F25</f>
        <v>Lampu LED strip outdoor merah putih 10m +adaptor</v>
      </c>
      <c r="B28" s="21">
        <f>'MASTER STOCK'!G25</f>
        <v>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23">
        <f t="shared" si="3"/>
        <v>0</v>
      </c>
      <c r="AI28" s="24">
        <f t="shared" si="4"/>
        <v>5</v>
      </c>
      <c r="AJ28" s="23">
        <f t="shared" si="5"/>
        <v>5</v>
      </c>
      <c r="AK28" s="23">
        <f t="shared" si="6"/>
        <v>0</v>
      </c>
      <c r="AL28" s="25">
        <f>'MASTER STOCK'!I25</f>
        <v>30000</v>
      </c>
      <c r="AM28" s="26">
        <f>'MASTER STOCK'!L25</f>
        <v>40500</v>
      </c>
      <c r="AN28" s="27">
        <f t="shared" si="7"/>
        <v>0</v>
      </c>
      <c r="AO28" s="26">
        <f t="shared" si="8"/>
        <v>0</v>
      </c>
      <c r="AP28" s="10"/>
    </row>
    <row r="29">
      <c r="A29" s="20" t="str">
        <f>'MASTER STOCK'!F26</f>
        <v>Lampu tumbler 10m (rainbow)</v>
      </c>
      <c r="B29" s="21">
        <f>'MASTER STOCK'!G26</f>
        <v>5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23">
        <f t="shared" si="3"/>
        <v>0</v>
      </c>
      <c r="AI29" s="24">
        <f t="shared" si="4"/>
        <v>5</v>
      </c>
      <c r="AJ29" s="23">
        <f t="shared" si="5"/>
        <v>5</v>
      </c>
      <c r="AK29" s="23">
        <f t="shared" si="6"/>
        <v>0</v>
      </c>
      <c r="AL29" s="25">
        <f>'MASTER STOCK'!I26</f>
        <v>11000</v>
      </c>
      <c r="AM29" s="26">
        <f>'MASTER STOCK'!L26</f>
        <v>14300</v>
      </c>
      <c r="AN29" s="27">
        <f t="shared" si="7"/>
        <v>0</v>
      </c>
      <c r="AO29" s="26">
        <f t="shared" si="8"/>
        <v>0</v>
      </c>
      <c r="AP29" s="10"/>
    </row>
    <row r="30">
      <c r="A30" s="20" t="str">
        <f>'MASTER STOCK'!F27</f>
        <v>WD Gerinda potong besi</v>
      </c>
      <c r="B30" s="21">
        <f>'MASTER STOCK'!G27</f>
        <v>60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22">
        <v>1.0</v>
      </c>
      <c r="AA30" s="22">
        <v>1.0</v>
      </c>
      <c r="AB30" s="10"/>
      <c r="AC30" s="10"/>
      <c r="AD30" s="10"/>
      <c r="AE30" s="10"/>
      <c r="AF30" s="10"/>
      <c r="AG30" s="10"/>
      <c r="AH30" s="23">
        <f t="shared" si="3"/>
        <v>2</v>
      </c>
      <c r="AI30" s="24">
        <f t="shared" si="4"/>
        <v>58</v>
      </c>
      <c r="AJ30" s="23">
        <f t="shared" si="5"/>
        <v>58</v>
      </c>
      <c r="AK30" s="23">
        <f t="shared" si="6"/>
        <v>0</v>
      </c>
      <c r="AL30" s="25">
        <f>'MASTER STOCK'!I27</f>
        <v>2900</v>
      </c>
      <c r="AM30" s="26">
        <f>'MASTER STOCK'!L27</f>
        <v>5000</v>
      </c>
      <c r="AN30" s="27">
        <f t="shared" si="7"/>
        <v>10000</v>
      </c>
      <c r="AO30" s="26">
        <f t="shared" si="8"/>
        <v>4200</v>
      </c>
      <c r="AP30" s="10"/>
    </row>
    <row r="31">
      <c r="A31" s="20" t="str">
        <f>'MASTER STOCK'!F28</f>
        <v>Meteran karet 7,5m (merk HPP)</v>
      </c>
      <c r="B31" s="21">
        <f>'MASTER STOCK'!G28</f>
        <v>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23">
        <f t="shared" si="3"/>
        <v>0</v>
      </c>
      <c r="AI31" s="24">
        <f t="shared" si="4"/>
        <v>3</v>
      </c>
      <c r="AJ31" s="23">
        <f t="shared" si="5"/>
        <v>3</v>
      </c>
      <c r="AK31" s="23">
        <f t="shared" si="6"/>
        <v>0</v>
      </c>
      <c r="AL31" s="25">
        <f>'MASTER STOCK'!I28</f>
        <v>12800</v>
      </c>
      <c r="AM31" s="26">
        <f>'MASTER STOCK'!L28</f>
        <v>16640</v>
      </c>
      <c r="AN31" s="27">
        <f t="shared" si="7"/>
        <v>0</v>
      </c>
      <c r="AO31" s="26">
        <f t="shared" si="8"/>
        <v>0</v>
      </c>
      <c r="AP31" s="10"/>
    </row>
    <row r="32">
      <c r="A32" s="20" t="str">
        <f>'MASTER STOCK'!F29</f>
        <v>Meteran karet 5m (merk VPR)</v>
      </c>
      <c r="B32" s="21">
        <f>'MASTER STOCK'!G29</f>
        <v>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23">
        <f t="shared" si="3"/>
        <v>0</v>
      </c>
      <c r="AI32" s="24">
        <f t="shared" si="4"/>
        <v>3</v>
      </c>
      <c r="AJ32" s="23">
        <f t="shared" si="5"/>
        <v>3</v>
      </c>
      <c r="AK32" s="23">
        <f t="shared" si="6"/>
        <v>0</v>
      </c>
      <c r="AL32" s="25">
        <f>'MASTER STOCK'!I29</f>
        <v>7000</v>
      </c>
      <c r="AM32" s="26">
        <f>'MASTER STOCK'!L29</f>
        <v>9100</v>
      </c>
      <c r="AN32" s="27">
        <f t="shared" si="7"/>
        <v>0</v>
      </c>
      <c r="AO32" s="26">
        <f t="shared" si="8"/>
        <v>0</v>
      </c>
      <c r="AP32" s="10"/>
    </row>
    <row r="33">
      <c r="A33" s="20" t="str">
        <f>'MASTER STOCK'!F30</f>
        <v>Kuas cat 2 1/2" (merk MDN)</v>
      </c>
      <c r="B33" s="21">
        <f>'MASTER STOCK'!G30</f>
        <v>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23">
        <f t="shared" si="3"/>
        <v>0</v>
      </c>
      <c r="AI33" s="24">
        <f t="shared" si="4"/>
        <v>5</v>
      </c>
      <c r="AJ33" s="23">
        <f t="shared" si="5"/>
        <v>5</v>
      </c>
      <c r="AK33" s="23">
        <f t="shared" si="6"/>
        <v>0</v>
      </c>
      <c r="AL33" s="25">
        <f>'MASTER STOCK'!I30</f>
        <v>5300</v>
      </c>
      <c r="AM33" s="26">
        <f>'MASTER STOCK'!L30</f>
        <v>6890</v>
      </c>
      <c r="AN33" s="27">
        <f t="shared" si="7"/>
        <v>0</v>
      </c>
      <c r="AO33" s="26">
        <f t="shared" si="8"/>
        <v>0</v>
      </c>
      <c r="AP33" s="10"/>
    </row>
    <row r="34">
      <c r="A34" s="20" t="str">
        <f>'MASTER STOCK'!F31</f>
        <v>Kuas cat 2" (merk MDN)</v>
      </c>
      <c r="B34" s="21">
        <f>'MASTER STOCK'!G31</f>
        <v>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23">
        <f t="shared" si="3"/>
        <v>0</v>
      </c>
      <c r="AI34" s="24">
        <f t="shared" si="4"/>
        <v>5</v>
      </c>
      <c r="AJ34" s="23">
        <f t="shared" si="5"/>
        <v>5</v>
      </c>
      <c r="AK34" s="23">
        <f t="shared" si="6"/>
        <v>0</v>
      </c>
      <c r="AL34" s="25">
        <f>'MASTER STOCK'!I31</f>
        <v>4400</v>
      </c>
      <c r="AM34" s="26">
        <f>'MASTER STOCK'!L31</f>
        <v>5720</v>
      </c>
      <c r="AN34" s="27">
        <f t="shared" si="7"/>
        <v>0</v>
      </c>
      <c r="AO34" s="26">
        <f t="shared" si="8"/>
        <v>0</v>
      </c>
      <c r="AP34" s="10"/>
    </row>
    <row r="35">
      <c r="A35" s="20" t="str">
        <f>'MASTER STOCK'!F32</f>
        <v>Kuas cat 3" (merk MDN)</v>
      </c>
      <c r="B35" s="21">
        <f>'MASTER STOCK'!G32</f>
        <v>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23">
        <f t="shared" si="3"/>
        <v>0</v>
      </c>
      <c r="AI35" s="24">
        <f t="shared" si="4"/>
        <v>5</v>
      </c>
      <c r="AJ35" s="23">
        <f t="shared" si="5"/>
        <v>5</v>
      </c>
      <c r="AK35" s="23">
        <f t="shared" si="6"/>
        <v>0</v>
      </c>
      <c r="AL35" s="25">
        <f>'MASTER STOCK'!I32</f>
        <v>6300</v>
      </c>
      <c r="AM35" s="26">
        <f>'MASTER STOCK'!L32</f>
        <v>8190</v>
      </c>
      <c r="AN35" s="27">
        <f t="shared" si="7"/>
        <v>0</v>
      </c>
      <c r="AO35" s="26">
        <f t="shared" si="8"/>
        <v>0</v>
      </c>
      <c r="AP35" s="10"/>
    </row>
    <row r="36">
      <c r="A36" s="20" t="str">
        <f>'MASTER STOCK'!F33</f>
        <v>Kuas cat 1 1/2" (merk MDN)</v>
      </c>
      <c r="B36" s="21">
        <f>'MASTER STOCK'!G33</f>
        <v>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23">
        <f t="shared" si="3"/>
        <v>0</v>
      </c>
      <c r="AI36" s="24">
        <f t="shared" si="4"/>
        <v>5</v>
      </c>
      <c r="AJ36" s="23">
        <f t="shared" si="5"/>
        <v>5</v>
      </c>
      <c r="AK36" s="23">
        <f t="shared" si="6"/>
        <v>0</v>
      </c>
      <c r="AL36" s="25">
        <f>'MASTER STOCK'!I33</f>
        <v>3400</v>
      </c>
      <c r="AM36" s="26">
        <f>'MASTER STOCK'!L33</f>
        <v>4420</v>
      </c>
      <c r="AN36" s="27">
        <f t="shared" si="7"/>
        <v>0</v>
      </c>
      <c r="AO36" s="26">
        <f t="shared" si="8"/>
        <v>0</v>
      </c>
      <c r="AP36" s="10"/>
    </row>
    <row r="37">
      <c r="A37" s="20" t="str">
        <f>'MASTER STOCK'!F34</f>
        <v>Kuas cat 1" (merk MDN)</v>
      </c>
      <c r="B37" s="21">
        <f>'MASTER STOCK'!G34</f>
        <v>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23">
        <f t="shared" si="3"/>
        <v>0</v>
      </c>
      <c r="AI37" s="24">
        <f t="shared" si="4"/>
        <v>5</v>
      </c>
      <c r="AJ37" s="23">
        <f t="shared" si="5"/>
        <v>5</v>
      </c>
      <c r="AK37" s="23">
        <f t="shared" si="6"/>
        <v>0</v>
      </c>
      <c r="AL37" s="25">
        <f>'MASTER STOCK'!I34</f>
        <v>2300</v>
      </c>
      <c r="AM37" s="26">
        <f>'MASTER STOCK'!L34</f>
        <v>2990</v>
      </c>
      <c r="AN37" s="27">
        <f t="shared" si="7"/>
        <v>0</v>
      </c>
      <c r="AO37" s="26">
        <f t="shared" si="8"/>
        <v>0</v>
      </c>
      <c r="AP37" s="10"/>
    </row>
    <row r="38">
      <c r="A38" s="20" t="str">
        <f>'MASTER STOCK'!F35</f>
        <v>Kran PVC Tembok 3/4"</v>
      </c>
      <c r="B38" s="21">
        <f>'MASTER STOCK'!G35</f>
        <v>24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23">
        <f t="shared" si="3"/>
        <v>0</v>
      </c>
      <c r="AI38" s="24">
        <f t="shared" si="4"/>
        <v>24</v>
      </c>
      <c r="AJ38" s="23">
        <f t="shared" si="5"/>
        <v>24</v>
      </c>
      <c r="AK38" s="23">
        <f t="shared" si="6"/>
        <v>0</v>
      </c>
      <c r="AL38" s="25">
        <f>'MASTER STOCK'!I35</f>
        <v>4200</v>
      </c>
      <c r="AM38" s="26">
        <f>'MASTER STOCK'!L35</f>
        <v>6000</v>
      </c>
      <c r="AN38" s="27">
        <f t="shared" si="7"/>
        <v>0</v>
      </c>
      <c r="AO38" s="26">
        <f t="shared" si="8"/>
        <v>0</v>
      </c>
      <c r="AP38" s="10"/>
    </row>
    <row r="39">
      <c r="A39" s="20" t="str">
        <f>'MASTER STOCK'!F36</f>
        <v>Kran PVC Tembok 1/2"</v>
      </c>
      <c r="B39" s="21">
        <f>'MASTER STOCK'!G36</f>
        <v>24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23">
        <f t="shared" si="3"/>
        <v>0</v>
      </c>
      <c r="AI39" s="24">
        <f t="shared" si="4"/>
        <v>24</v>
      </c>
      <c r="AJ39" s="23">
        <f t="shared" si="5"/>
        <v>24</v>
      </c>
      <c r="AK39" s="23">
        <f t="shared" si="6"/>
        <v>0</v>
      </c>
      <c r="AL39" s="25">
        <f>'MASTER STOCK'!I36</f>
        <v>4200</v>
      </c>
      <c r="AM39" s="26">
        <f>'MASTER STOCK'!L36</f>
        <v>6000</v>
      </c>
      <c r="AN39" s="27">
        <f t="shared" si="7"/>
        <v>0</v>
      </c>
      <c r="AO39" s="26">
        <f t="shared" si="8"/>
        <v>0</v>
      </c>
      <c r="AP39" s="10"/>
    </row>
    <row r="40">
      <c r="A40" s="20" t="str">
        <f>'MASTER STOCK'!F37</f>
        <v>Lampu bohlam inlite 5w Putih</v>
      </c>
      <c r="B40" s="21">
        <f>'MASTER STOCK'!G37</f>
        <v>7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23">
        <f t="shared" si="3"/>
        <v>0</v>
      </c>
      <c r="AI40" s="24">
        <f t="shared" si="4"/>
        <v>7</v>
      </c>
      <c r="AJ40" s="23">
        <f t="shared" si="5"/>
        <v>7</v>
      </c>
      <c r="AK40" s="23">
        <f t="shared" si="6"/>
        <v>0</v>
      </c>
      <c r="AL40" s="25">
        <f>'MASTER STOCK'!I37</f>
        <v>13000</v>
      </c>
      <c r="AM40" s="26">
        <f>'MASTER STOCK'!L37</f>
        <v>18200</v>
      </c>
      <c r="AN40" s="27">
        <f t="shared" si="7"/>
        <v>0</v>
      </c>
      <c r="AO40" s="26">
        <f t="shared" si="8"/>
        <v>0</v>
      </c>
      <c r="AP40" s="10"/>
    </row>
    <row r="41">
      <c r="A41" s="20" t="str">
        <f>'MASTER STOCK'!F38</f>
        <v>Lampu bohlam inlite 7w Putih</v>
      </c>
      <c r="B41" s="21">
        <f>'MASTER STOCK'!G38</f>
        <v>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23">
        <f t="shared" si="3"/>
        <v>0</v>
      </c>
      <c r="AI41" s="24">
        <f t="shared" si="4"/>
        <v>2</v>
      </c>
      <c r="AJ41" s="23">
        <f t="shared" si="5"/>
        <v>2</v>
      </c>
      <c r="AK41" s="23">
        <f t="shared" si="6"/>
        <v>0</v>
      </c>
      <c r="AL41" s="25">
        <f>'MASTER STOCK'!I38</f>
        <v>16200</v>
      </c>
      <c r="AM41" s="26">
        <f>'MASTER STOCK'!L38</f>
        <v>22680</v>
      </c>
      <c r="AN41" s="27">
        <f t="shared" si="7"/>
        <v>0</v>
      </c>
      <c r="AO41" s="26">
        <f t="shared" si="8"/>
        <v>0</v>
      </c>
      <c r="AP41" s="10"/>
    </row>
    <row r="42">
      <c r="A42" s="20" t="str">
        <f>'MASTER STOCK'!F39</f>
        <v>Lampu bohlam inlite 15w Putih</v>
      </c>
      <c r="B42" s="21">
        <f>'MASTER STOCK'!G39</f>
        <v>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23">
        <f t="shared" si="3"/>
        <v>0</v>
      </c>
      <c r="AI42" s="24">
        <f t="shared" si="4"/>
        <v>4</v>
      </c>
      <c r="AJ42" s="23">
        <f t="shared" si="5"/>
        <v>4</v>
      </c>
      <c r="AK42" s="23">
        <f t="shared" si="6"/>
        <v>0</v>
      </c>
      <c r="AL42" s="25">
        <f>'MASTER STOCK'!I39</f>
        <v>28000</v>
      </c>
      <c r="AM42" s="26">
        <f>'MASTER STOCK'!L39</f>
        <v>39200</v>
      </c>
      <c r="AN42" s="27">
        <f t="shared" si="7"/>
        <v>0</v>
      </c>
      <c r="AO42" s="26">
        <f t="shared" si="8"/>
        <v>0</v>
      </c>
      <c r="AP42" s="10"/>
    </row>
    <row r="43">
      <c r="A43" s="20" t="str">
        <f>'MASTER STOCK'!F40</f>
        <v>Lampu bohlam inlite 12w Putih</v>
      </c>
      <c r="B43" s="21">
        <f>'MASTER STOCK'!G40</f>
        <v>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23">
        <f t="shared" si="3"/>
        <v>0</v>
      </c>
      <c r="AI43" s="24">
        <f t="shared" si="4"/>
        <v>6</v>
      </c>
      <c r="AJ43" s="23">
        <f t="shared" si="5"/>
        <v>6</v>
      </c>
      <c r="AK43" s="23">
        <f t="shared" si="6"/>
        <v>0</v>
      </c>
      <c r="AL43" s="25">
        <f>'MASTER STOCK'!I40</f>
        <v>25000</v>
      </c>
      <c r="AM43" s="26">
        <f>'MASTER STOCK'!L40</f>
        <v>30000</v>
      </c>
      <c r="AN43" s="27">
        <f t="shared" si="7"/>
        <v>0</v>
      </c>
      <c r="AO43" s="26">
        <f t="shared" si="8"/>
        <v>0</v>
      </c>
      <c r="AP43" s="10"/>
    </row>
    <row r="44">
      <c r="A44" s="20" t="str">
        <f>'MASTER STOCK'!F41</f>
        <v>Lampu tintin platinum LED 9w</v>
      </c>
      <c r="B44" s="21">
        <f>'MASTER STOCK'!G41</f>
        <v>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22">
        <v>1.0</v>
      </c>
      <c r="S44" s="10"/>
      <c r="T44" s="22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23">
        <f t="shared" si="3"/>
        <v>1</v>
      </c>
      <c r="AI44" s="24">
        <f t="shared" si="4"/>
        <v>4</v>
      </c>
      <c r="AJ44" s="23">
        <f t="shared" si="5"/>
        <v>4</v>
      </c>
      <c r="AK44" s="23">
        <f t="shared" si="6"/>
        <v>0</v>
      </c>
      <c r="AL44" s="25">
        <f>'MASTER STOCK'!I41</f>
        <v>7000</v>
      </c>
      <c r="AM44" s="26">
        <f>'MASTER STOCK'!L41</f>
        <v>9800</v>
      </c>
      <c r="AN44" s="27">
        <f t="shared" si="7"/>
        <v>9800</v>
      </c>
      <c r="AO44" s="26">
        <f t="shared" si="8"/>
        <v>2800</v>
      </c>
      <c r="AP44" s="10"/>
    </row>
    <row r="45">
      <c r="A45" s="20" t="str">
        <f>'MASTER STOCK'!F42</f>
        <v>Lampu tintin platinum LED 5w</v>
      </c>
      <c r="B45" s="21">
        <f>'MASTER STOCK'!G42</f>
        <v>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22">
        <v>1.0</v>
      </c>
      <c r="S45" s="10"/>
      <c r="T45" s="22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23">
        <f t="shared" si="3"/>
        <v>1</v>
      </c>
      <c r="AI45" s="24">
        <f t="shared" si="4"/>
        <v>4</v>
      </c>
      <c r="AJ45" s="23">
        <f t="shared" si="5"/>
        <v>4</v>
      </c>
      <c r="AK45" s="23">
        <f t="shared" si="6"/>
        <v>0</v>
      </c>
      <c r="AL45" s="25">
        <f>'MASTER STOCK'!I42</f>
        <v>5000</v>
      </c>
      <c r="AM45" s="26">
        <f>'MASTER STOCK'!L42</f>
        <v>7000</v>
      </c>
      <c r="AN45" s="27">
        <f t="shared" si="7"/>
        <v>7000</v>
      </c>
      <c r="AO45" s="26">
        <f t="shared" si="8"/>
        <v>2000</v>
      </c>
      <c r="AP45" s="10"/>
    </row>
    <row r="46">
      <c r="A46" s="20" t="str">
        <f>'MASTER STOCK'!F43</f>
        <v>Lampu tintin platinum LED 21w</v>
      </c>
      <c r="B46" s="21">
        <f>'MASTER STOCK'!G43</f>
        <v>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23">
        <f t="shared" si="3"/>
        <v>0</v>
      </c>
      <c r="AI46" s="24">
        <f t="shared" si="4"/>
        <v>3</v>
      </c>
      <c r="AJ46" s="23">
        <f t="shared" si="5"/>
        <v>3</v>
      </c>
      <c r="AK46" s="23">
        <f t="shared" si="6"/>
        <v>0</v>
      </c>
      <c r="AL46" s="25">
        <f>'MASTER STOCK'!I43</f>
        <v>15500</v>
      </c>
      <c r="AM46" s="26">
        <f>'MASTER STOCK'!L43</f>
        <v>21700</v>
      </c>
      <c r="AN46" s="27">
        <f t="shared" si="7"/>
        <v>0</v>
      </c>
      <c r="AO46" s="26">
        <f t="shared" si="8"/>
        <v>0</v>
      </c>
      <c r="AP46" s="10"/>
    </row>
    <row r="47">
      <c r="A47" s="20" t="str">
        <f>'MASTER STOCK'!F44</f>
        <v>Lampu tintin platinum LED 15w</v>
      </c>
      <c r="B47" s="21">
        <f>'MASTER STOCK'!G44</f>
        <v>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23">
        <f t="shared" si="3"/>
        <v>0</v>
      </c>
      <c r="AI47" s="24">
        <f t="shared" si="4"/>
        <v>5</v>
      </c>
      <c r="AJ47" s="23">
        <f t="shared" si="5"/>
        <v>5</v>
      </c>
      <c r="AK47" s="23">
        <f t="shared" si="6"/>
        <v>0</v>
      </c>
      <c r="AL47" s="25">
        <f>'MASTER STOCK'!I44</f>
        <v>8800</v>
      </c>
      <c r="AM47" s="26">
        <f>'MASTER STOCK'!L44</f>
        <v>13000</v>
      </c>
      <c r="AN47" s="27">
        <f t="shared" si="7"/>
        <v>0</v>
      </c>
      <c r="AO47" s="26">
        <f t="shared" si="8"/>
        <v>0</v>
      </c>
      <c r="AP47" s="10"/>
    </row>
    <row r="48">
      <c r="A48" s="20" t="str">
        <f>'MASTER STOCK'!F45</f>
        <v>Lampu tintin platinum LED 12w</v>
      </c>
      <c r="B48" s="21">
        <f>'MASTER STOCK'!G45</f>
        <v>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23">
        <f t="shared" si="3"/>
        <v>0</v>
      </c>
      <c r="AI48" s="24">
        <f t="shared" si="4"/>
        <v>5</v>
      </c>
      <c r="AJ48" s="23">
        <f t="shared" si="5"/>
        <v>5</v>
      </c>
      <c r="AK48" s="23">
        <f t="shared" si="6"/>
        <v>0</v>
      </c>
      <c r="AL48" s="25">
        <f>'MASTER STOCK'!I45</f>
        <v>7800</v>
      </c>
      <c r="AM48" s="26">
        <f>'MASTER STOCK'!L45</f>
        <v>10920</v>
      </c>
      <c r="AN48" s="27">
        <f t="shared" si="7"/>
        <v>0</v>
      </c>
      <c r="AO48" s="26">
        <f t="shared" si="8"/>
        <v>0</v>
      </c>
      <c r="AP48" s="10"/>
    </row>
    <row r="49">
      <c r="A49" s="20" t="str">
        <f>'MASTER STOCK'!F46</f>
        <v>Lampu tintin platinum LED 7w</v>
      </c>
      <c r="B49" s="21">
        <f>'MASTER STOCK'!G46</f>
        <v>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23">
        <f t="shared" si="3"/>
        <v>0</v>
      </c>
      <c r="AI49" s="24">
        <f t="shared" si="4"/>
        <v>5</v>
      </c>
      <c r="AJ49" s="23">
        <f t="shared" si="5"/>
        <v>5</v>
      </c>
      <c r="AK49" s="23">
        <f t="shared" si="6"/>
        <v>0</v>
      </c>
      <c r="AL49" s="25">
        <f>'MASTER STOCK'!I46</f>
        <v>5800</v>
      </c>
      <c r="AM49" s="26">
        <f>'MASTER STOCK'!L46</f>
        <v>8120</v>
      </c>
      <c r="AN49" s="27">
        <f t="shared" si="7"/>
        <v>0</v>
      </c>
      <c r="AO49" s="26">
        <f t="shared" si="8"/>
        <v>0</v>
      </c>
      <c r="AP49" s="10"/>
    </row>
    <row r="50">
      <c r="A50" s="20" t="str">
        <f>'MASTER STOCK'!F47</f>
        <v>Gergaji kayu (POPEYE) 18 inch </v>
      </c>
      <c r="B50" s="21">
        <f>'MASTER STOCK'!G47</f>
        <v>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23">
        <f t="shared" si="3"/>
        <v>0</v>
      </c>
      <c r="AI50" s="24">
        <f t="shared" si="4"/>
        <v>4</v>
      </c>
      <c r="AJ50" s="23">
        <f t="shared" si="5"/>
        <v>4</v>
      </c>
      <c r="AK50" s="23">
        <f t="shared" si="6"/>
        <v>0</v>
      </c>
      <c r="AL50" s="25">
        <f>'MASTER STOCK'!I47</f>
        <v>15000</v>
      </c>
      <c r="AM50" s="26">
        <f>'MASTER STOCK'!L47</f>
        <v>19500</v>
      </c>
      <c r="AN50" s="27">
        <f t="shared" si="7"/>
        <v>0</v>
      </c>
      <c r="AO50" s="26">
        <f t="shared" si="8"/>
        <v>0</v>
      </c>
      <c r="AP50" s="10"/>
    </row>
    <row r="51">
      <c r="A51" s="20" t="str">
        <f>'MASTER STOCK'!F48</f>
        <v>Kapi plamir plastik PVC 9" (23cm)</v>
      </c>
      <c r="B51" s="21">
        <f>'MASTER STOCK'!G48</f>
        <v>10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23">
        <f t="shared" si="3"/>
        <v>0</v>
      </c>
      <c r="AI51" s="24">
        <f t="shared" si="4"/>
        <v>10</v>
      </c>
      <c r="AJ51" s="23">
        <f t="shared" si="5"/>
        <v>10</v>
      </c>
      <c r="AK51" s="23">
        <f t="shared" si="6"/>
        <v>0</v>
      </c>
      <c r="AL51" s="25">
        <f>'MASTER STOCK'!I48</f>
        <v>2200</v>
      </c>
      <c r="AM51" s="26">
        <f>'MASTER STOCK'!L48</f>
        <v>3300</v>
      </c>
      <c r="AN51" s="27">
        <f t="shared" si="7"/>
        <v>0</v>
      </c>
      <c r="AO51" s="26">
        <f t="shared" si="8"/>
        <v>0</v>
      </c>
      <c r="AP51" s="10"/>
    </row>
    <row r="52">
      <c r="A52" s="20" t="str">
        <f>'MASTER STOCK'!F49</f>
        <v>Kapi plamir plastik PVC 5" (12cm)</v>
      </c>
      <c r="B52" s="21">
        <f>'MASTER STOCK'!G49</f>
        <v>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23">
        <f t="shared" si="3"/>
        <v>0</v>
      </c>
      <c r="AI52" s="24">
        <f t="shared" si="4"/>
        <v>5</v>
      </c>
      <c r="AJ52" s="23">
        <f t="shared" si="5"/>
        <v>5</v>
      </c>
      <c r="AK52" s="23">
        <f t="shared" si="6"/>
        <v>0</v>
      </c>
      <c r="AL52" s="25">
        <f>'MASTER STOCK'!I49</f>
        <v>1100</v>
      </c>
      <c r="AM52" s="26">
        <f>'MASTER STOCK'!L49</f>
        <v>1650</v>
      </c>
      <c r="AN52" s="27">
        <f t="shared" si="7"/>
        <v>0</v>
      </c>
      <c r="AO52" s="26">
        <f t="shared" si="8"/>
        <v>0</v>
      </c>
      <c r="AP52" s="10"/>
    </row>
    <row r="53">
      <c r="A53" s="20" t="str">
        <f>'MASTER STOCK'!F50</f>
        <v>Kapi plamir plastik PVC 7" (18cm)</v>
      </c>
      <c r="B53" s="21">
        <f>'MASTER STOCK'!G50</f>
        <v>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23">
        <f t="shared" si="3"/>
        <v>0</v>
      </c>
      <c r="AI53" s="24">
        <f t="shared" si="4"/>
        <v>10</v>
      </c>
      <c r="AJ53" s="23">
        <f t="shared" si="5"/>
        <v>10</v>
      </c>
      <c r="AK53" s="23">
        <f t="shared" si="6"/>
        <v>0</v>
      </c>
      <c r="AL53" s="25">
        <f>'MASTER STOCK'!I50</f>
        <v>1500</v>
      </c>
      <c r="AM53" s="26">
        <f>'MASTER STOCK'!L50</f>
        <v>2250</v>
      </c>
      <c r="AN53" s="27">
        <f t="shared" si="7"/>
        <v>0</v>
      </c>
      <c r="AO53" s="26">
        <f t="shared" si="8"/>
        <v>0</v>
      </c>
      <c r="AP53" s="10"/>
    </row>
    <row r="54">
      <c r="A54" s="20" t="str">
        <f>'MASTER STOCK'!F51</f>
        <v>Tang Kombinasi karet 8"</v>
      </c>
      <c r="B54" s="21">
        <f>'MASTER STOCK'!G51</f>
        <v>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23">
        <f t="shared" si="3"/>
        <v>0</v>
      </c>
      <c r="AI54" s="24">
        <f t="shared" si="4"/>
        <v>5</v>
      </c>
      <c r="AJ54" s="23">
        <f t="shared" si="5"/>
        <v>5</v>
      </c>
      <c r="AK54" s="23">
        <f t="shared" si="6"/>
        <v>0</v>
      </c>
      <c r="AL54" s="25">
        <f>'MASTER STOCK'!I51</f>
        <v>12000</v>
      </c>
      <c r="AM54" s="26">
        <f>'MASTER STOCK'!L51</f>
        <v>15600</v>
      </c>
      <c r="AN54" s="27">
        <f t="shared" si="7"/>
        <v>0</v>
      </c>
      <c r="AO54" s="26">
        <f t="shared" si="8"/>
        <v>0</v>
      </c>
      <c r="AP54" s="10"/>
    </row>
    <row r="55">
      <c r="A55" s="20" t="str">
        <f>'MASTER STOCK'!F52</f>
        <v>Tang Kombinasi 8"</v>
      </c>
      <c r="B55" s="21">
        <f>'MASTER STOCK'!G52</f>
        <v>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23">
        <f t="shared" si="3"/>
        <v>0</v>
      </c>
      <c r="AI55" s="24">
        <f t="shared" si="4"/>
        <v>5</v>
      </c>
      <c r="AJ55" s="23">
        <f t="shared" si="5"/>
        <v>5</v>
      </c>
      <c r="AK55" s="23">
        <f t="shared" si="6"/>
        <v>0</v>
      </c>
      <c r="AL55" s="25">
        <f>'MASTER STOCK'!I52</f>
        <v>12500</v>
      </c>
      <c r="AM55" s="26">
        <f>'MASTER STOCK'!L52</f>
        <v>16250</v>
      </c>
      <c r="AN55" s="27">
        <f t="shared" si="7"/>
        <v>0</v>
      </c>
      <c r="AO55" s="26">
        <f t="shared" si="8"/>
        <v>0</v>
      </c>
      <c r="AP55" s="10"/>
    </row>
    <row r="56">
      <c r="A56" s="20" t="str">
        <f>'MASTER STOCK'!F53</f>
        <v>Stop Kontak Hitam 3L 5M </v>
      </c>
      <c r="B56" s="21">
        <f>'MASTER STOCK'!G53</f>
        <v>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23">
        <f t="shared" si="3"/>
        <v>0</v>
      </c>
      <c r="AI56" s="24">
        <f t="shared" si="4"/>
        <v>2</v>
      </c>
      <c r="AJ56" s="23">
        <f t="shared" si="5"/>
        <v>2</v>
      </c>
      <c r="AK56" s="23">
        <f t="shared" si="6"/>
        <v>0</v>
      </c>
      <c r="AL56" s="25">
        <f>'MASTER STOCK'!I53</f>
        <v>18400</v>
      </c>
      <c r="AM56" s="26">
        <f>'MASTER STOCK'!L53</f>
        <v>27600</v>
      </c>
      <c r="AN56" s="27">
        <f t="shared" si="7"/>
        <v>0</v>
      </c>
      <c r="AO56" s="26">
        <f t="shared" si="8"/>
        <v>0</v>
      </c>
      <c r="AP56" s="10"/>
    </row>
    <row r="57">
      <c r="A57" s="20" t="str">
        <f>'MASTER STOCK'!F54</f>
        <v>Stop Kontak Hitam 4L 5M </v>
      </c>
      <c r="B57" s="21">
        <f>'MASTER STOCK'!G54</f>
        <v>3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23">
        <f t="shared" si="3"/>
        <v>0</v>
      </c>
      <c r="AI57" s="24">
        <f t="shared" si="4"/>
        <v>3</v>
      </c>
      <c r="AJ57" s="23">
        <f t="shared" si="5"/>
        <v>3</v>
      </c>
      <c r="AK57" s="23">
        <f t="shared" si="6"/>
        <v>0</v>
      </c>
      <c r="AL57" s="25">
        <f>'MASTER STOCK'!I54</f>
        <v>19600</v>
      </c>
      <c r="AM57" s="26">
        <f>'MASTER STOCK'!L54</f>
        <v>29400</v>
      </c>
      <c r="AN57" s="27">
        <f t="shared" si="7"/>
        <v>0</v>
      </c>
      <c r="AO57" s="26">
        <f t="shared" si="8"/>
        <v>0</v>
      </c>
      <c r="AP57" s="10"/>
    </row>
    <row r="58">
      <c r="A58" s="20" t="str">
        <f>'MASTER STOCK'!F55</f>
        <v>Stop Kontak Hitam 5L 5M </v>
      </c>
      <c r="B58" s="21">
        <f>'MASTER STOCK'!G55</f>
        <v>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23">
        <f t="shared" si="3"/>
        <v>0</v>
      </c>
      <c r="AI58" s="24">
        <f t="shared" si="4"/>
        <v>6</v>
      </c>
      <c r="AJ58" s="23">
        <f t="shared" si="5"/>
        <v>6</v>
      </c>
      <c r="AK58" s="23">
        <f t="shared" si="6"/>
        <v>0</v>
      </c>
      <c r="AL58" s="25">
        <f>'MASTER STOCK'!I55</f>
        <v>21000</v>
      </c>
      <c r="AM58" s="26">
        <f>'MASTER STOCK'!L55</f>
        <v>31500</v>
      </c>
      <c r="AN58" s="27">
        <f t="shared" si="7"/>
        <v>0</v>
      </c>
      <c r="AO58" s="26">
        <f t="shared" si="8"/>
        <v>0</v>
      </c>
      <c r="AP58" s="10"/>
    </row>
    <row r="59">
      <c r="A59" s="20" t="str">
        <f>'MASTER STOCK'!F56</f>
        <v>Stop Kontak Hitam 2L 5M </v>
      </c>
      <c r="B59" s="21">
        <f>'MASTER STOCK'!G56</f>
        <v>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23">
        <f t="shared" si="3"/>
        <v>0</v>
      </c>
      <c r="AI59" s="24">
        <f t="shared" si="4"/>
        <v>2</v>
      </c>
      <c r="AJ59" s="23">
        <f t="shared" si="5"/>
        <v>2</v>
      </c>
      <c r="AK59" s="23">
        <f t="shared" si="6"/>
        <v>0</v>
      </c>
      <c r="AL59" s="25">
        <f>'MASTER STOCK'!I56</f>
        <v>17000</v>
      </c>
      <c r="AM59" s="26">
        <f>'MASTER STOCK'!L56</f>
        <v>25500</v>
      </c>
      <c r="AN59" s="27">
        <f t="shared" si="7"/>
        <v>0</v>
      </c>
      <c r="AO59" s="26">
        <f t="shared" si="8"/>
        <v>0</v>
      </c>
      <c r="AP59" s="10"/>
    </row>
    <row r="60">
      <c r="A60" s="20" t="str">
        <f>'MASTER STOCK'!F57</f>
        <v>Palu Konde besi cor gagang kayu ukuran 1LB</v>
      </c>
      <c r="B60" s="21">
        <f>'MASTER STOCK'!G57</f>
        <v>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23">
        <f t="shared" si="3"/>
        <v>0</v>
      </c>
      <c r="AI60" s="24">
        <f t="shared" si="4"/>
        <v>3</v>
      </c>
      <c r="AJ60" s="23">
        <f t="shared" si="5"/>
        <v>3</v>
      </c>
      <c r="AK60" s="23">
        <f t="shared" si="6"/>
        <v>0</v>
      </c>
      <c r="AL60" s="25">
        <f>'MASTER STOCK'!I57</f>
        <v>17000</v>
      </c>
      <c r="AM60" s="26">
        <f>'MASTER STOCK'!L57</f>
        <v>22100</v>
      </c>
      <c r="AN60" s="27">
        <f t="shared" si="7"/>
        <v>0</v>
      </c>
      <c r="AO60" s="26">
        <f t="shared" si="8"/>
        <v>0</v>
      </c>
      <c r="AP60" s="10"/>
    </row>
    <row r="61">
      <c r="A61" s="20" t="str">
        <f>'MASTER STOCK'!F58</f>
        <v>Lem kuning 100gr</v>
      </c>
      <c r="B61" s="21">
        <f>'MASTER STOCK'!G58</f>
        <v>25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22">
        <v>1.0</v>
      </c>
      <c r="AA61" s="10"/>
      <c r="AB61" s="10"/>
      <c r="AC61" s="10"/>
      <c r="AD61" s="10"/>
      <c r="AE61" s="10"/>
      <c r="AF61" s="10"/>
      <c r="AG61" s="10"/>
      <c r="AH61" s="23">
        <f t="shared" si="3"/>
        <v>1</v>
      </c>
      <c r="AI61" s="24">
        <f t="shared" si="4"/>
        <v>24</v>
      </c>
      <c r="AJ61" s="23">
        <f t="shared" si="5"/>
        <v>24</v>
      </c>
      <c r="AK61" s="23">
        <f t="shared" si="6"/>
        <v>0</v>
      </c>
      <c r="AL61" s="25">
        <f>'MASTER STOCK'!I58</f>
        <v>10000</v>
      </c>
      <c r="AM61" s="26">
        <f>'MASTER STOCK'!L58</f>
        <v>15000</v>
      </c>
      <c r="AN61" s="27">
        <f t="shared" si="7"/>
        <v>15000</v>
      </c>
      <c r="AO61" s="26">
        <f t="shared" si="8"/>
        <v>5000</v>
      </c>
      <c r="AP61" s="10"/>
    </row>
    <row r="62">
      <c r="A62" s="20" t="str">
        <f>'MASTER STOCK'!F59</f>
        <v>Lem aica aibon kuning 125gr</v>
      </c>
      <c r="B62" s="21">
        <f>'MASTER STOCK'!G59</f>
        <v>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23">
        <f t="shared" si="3"/>
        <v>0</v>
      </c>
      <c r="AI62" s="24">
        <f t="shared" si="4"/>
        <v>2</v>
      </c>
      <c r="AJ62" s="23">
        <f t="shared" si="5"/>
        <v>2</v>
      </c>
      <c r="AK62" s="23">
        <f t="shared" si="6"/>
        <v>0</v>
      </c>
      <c r="AL62" s="25">
        <f>'MASTER STOCK'!I59</f>
        <v>18200</v>
      </c>
      <c r="AM62" s="26">
        <f>'MASTER STOCK'!L59</f>
        <v>27300</v>
      </c>
      <c r="AN62" s="27">
        <f t="shared" si="7"/>
        <v>0</v>
      </c>
      <c r="AO62" s="26">
        <f t="shared" si="8"/>
        <v>0</v>
      </c>
      <c r="AP62" s="10"/>
    </row>
    <row r="63">
      <c r="A63" s="20" t="str">
        <f>'MASTER STOCK'!F60</f>
        <v>Kuas 4" incco</v>
      </c>
      <c r="B63" s="21">
        <f>'MASTER STOCK'!G60</f>
        <v>3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23">
        <f t="shared" si="3"/>
        <v>0</v>
      </c>
      <c r="AI63" s="24">
        <f t="shared" si="4"/>
        <v>3</v>
      </c>
      <c r="AJ63" s="23">
        <f t="shared" si="5"/>
        <v>3</v>
      </c>
      <c r="AK63" s="23">
        <f t="shared" si="6"/>
        <v>0</v>
      </c>
      <c r="AL63" s="25">
        <f>'MASTER STOCK'!I60</f>
        <v>15000</v>
      </c>
      <c r="AM63" s="26">
        <f>'MASTER STOCK'!L60</f>
        <v>19500</v>
      </c>
      <c r="AN63" s="27">
        <f t="shared" si="7"/>
        <v>0</v>
      </c>
      <c r="AO63" s="26">
        <f t="shared" si="8"/>
        <v>0</v>
      </c>
      <c r="AP63" s="10"/>
    </row>
    <row r="64">
      <c r="A64" s="20" t="str">
        <f>'MASTER STOCK'!F61</f>
        <v>Meteran Autostop Wilmer 5m*19mm</v>
      </c>
      <c r="B64" s="21">
        <f>'MASTER STOCK'!G61</f>
        <v>2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23">
        <f t="shared" si="3"/>
        <v>0</v>
      </c>
      <c r="AI64" s="24">
        <f t="shared" si="4"/>
        <v>2</v>
      </c>
      <c r="AJ64" s="23">
        <f t="shared" si="5"/>
        <v>2</v>
      </c>
      <c r="AK64" s="23">
        <f t="shared" si="6"/>
        <v>0</v>
      </c>
      <c r="AL64" s="25">
        <f>'MASTER STOCK'!I61</f>
        <v>25000</v>
      </c>
      <c r="AM64" s="26">
        <f>'MASTER STOCK'!L61</f>
        <v>30000</v>
      </c>
      <c r="AN64" s="27">
        <f t="shared" si="7"/>
        <v>0</v>
      </c>
      <c r="AO64" s="26">
        <f t="shared" si="8"/>
        <v>0</v>
      </c>
      <c r="AP64" s="10"/>
    </row>
    <row r="65">
      <c r="A65" s="20" t="str">
        <f>'MASTER STOCK'!F62</f>
        <v>Precision S/Driver Obeng 6S DIY</v>
      </c>
      <c r="B65" s="21">
        <f>'MASTER STOCK'!G62</f>
        <v>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23">
        <f t="shared" si="3"/>
        <v>0</v>
      </c>
      <c r="AI65" s="24">
        <f t="shared" si="4"/>
        <v>2</v>
      </c>
      <c r="AJ65" s="23">
        <f t="shared" si="5"/>
        <v>2</v>
      </c>
      <c r="AK65" s="23">
        <f t="shared" si="6"/>
        <v>0</v>
      </c>
      <c r="AL65" s="25">
        <f>'MASTER STOCK'!I62</f>
        <v>9500</v>
      </c>
      <c r="AM65" s="26">
        <f>'MASTER STOCK'!L62</f>
        <v>13300</v>
      </c>
      <c r="AN65" s="27">
        <f t="shared" si="7"/>
        <v>0</v>
      </c>
      <c r="AO65" s="26">
        <f t="shared" si="8"/>
        <v>0</v>
      </c>
      <c r="AP65" s="10"/>
    </row>
    <row r="66">
      <c r="A66" s="20" t="str">
        <f>'MASTER STOCK'!F63</f>
        <v>Blades / Isi Cutter Besar DIY</v>
      </c>
      <c r="B66" s="21">
        <f>'MASTER STOCK'!G63</f>
        <v>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23">
        <f t="shared" si="3"/>
        <v>0</v>
      </c>
      <c r="AI66" s="24">
        <f t="shared" si="4"/>
        <v>20</v>
      </c>
      <c r="AJ66" s="23">
        <f t="shared" si="5"/>
        <v>20</v>
      </c>
      <c r="AK66" s="23">
        <f t="shared" si="6"/>
        <v>0</v>
      </c>
      <c r="AL66" s="25">
        <f>'MASTER STOCK'!I63</f>
        <v>1150</v>
      </c>
      <c r="AM66" s="26">
        <f>'MASTER STOCK'!L63</f>
        <v>1495</v>
      </c>
      <c r="AN66" s="27">
        <f t="shared" si="7"/>
        <v>0</v>
      </c>
      <c r="AO66" s="26">
        <f t="shared" si="8"/>
        <v>0</v>
      </c>
      <c r="AP66" s="10"/>
    </row>
    <row r="67">
      <c r="A67" s="20" t="str">
        <f>'MASTER STOCK'!F64</f>
        <v>Blades / Isi Cutter Kecil DIY</v>
      </c>
      <c r="B67" s="21">
        <f>'MASTER STOCK'!G64</f>
        <v>20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23">
        <f t="shared" si="3"/>
        <v>0</v>
      </c>
      <c r="AI67" s="24">
        <f t="shared" si="4"/>
        <v>20</v>
      </c>
      <c r="AJ67" s="23">
        <f t="shared" si="5"/>
        <v>20</v>
      </c>
      <c r="AK67" s="23">
        <f t="shared" si="6"/>
        <v>0</v>
      </c>
      <c r="AL67" s="25">
        <f>'MASTER STOCK'!I64</f>
        <v>700</v>
      </c>
      <c r="AM67" s="26">
        <f>'MASTER STOCK'!L64</f>
        <v>1050</v>
      </c>
      <c r="AN67" s="27">
        <f t="shared" si="7"/>
        <v>0</v>
      </c>
      <c r="AO67" s="26">
        <f t="shared" si="8"/>
        <v>0</v>
      </c>
      <c r="AP67" s="10"/>
    </row>
    <row r="68">
      <c r="A68" s="20" t="str">
        <f>'MASTER STOCK'!F65</f>
        <v>Screwdriver  / Obeng 4" isi 2 DIY</v>
      </c>
      <c r="B68" s="21">
        <f>'MASTER STOCK'!G65</f>
        <v>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23">
        <f t="shared" si="3"/>
        <v>0</v>
      </c>
      <c r="AI68" s="24">
        <f t="shared" si="4"/>
        <v>2</v>
      </c>
      <c r="AJ68" s="23">
        <f t="shared" si="5"/>
        <v>2</v>
      </c>
      <c r="AK68" s="23">
        <f t="shared" si="6"/>
        <v>0</v>
      </c>
      <c r="AL68" s="25">
        <f>'MASTER STOCK'!I65</f>
        <v>12000</v>
      </c>
      <c r="AM68" s="26">
        <f>'MASTER STOCK'!L65</f>
        <v>15600</v>
      </c>
      <c r="AN68" s="27">
        <f t="shared" si="7"/>
        <v>0</v>
      </c>
      <c r="AO68" s="26">
        <f t="shared" si="8"/>
        <v>0</v>
      </c>
      <c r="AP68" s="10"/>
    </row>
    <row r="69">
      <c r="A69" s="20" t="str">
        <f>'MASTER STOCK'!F66</f>
        <v>Test Pen DIY</v>
      </c>
      <c r="B69" s="21">
        <f>'MASTER STOCK'!G66</f>
        <v>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23">
        <f t="shared" si="3"/>
        <v>0</v>
      </c>
      <c r="AI69" s="24">
        <f t="shared" si="4"/>
        <v>2</v>
      </c>
      <c r="AJ69" s="23">
        <f t="shared" si="5"/>
        <v>2</v>
      </c>
      <c r="AK69" s="23">
        <f t="shared" si="6"/>
        <v>0</v>
      </c>
      <c r="AL69" s="25">
        <f>'MASTER STOCK'!I66</f>
        <v>12000</v>
      </c>
      <c r="AM69" s="26">
        <f>'MASTER STOCK'!L66</f>
        <v>15600</v>
      </c>
      <c r="AN69" s="27">
        <f t="shared" si="7"/>
        <v>0</v>
      </c>
      <c r="AO69" s="26">
        <f t="shared" si="8"/>
        <v>0</v>
      </c>
      <c r="AP69" s="10"/>
    </row>
    <row r="70">
      <c r="A70" s="20" t="str">
        <f>'MASTER STOCK'!F67</f>
        <v>Door Bolt / Selot Pintu DIY 4"</v>
      </c>
      <c r="B70" s="21">
        <f>'MASTER STOCK'!G67</f>
        <v>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23">
        <f t="shared" si="3"/>
        <v>0</v>
      </c>
      <c r="AI70" s="24">
        <f t="shared" si="4"/>
        <v>3</v>
      </c>
      <c r="AJ70" s="23">
        <f t="shared" si="5"/>
        <v>3</v>
      </c>
      <c r="AK70" s="23">
        <f t="shared" si="6"/>
        <v>0</v>
      </c>
      <c r="AL70" s="25">
        <f>'MASTER STOCK'!I67</f>
        <v>7500</v>
      </c>
      <c r="AM70" s="26">
        <f>'MASTER STOCK'!L67</f>
        <v>9750</v>
      </c>
      <c r="AN70" s="27">
        <f t="shared" si="7"/>
        <v>0</v>
      </c>
      <c r="AO70" s="26">
        <f t="shared" si="8"/>
        <v>0</v>
      </c>
      <c r="AP70" s="10"/>
    </row>
    <row r="71">
      <c r="A71" s="20" t="str">
        <f>'MASTER STOCK'!F68</f>
        <v>Door Bolt / Selot Pintu DIY 3"</v>
      </c>
      <c r="B71" s="21">
        <f>'MASTER STOCK'!G68</f>
        <v>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23">
        <f t="shared" si="3"/>
        <v>0</v>
      </c>
      <c r="AI71" s="24">
        <f t="shared" si="4"/>
        <v>2</v>
      </c>
      <c r="AJ71" s="23">
        <f t="shared" si="5"/>
        <v>2</v>
      </c>
      <c r="AK71" s="23">
        <f t="shared" si="6"/>
        <v>0</v>
      </c>
      <c r="AL71" s="25">
        <f>'MASTER STOCK'!I68</f>
        <v>10500</v>
      </c>
      <c r="AM71" s="26">
        <f>'MASTER STOCK'!L68</f>
        <v>13650</v>
      </c>
      <c r="AN71" s="27">
        <f t="shared" si="7"/>
        <v>0</v>
      </c>
      <c r="AO71" s="26">
        <f t="shared" si="8"/>
        <v>0</v>
      </c>
      <c r="AP71" s="10"/>
    </row>
    <row r="72">
      <c r="A72" s="20" t="str">
        <f>'MASTER STOCK'!F69</f>
        <v>Kuas 2" incco</v>
      </c>
      <c r="B72" s="21">
        <f>'MASTER STOCK'!G69</f>
        <v>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23">
        <f t="shared" si="3"/>
        <v>0</v>
      </c>
      <c r="AI72" s="24">
        <f t="shared" si="4"/>
        <v>3</v>
      </c>
      <c r="AJ72" s="23">
        <f t="shared" si="5"/>
        <v>3</v>
      </c>
      <c r="AK72" s="23">
        <f t="shared" si="6"/>
        <v>0</v>
      </c>
      <c r="AL72" s="25">
        <f>'MASTER STOCK'!I69</f>
        <v>7000</v>
      </c>
      <c r="AM72" s="26">
        <f>'MASTER STOCK'!L69</f>
        <v>9100</v>
      </c>
      <c r="AN72" s="27">
        <f t="shared" si="7"/>
        <v>0</v>
      </c>
      <c r="AO72" s="26">
        <f t="shared" si="8"/>
        <v>0</v>
      </c>
      <c r="AP72" s="10"/>
    </row>
    <row r="73">
      <c r="A73" s="20" t="str">
        <f>'MASTER STOCK'!F70</f>
        <v>Kuas 1" incco </v>
      </c>
      <c r="B73" s="21">
        <f>'MASTER STOCK'!G70</f>
        <v>5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23">
        <f t="shared" si="3"/>
        <v>0</v>
      </c>
      <c r="AI73" s="24">
        <f t="shared" si="4"/>
        <v>5</v>
      </c>
      <c r="AJ73" s="23">
        <f t="shared" si="5"/>
        <v>5</v>
      </c>
      <c r="AK73" s="23">
        <f t="shared" si="6"/>
        <v>0</v>
      </c>
      <c r="AL73" s="25">
        <f>'MASTER STOCK'!I70</f>
        <v>3500</v>
      </c>
      <c r="AM73" s="26">
        <f>'MASTER STOCK'!L70</f>
        <v>4550</v>
      </c>
      <c r="AN73" s="27">
        <f t="shared" si="7"/>
        <v>0</v>
      </c>
      <c r="AO73" s="26">
        <f t="shared" si="8"/>
        <v>0</v>
      </c>
      <c r="AP73" s="10"/>
    </row>
    <row r="74">
      <c r="A74" s="20" t="str">
        <f>'MASTER STOCK'!F71</f>
        <v>Kapi Plastik Kuning DIY</v>
      </c>
      <c r="B74" s="21">
        <f>'MASTER STOCK'!G71</f>
        <v>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23">
        <f t="shared" si="3"/>
        <v>0</v>
      </c>
      <c r="AI74" s="24">
        <f t="shared" si="4"/>
        <v>4</v>
      </c>
      <c r="AJ74" s="23">
        <f t="shared" si="5"/>
        <v>4</v>
      </c>
      <c r="AK74" s="23">
        <f t="shared" si="6"/>
        <v>0</v>
      </c>
      <c r="AL74" s="25">
        <f>'MASTER STOCK'!I71</f>
        <v>5500</v>
      </c>
      <c r="AM74" s="26">
        <f>'MASTER STOCK'!L71</f>
        <v>7150</v>
      </c>
      <c r="AN74" s="27">
        <f t="shared" si="7"/>
        <v>0</v>
      </c>
      <c r="AO74" s="26">
        <f t="shared" si="8"/>
        <v>0</v>
      </c>
      <c r="AP74" s="10"/>
    </row>
    <row r="75">
      <c r="A75" s="20" t="str">
        <f>'MASTER STOCK'!F72</f>
        <v>Kabel Ties 3.6x300mm (85 gram) isi 100 pcs</v>
      </c>
      <c r="B75" s="21">
        <f>'MASTER STOCK'!G72</f>
        <v>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23">
        <f t="shared" si="3"/>
        <v>0</v>
      </c>
      <c r="AI75" s="24">
        <f t="shared" si="4"/>
        <v>1</v>
      </c>
      <c r="AJ75" s="23">
        <f t="shared" si="5"/>
        <v>1</v>
      </c>
      <c r="AK75" s="23">
        <f t="shared" si="6"/>
        <v>0</v>
      </c>
      <c r="AL75" s="25">
        <f>'MASTER STOCK'!I72</f>
        <v>11000</v>
      </c>
      <c r="AM75" s="26">
        <f>'MASTER STOCK'!L72</f>
        <v>16500</v>
      </c>
      <c r="AN75" s="27">
        <f t="shared" si="7"/>
        <v>0</v>
      </c>
      <c r="AO75" s="26">
        <f t="shared" si="8"/>
        <v>0</v>
      </c>
      <c r="AP75" s="10"/>
    </row>
    <row r="76">
      <c r="A76" s="20" t="str">
        <f>'MASTER STOCK'!F73</f>
        <v>Kabel Ties 3.6x150mm (60 gram) isi 100 pcs</v>
      </c>
      <c r="B76" s="21">
        <f>'MASTER STOCK'!G73</f>
        <v>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23">
        <f t="shared" si="3"/>
        <v>0</v>
      </c>
      <c r="AI76" s="24">
        <f t="shared" si="4"/>
        <v>1</v>
      </c>
      <c r="AJ76" s="23">
        <f t="shared" si="5"/>
        <v>1</v>
      </c>
      <c r="AK76" s="23">
        <f t="shared" si="6"/>
        <v>0</v>
      </c>
      <c r="AL76" s="25">
        <f>'MASTER STOCK'!I73</f>
        <v>6500</v>
      </c>
      <c r="AM76" s="26">
        <f>'MASTER STOCK'!L73</f>
        <v>9750</v>
      </c>
      <c r="AN76" s="27">
        <f t="shared" si="7"/>
        <v>0</v>
      </c>
      <c r="AO76" s="26">
        <f t="shared" si="8"/>
        <v>0</v>
      </c>
      <c r="AP76" s="10"/>
    </row>
    <row r="77">
      <c r="A77" s="20" t="str">
        <f>'MASTER STOCK'!F74</f>
        <v>Kabel Ties 2.5x200mm (50 gram) isi 100 pcs</v>
      </c>
      <c r="B77" s="21">
        <f>'MASTER STOCK'!G74</f>
        <v>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23">
        <f t="shared" si="3"/>
        <v>0</v>
      </c>
      <c r="AI77" s="24">
        <f t="shared" si="4"/>
        <v>1</v>
      </c>
      <c r="AJ77" s="23">
        <f t="shared" si="5"/>
        <v>1</v>
      </c>
      <c r="AK77" s="23">
        <f t="shared" si="6"/>
        <v>0</v>
      </c>
      <c r="AL77" s="25">
        <f>'MASTER STOCK'!I74</f>
        <v>5300</v>
      </c>
      <c r="AM77" s="26">
        <f>'MASTER STOCK'!L74</f>
        <v>7950</v>
      </c>
      <c r="AN77" s="27">
        <f t="shared" si="7"/>
        <v>0</v>
      </c>
      <c r="AO77" s="26">
        <f t="shared" si="8"/>
        <v>0</v>
      </c>
      <c r="AP77" s="10"/>
    </row>
    <row r="78">
      <c r="A78" s="20" t="str">
        <f>'MASTER STOCK'!F75</f>
        <v>Kabel Ties 2.5x100mm (50 gram) isi 100 pcs</v>
      </c>
      <c r="B78" s="21">
        <f>'MASTER STOCK'!G75</f>
        <v>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23">
        <f t="shared" si="3"/>
        <v>0</v>
      </c>
      <c r="AI78" s="24">
        <f t="shared" si="4"/>
        <v>3</v>
      </c>
      <c r="AJ78" s="23">
        <f t="shared" si="5"/>
        <v>3</v>
      </c>
      <c r="AK78" s="23">
        <f t="shared" si="6"/>
        <v>0</v>
      </c>
      <c r="AL78" s="25">
        <f>'MASTER STOCK'!I75</f>
        <v>2850</v>
      </c>
      <c r="AM78" s="26">
        <f>'MASTER STOCK'!L75</f>
        <v>4275</v>
      </c>
      <c r="AN78" s="27">
        <f t="shared" si="7"/>
        <v>0</v>
      </c>
      <c r="AO78" s="26">
        <f t="shared" si="8"/>
        <v>0</v>
      </c>
      <c r="AP78" s="10"/>
    </row>
    <row r="79">
      <c r="A79" s="20" t="str">
        <f>'MASTER STOCK'!F76</f>
        <v>Kabel Ties 3.6x300mm (85 gram) isi 100 pcs</v>
      </c>
      <c r="B79" s="21">
        <f>'MASTER STOCK'!G76</f>
        <v>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23">
        <f t="shared" si="3"/>
        <v>0</v>
      </c>
      <c r="AI79" s="24">
        <f t="shared" si="4"/>
        <v>1</v>
      </c>
      <c r="AJ79" s="23">
        <f t="shared" si="5"/>
        <v>1</v>
      </c>
      <c r="AK79" s="23">
        <f t="shared" si="6"/>
        <v>0</v>
      </c>
      <c r="AL79" s="25">
        <f>'MASTER STOCK'!I76</f>
        <v>11000</v>
      </c>
      <c r="AM79" s="26">
        <f>'MASTER STOCK'!L76</f>
        <v>16500</v>
      </c>
      <c r="AN79" s="27">
        <f t="shared" si="7"/>
        <v>0</v>
      </c>
      <c r="AO79" s="26">
        <f t="shared" si="8"/>
        <v>0</v>
      </c>
      <c r="AP79" s="10"/>
    </row>
    <row r="80">
      <c r="A80" s="20" t="str">
        <f>'MASTER STOCK'!F77</f>
        <v>Kabel Ties 2.5x150mm (50 gram) isi 100 pcs</v>
      </c>
      <c r="B80" s="21">
        <f>'MASTER STOCK'!G77</f>
        <v>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23">
        <f t="shared" si="3"/>
        <v>0</v>
      </c>
      <c r="AI80" s="24">
        <f t="shared" si="4"/>
        <v>1</v>
      </c>
      <c r="AJ80" s="23">
        <f t="shared" si="5"/>
        <v>1</v>
      </c>
      <c r="AK80" s="23">
        <f t="shared" si="6"/>
        <v>0</v>
      </c>
      <c r="AL80" s="25">
        <f>'MASTER STOCK'!I77</f>
        <v>4100</v>
      </c>
      <c r="AM80" s="26">
        <f>'MASTER STOCK'!L77</f>
        <v>6150</v>
      </c>
      <c r="AN80" s="27">
        <f t="shared" si="7"/>
        <v>0</v>
      </c>
      <c r="AO80" s="26">
        <f t="shared" si="8"/>
        <v>0</v>
      </c>
      <c r="AP80" s="10"/>
    </row>
    <row r="81">
      <c r="A81" s="20" t="str">
        <f>'MASTER STOCK'!F78</f>
        <v>Kabel Ties 3.6x250mm (80 gram) isi 100 pcs</v>
      </c>
      <c r="B81" s="21">
        <f>'MASTER STOCK'!G78</f>
        <v>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23">
        <f t="shared" si="3"/>
        <v>0</v>
      </c>
      <c r="AI81" s="24">
        <f t="shared" si="4"/>
        <v>1</v>
      </c>
      <c r="AJ81" s="23">
        <f t="shared" si="5"/>
        <v>1</v>
      </c>
      <c r="AK81" s="23">
        <f t="shared" si="6"/>
        <v>0</v>
      </c>
      <c r="AL81" s="25">
        <f>'MASTER STOCK'!I78</f>
        <v>10300</v>
      </c>
      <c r="AM81" s="26">
        <f>'MASTER STOCK'!L78</f>
        <v>15450</v>
      </c>
      <c r="AN81" s="27">
        <f t="shared" si="7"/>
        <v>0</v>
      </c>
      <c r="AO81" s="26">
        <f t="shared" si="8"/>
        <v>0</v>
      </c>
      <c r="AP81" s="10"/>
    </row>
    <row r="82">
      <c r="A82" s="20" t="str">
        <f>'MASTER STOCK'!F79</f>
        <v>Kabel Ties 4.8x200mm (85 gram) isi 100 pcs</v>
      </c>
      <c r="B82" s="21">
        <f>'MASTER STOCK'!G79</f>
        <v>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23">
        <f t="shared" si="3"/>
        <v>0</v>
      </c>
      <c r="AI82" s="24">
        <f t="shared" si="4"/>
        <v>1</v>
      </c>
      <c r="AJ82" s="23">
        <f t="shared" si="5"/>
        <v>1</v>
      </c>
      <c r="AK82" s="23">
        <f t="shared" si="6"/>
        <v>0</v>
      </c>
      <c r="AL82" s="25">
        <f>'MASTER STOCK'!I79</f>
        <v>11000</v>
      </c>
      <c r="AM82" s="26">
        <f>'MASTER STOCK'!L79</f>
        <v>16500</v>
      </c>
      <c r="AN82" s="27">
        <f t="shared" si="7"/>
        <v>0</v>
      </c>
      <c r="AO82" s="26">
        <f t="shared" si="8"/>
        <v>0</v>
      </c>
      <c r="AP82" s="10"/>
    </row>
    <row r="83">
      <c r="A83" s="20" t="str">
        <f>'MASTER STOCK'!F80</f>
        <v>Kabel Ties 2.5x100mm (50 gram) isi 100 pcs</v>
      </c>
      <c r="B83" s="21">
        <f>'MASTER STOCK'!G80</f>
        <v>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23">
        <f t="shared" si="3"/>
        <v>0</v>
      </c>
      <c r="AI83" s="24">
        <f t="shared" si="4"/>
        <v>1</v>
      </c>
      <c r="AJ83" s="23">
        <f t="shared" si="5"/>
        <v>1</v>
      </c>
      <c r="AK83" s="23">
        <f t="shared" si="6"/>
        <v>0</v>
      </c>
      <c r="AL83" s="25">
        <f>'MASTER STOCK'!I80</f>
        <v>2850</v>
      </c>
      <c r="AM83" s="26">
        <f>'MASTER STOCK'!L80</f>
        <v>4275</v>
      </c>
      <c r="AN83" s="27">
        <f t="shared" si="7"/>
        <v>0</v>
      </c>
      <c r="AO83" s="26">
        <f t="shared" si="8"/>
        <v>0</v>
      </c>
      <c r="AP83" s="10"/>
    </row>
    <row r="84">
      <c r="A84" s="20" t="str">
        <f>'MASTER STOCK'!F81</f>
        <v>Kabel Ties 3.6x150mm (70 gram) isi 100 pcs</v>
      </c>
      <c r="B84" s="21">
        <f>'MASTER STOCK'!G81</f>
        <v>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23">
        <f t="shared" si="3"/>
        <v>0</v>
      </c>
      <c r="AI84" s="24">
        <f t="shared" si="4"/>
        <v>1</v>
      </c>
      <c r="AJ84" s="23">
        <f t="shared" si="5"/>
        <v>1</v>
      </c>
      <c r="AK84" s="23">
        <f t="shared" si="6"/>
        <v>0</v>
      </c>
      <c r="AL84" s="25">
        <f>'MASTER STOCK'!I81</f>
        <v>6500</v>
      </c>
      <c r="AM84" s="26">
        <f>'MASTER STOCK'!L81</f>
        <v>9750</v>
      </c>
      <c r="AN84" s="27">
        <f t="shared" si="7"/>
        <v>0</v>
      </c>
      <c r="AO84" s="26">
        <f t="shared" si="8"/>
        <v>0</v>
      </c>
      <c r="AP84" s="10"/>
    </row>
    <row r="85">
      <c r="A85" s="20" t="str">
        <f>'MASTER STOCK'!F82</f>
        <v>Kabel Ties 4.8x200mm (85 gram) isi 100 pcs</v>
      </c>
      <c r="B85" s="21">
        <f>'MASTER STOCK'!G82</f>
        <v>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23">
        <f t="shared" si="3"/>
        <v>0</v>
      </c>
      <c r="AI85" s="24">
        <f t="shared" si="4"/>
        <v>1</v>
      </c>
      <c r="AJ85" s="23">
        <f t="shared" si="5"/>
        <v>1</v>
      </c>
      <c r="AK85" s="23">
        <f t="shared" si="6"/>
        <v>0</v>
      </c>
      <c r="AL85" s="25">
        <f>'MASTER STOCK'!I82</f>
        <v>11000</v>
      </c>
      <c r="AM85" s="26">
        <f>'MASTER STOCK'!L82</f>
        <v>16500</v>
      </c>
      <c r="AN85" s="27">
        <f t="shared" si="7"/>
        <v>0</v>
      </c>
      <c r="AO85" s="26">
        <f t="shared" si="8"/>
        <v>0</v>
      </c>
      <c r="AP85" s="10"/>
    </row>
    <row r="86">
      <c r="A86" s="20" t="str">
        <f>'MASTER STOCK'!F83</f>
        <v>Kabel Ties 3.6x250mm (70 gram) isi 100 pcs</v>
      </c>
      <c r="B86" s="21">
        <f>'MASTER STOCK'!G83</f>
        <v>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23">
        <f t="shared" si="3"/>
        <v>0</v>
      </c>
      <c r="AI86" s="24">
        <f t="shared" si="4"/>
        <v>1</v>
      </c>
      <c r="AJ86" s="23">
        <f t="shared" si="5"/>
        <v>1</v>
      </c>
      <c r="AK86" s="23">
        <f t="shared" si="6"/>
        <v>0</v>
      </c>
      <c r="AL86" s="25">
        <f>'MASTER STOCK'!I83</f>
        <v>10300</v>
      </c>
      <c r="AM86" s="26">
        <f>'MASTER STOCK'!L83</f>
        <v>15450</v>
      </c>
      <c r="AN86" s="27">
        <f t="shared" si="7"/>
        <v>0</v>
      </c>
      <c r="AO86" s="26">
        <f t="shared" si="8"/>
        <v>0</v>
      </c>
      <c r="AP86" s="10"/>
    </row>
    <row r="87">
      <c r="A87" s="20" t="str">
        <f>'MASTER STOCK'!F84</f>
        <v>Kabel Transparan 2x30 90M full serabut per roll 2line</v>
      </c>
      <c r="B87" s="21">
        <f>'MASTER STOCK'!G84</f>
        <v>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23">
        <f t="shared" si="3"/>
        <v>0</v>
      </c>
      <c r="AI87" s="24">
        <f t="shared" si="4"/>
        <v>1</v>
      </c>
      <c r="AJ87" s="23">
        <f t="shared" si="5"/>
        <v>1</v>
      </c>
      <c r="AK87" s="23">
        <f t="shared" si="6"/>
        <v>0</v>
      </c>
      <c r="AL87" s="25">
        <f>'MASTER STOCK'!I84</f>
        <v>80000</v>
      </c>
      <c r="AM87" s="26">
        <f>'MASTER STOCK'!L84</f>
        <v>136000</v>
      </c>
      <c r="AN87" s="27">
        <f t="shared" si="7"/>
        <v>0</v>
      </c>
      <c r="AO87" s="26">
        <f t="shared" si="8"/>
        <v>0</v>
      </c>
      <c r="AP87" s="10"/>
    </row>
    <row r="88">
      <c r="A88" s="20" t="str">
        <f>'MASTER STOCK'!F85</f>
        <v>Kabel Transparan 2x80 90M full serabut per roll 2line</v>
      </c>
      <c r="B88" s="21">
        <f>'MASTER STOCK'!G85</f>
        <v>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23">
        <f t="shared" si="3"/>
        <v>0</v>
      </c>
      <c r="AI88" s="24">
        <f t="shared" si="4"/>
        <v>1</v>
      </c>
      <c r="AJ88" s="23">
        <f t="shared" si="5"/>
        <v>1</v>
      </c>
      <c r="AK88" s="23">
        <f t="shared" si="6"/>
        <v>0</v>
      </c>
      <c r="AL88" s="25">
        <f>'MASTER STOCK'!I85</f>
        <v>165000</v>
      </c>
      <c r="AM88" s="26">
        <f>'MASTER STOCK'!L85</f>
        <v>280500</v>
      </c>
      <c r="AN88" s="27">
        <f t="shared" si="7"/>
        <v>0</v>
      </c>
      <c r="AO88" s="26">
        <f t="shared" si="8"/>
        <v>0</v>
      </c>
      <c r="AP88" s="10"/>
    </row>
    <row r="89">
      <c r="A89" s="20" t="str">
        <f>'MASTER STOCK'!F86</f>
        <v>Kabel Transparan 2x50 90M full serabut per roll 2line</v>
      </c>
      <c r="B89" s="21">
        <f>'MASTER STOCK'!G86</f>
        <v>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23">
        <f t="shared" si="3"/>
        <v>0</v>
      </c>
      <c r="AI89" s="24">
        <f t="shared" si="4"/>
        <v>1</v>
      </c>
      <c r="AJ89" s="23">
        <f t="shared" si="5"/>
        <v>1</v>
      </c>
      <c r="AK89" s="23">
        <f t="shared" si="6"/>
        <v>0</v>
      </c>
      <c r="AL89" s="25">
        <f>'MASTER STOCK'!I86</f>
        <v>140000</v>
      </c>
      <c r="AM89" s="26">
        <f>'MASTER STOCK'!L86</f>
        <v>238000</v>
      </c>
      <c r="AN89" s="27">
        <f t="shared" si="7"/>
        <v>0</v>
      </c>
      <c r="AO89" s="26">
        <f t="shared" si="8"/>
        <v>0</v>
      </c>
      <c r="AP89" s="10"/>
    </row>
    <row r="90">
      <c r="A90" s="20" t="str">
        <f>'MASTER STOCK'!F87</f>
        <v>Solder listrik gagang kayu 60watt</v>
      </c>
      <c r="B90" s="21">
        <f>'MASTER STOCK'!G87</f>
        <v>5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23">
        <f t="shared" si="3"/>
        <v>0</v>
      </c>
      <c r="AI90" s="24">
        <f t="shared" si="4"/>
        <v>5</v>
      </c>
      <c r="AJ90" s="23">
        <f t="shared" si="5"/>
        <v>5</v>
      </c>
      <c r="AK90" s="23">
        <f t="shared" si="6"/>
        <v>0</v>
      </c>
      <c r="AL90" s="25">
        <f>'MASTER STOCK'!I87</f>
        <v>13000</v>
      </c>
      <c r="AM90" s="26">
        <f>'MASTER STOCK'!L87</f>
        <v>16900</v>
      </c>
      <c r="AN90" s="27">
        <f t="shared" si="7"/>
        <v>0</v>
      </c>
      <c r="AO90" s="26">
        <f t="shared" si="8"/>
        <v>0</v>
      </c>
      <c r="AP90" s="10"/>
    </row>
    <row r="91">
      <c r="A91" s="20" t="str">
        <f>'MASTER STOCK'!F88</f>
        <v>Timah gulung solder tenol elektrik</v>
      </c>
      <c r="B91" s="21">
        <f>'MASTER STOCK'!G88</f>
        <v>3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23">
        <f t="shared" si="3"/>
        <v>0</v>
      </c>
      <c r="AI91" s="24">
        <f t="shared" si="4"/>
        <v>3</v>
      </c>
      <c r="AJ91" s="23">
        <f t="shared" si="5"/>
        <v>3</v>
      </c>
      <c r="AK91" s="23">
        <f t="shared" si="6"/>
        <v>0</v>
      </c>
      <c r="AL91" s="25">
        <f>'MASTER STOCK'!I88</f>
        <v>10500</v>
      </c>
      <c r="AM91" s="26">
        <f>'MASTER STOCK'!L88</f>
        <v>13650</v>
      </c>
      <c r="AN91" s="27">
        <f t="shared" si="7"/>
        <v>0</v>
      </c>
      <c r="AO91" s="26">
        <f t="shared" si="8"/>
        <v>0</v>
      </c>
      <c r="AP91" s="10"/>
    </row>
    <row r="92">
      <c r="A92" s="20" t="str">
        <f>'MASTER STOCK'!F89</f>
        <v>Solasi lakban coklat</v>
      </c>
      <c r="B92" s="21">
        <f>'MASTER STOCK'!G89</f>
        <v>6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23">
        <f t="shared" si="3"/>
        <v>0</v>
      </c>
      <c r="AI92" s="24">
        <f t="shared" si="4"/>
        <v>6</v>
      </c>
      <c r="AJ92" s="23">
        <f t="shared" si="5"/>
        <v>6</v>
      </c>
      <c r="AK92" s="23">
        <f t="shared" si="6"/>
        <v>0</v>
      </c>
      <c r="AL92" s="25">
        <f>'MASTER STOCK'!I89</f>
        <v>3600</v>
      </c>
      <c r="AM92" s="26">
        <f>'MASTER STOCK'!L89</f>
        <v>5400</v>
      </c>
      <c r="AN92" s="27">
        <f t="shared" si="7"/>
        <v>0</v>
      </c>
      <c r="AO92" s="26">
        <f t="shared" si="8"/>
        <v>0</v>
      </c>
      <c r="AP92" s="10"/>
    </row>
    <row r="93">
      <c r="A93" s="20" t="str">
        <f>'MASTER STOCK'!F90</f>
        <v>Spidol Kecil snowman Hitam</v>
      </c>
      <c r="B93" s="21">
        <f>'MASTER STOCK'!G90</f>
        <v>12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23">
        <f t="shared" si="3"/>
        <v>0</v>
      </c>
      <c r="AI93" s="24">
        <f t="shared" si="4"/>
        <v>12</v>
      </c>
      <c r="AJ93" s="23">
        <f t="shared" si="5"/>
        <v>12</v>
      </c>
      <c r="AK93" s="23">
        <f t="shared" si="6"/>
        <v>0</v>
      </c>
      <c r="AL93" s="25">
        <f>'MASTER STOCK'!I90</f>
        <v>1700</v>
      </c>
      <c r="AM93" s="26">
        <f>'MASTER STOCK'!L90</f>
        <v>2550</v>
      </c>
      <c r="AN93" s="27">
        <f t="shared" si="7"/>
        <v>0</v>
      </c>
      <c r="AO93" s="26">
        <f t="shared" si="8"/>
        <v>0</v>
      </c>
      <c r="AP93" s="10"/>
    </row>
    <row r="94">
      <c r="A94" s="20" t="str">
        <f>'MASTER STOCK'!F91</f>
        <v>Spidol Kecil snowman Merah</v>
      </c>
      <c r="B94" s="21">
        <f>'MASTER STOCK'!G91</f>
        <v>12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23">
        <f t="shared" si="3"/>
        <v>0</v>
      </c>
      <c r="AI94" s="24">
        <f t="shared" si="4"/>
        <v>12</v>
      </c>
      <c r="AJ94" s="23">
        <f t="shared" si="5"/>
        <v>12</v>
      </c>
      <c r="AK94" s="23">
        <f t="shared" si="6"/>
        <v>0</v>
      </c>
      <c r="AL94" s="25">
        <f>'MASTER STOCK'!I91</f>
        <v>1700</v>
      </c>
      <c r="AM94" s="26">
        <f>'MASTER STOCK'!L91</f>
        <v>2550</v>
      </c>
      <c r="AN94" s="27">
        <f t="shared" si="7"/>
        <v>0</v>
      </c>
      <c r="AO94" s="26">
        <f t="shared" si="8"/>
        <v>0</v>
      </c>
      <c r="AP94" s="10"/>
    </row>
    <row r="95">
      <c r="A95" s="20" t="str">
        <f>'MASTER STOCK'!F92</f>
        <v>isolasi Lakban Packing bening</v>
      </c>
      <c r="B95" s="21">
        <f>'MASTER STOCK'!G92</f>
        <v>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23">
        <f t="shared" si="3"/>
        <v>0</v>
      </c>
      <c r="AI95" s="24">
        <f t="shared" si="4"/>
        <v>6</v>
      </c>
      <c r="AJ95" s="23">
        <f t="shared" si="5"/>
        <v>6</v>
      </c>
      <c r="AK95" s="23">
        <f t="shared" si="6"/>
        <v>0</v>
      </c>
      <c r="AL95" s="25">
        <f>'MASTER STOCK'!I92</f>
        <v>4500</v>
      </c>
      <c r="AM95" s="26">
        <f>'MASTER STOCK'!L92</f>
        <v>5850</v>
      </c>
      <c r="AN95" s="27">
        <f t="shared" si="7"/>
        <v>0</v>
      </c>
      <c r="AO95" s="26">
        <f t="shared" si="8"/>
        <v>0</v>
      </c>
      <c r="AP95" s="10"/>
    </row>
    <row r="96">
      <c r="A96" s="20" t="str">
        <f>'MASTER STOCK'!F93</f>
        <v>Tali tampar/ Tali tukang</v>
      </c>
      <c r="B96" s="21">
        <f>'MASTER STOCK'!G93</f>
        <v>20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23">
        <f t="shared" si="3"/>
        <v>0</v>
      </c>
      <c r="AI96" s="24">
        <f t="shared" si="4"/>
        <v>20</v>
      </c>
      <c r="AJ96" s="23">
        <f t="shared" si="5"/>
        <v>20</v>
      </c>
      <c r="AK96" s="23">
        <f t="shared" si="6"/>
        <v>0</v>
      </c>
      <c r="AL96" s="25">
        <f>'MASTER STOCK'!I93</f>
        <v>1750</v>
      </c>
      <c r="AM96" s="26">
        <f>'MASTER STOCK'!L93</f>
        <v>2275</v>
      </c>
      <c r="AN96" s="27">
        <f t="shared" si="7"/>
        <v>0</v>
      </c>
      <c r="AO96" s="26">
        <f t="shared" si="8"/>
        <v>0</v>
      </c>
      <c r="AP96" s="10"/>
    </row>
    <row r="97">
      <c r="A97" s="20" t="str">
        <f>'MASTER STOCK'!F94</f>
        <v>Keranjang serbaguna</v>
      </c>
      <c r="B97" s="21">
        <f>'MASTER STOCK'!G94</f>
        <v>24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23">
        <f t="shared" si="3"/>
        <v>0</v>
      </c>
      <c r="AI97" s="24">
        <f t="shared" si="4"/>
        <v>24</v>
      </c>
      <c r="AJ97" s="23">
        <f t="shared" si="5"/>
        <v>24</v>
      </c>
      <c r="AK97" s="23">
        <f t="shared" si="6"/>
        <v>0</v>
      </c>
      <c r="AL97" s="25">
        <f>'MASTER STOCK'!I94</f>
        <v>4700</v>
      </c>
      <c r="AM97" s="26" t="str">
        <f>'MASTER STOCK'!L94</f>
        <v/>
      </c>
      <c r="AN97" s="27">
        <f t="shared" si="7"/>
        <v>0</v>
      </c>
      <c r="AO97" s="26">
        <f t="shared" si="8"/>
        <v>0</v>
      </c>
      <c r="AP97" s="10"/>
    </row>
    <row r="98">
      <c r="A98" s="20" t="str">
        <f>'MASTER STOCK'!F95</f>
        <v>Paku (Nail 2000) 1 1/2"</v>
      </c>
      <c r="B98" s="21">
        <f>'MASTER STOCK'!G95</f>
        <v>4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23">
        <f t="shared" si="3"/>
        <v>0</v>
      </c>
      <c r="AI98" s="24">
        <f t="shared" si="4"/>
        <v>4</v>
      </c>
      <c r="AJ98" s="23">
        <f t="shared" si="5"/>
        <v>4</v>
      </c>
      <c r="AK98" s="23">
        <f t="shared" si="6"/>
        <v>0</v>
      </c>
      <c r="AL98" s="25">
        <f>'MASTER STOCK'!I95</f>
        <v>14400</v>
      </c>
      <c r="AM98" s="26">
        <f>'MASTER STOCK'!L95</f>
        <v>18720</v>
      </c>
      <c r="AN98" s="27">
        <f t="shared" si="7"/>
        <v>0</v>
      </c>
      <c r="AO98" s="26">
        <f t="shared" si="8"/>
        <v>0</v>
      </c>
      <c r="AP98" s="10"/>
    </row>
    <row r="99">
      <c r="A99" s="20" t="str">
        <f>'MASTER STOCK'!F96</f>
        <v>Paku (Nail 2000) 2 1/2"</v>
      </c>
      <c r="B99" s="21">
        <f>'MASTER STOCK'!G96</f>
        <v>20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23">
        <f t="shared" si="3"/>
        <v>0</v>
      </c>
      <c r="AI99" s="24">
        <f t="shared" si="4"/>
        <v>20</v>
      </c>
      <c r="AJ99" s="23">
        <f t="shared" si="5"/>
        <v>20</v>
      </c>
      <c r="AK99" s="23">
        <f t="shared" si="6"/>
        <v>0</v>
      </c>
      <c r="AL99" s="25">
        <f>'MASTER STOCK'!I96</f>
        <v>13500</v>
      </c>
      <c r="AM99" s="26">
        <f>'MASTER STOCK'!L96</f>
        <v>17550</v>
      </c>
      <c r="AN99" s="27">
        <f t="shared" si="7"/>
        <v>0</v>
      </c>
      <c r="AO99" s="26">
        <f t="shared" si="8"/>
        <v>0</v>
      </c>
      <c r="AP99" s="10"/>
    </row>
    <row r="100">
      <c r="A100" s="20" t="str">
        <f>'MASTER STOCK'!F97</f>
        <v>Paku (Nail 2000) 3"</v>
      </c>
      <c r="B100" s="21">
        <f>'MASTER STOCK'!G97</f>
        <v>20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23">
        <f t="shared" si="3"/>
        <v>0</v>
      </c>
      <c r="AI100" s="24">
        <f t="shared" si="4"/>
        <v>20</v>
      </c>
      <c r="AJ100" s="23">
        <f t="shared" si="5"/>
        <v>20</v>
      </c>
      <c r="AK100" s="23">
        <f t="shared" si="6"/>
        <v>0</v>
      </c>
      <c r="AL100" s="25">
        <f>'MASTER STOCK'!I97</f>
        <v>13500</v>
      </c>
      <c r="AM100" s="26">
        <f>'MASTER STOCK'!L97</f>
        <v>17550</v>
      </c>
      <c r="AN100" s="27">
        <f t="shared" si="7"/>
        <v>0</v>
      </c>
      <c r="AO100" s="26">
        <f t="shared" si="8"/>
        <v>0</v>
      </c>
      <c r="AP100" s="10"/>
    </row>
    <row r="101">
      <c r="A101" s="20" t="str">
        <f>'MASTER STOCK'!F98</f>
        <v>Paku (Nail 2000) 1"</v>
      </c>
      <c r="B101" s="21">
        <f>'MASTER STOCK'!G98</f>
        <v>4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23">
        <f t="shared" si="3"/>
        <v>0</v>
      </c>
      <c r="AI101" s="24">
        <f t="shared" si="4"/>
        <v>4</v>
      </c>
      <c r="AJ101" s="23">
        <f t="shared" si="5"/>
        <v>4</v>
      </c>
      <c r="AK101" s="23">
        <f t="shared" si="6"/>
        <v>0</v>
      </c>
      <c r="AL101" s="25">
        <f>'MASTER STOCK'!I98</f>
        <v>15200</v>
      </c>
      <c r="AM101" s="26">
        <f>'MASTER STOCK'!L98</f>
        <v>19760</v>
      </c>
      <c r="AN101" s="27">
        <f t="shared" si="7"/>
        <v>0</v>
      </c>
      <c r="AO101" s="26">
        <f t="shared" si="8"/>
        <v>0</v>
      </c>
      <c r="AP101" s="10"/>
    </row>
    <row r="102">
      <c r="A102" s="20" t="str">
        <f>'MASTER STOCK'!F99</f>
        <v>Paku (Nail 20000 1 3/4"</v>
      </c>
      <c r="B102" s="21">
        <f>'MASTER STOCK'!G99</f>
        <v>4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23">
        <f t="shared" si="3"/>
        <v>0</v>
      </c>
      <c r="AI102" s="24">
        <f t="shared" si="4"/>
        <v>4</v>
      </c>
      <c r="AJ102" s="23">
        <f t="shared" si="5"/>
        <v>4</v>
      </c>
      <c r="AK102" s="23">
        <f t="shared" si="6"/>
        <v>0</v>
      </c>
      <c r="AL102" s="25">
        <f>'MASTER STOCK'!I99</f>
        <v>14100</v>
      </c>
      <c r="AM102" s="26">
        <f>'MASTER STOCK'!L99</f>
        <v>18330</v>
      </c>
      <c r="AN102" s="27">
        <f t="shared" si="7"/>
        <v>0</v>
      </c>
      <c r="AO102" s="26">
        <f t="shared" si="8"/>
        <v>0</v>
      </c>
      <c r="AP102" s="10"/>
    </row>
    <row r="103">
      <c r="A103" s="20" t="str">
        <f>'MASTER STOCK'!F100</f>
        <v>Paku (Nail 2000) 2"</v>
      </c>
      <c r="B103" s="21">
        <f>'MASTER STOCK'!G100</f>
        <v>15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23">
        <f t="shared" si="3"/>
        <v>0</v>
      </c>
      <c r="AI103" s="24">
        <f t="shared" si="4"/>
        <v>15</v>
      </c>
      <c r="AJ103" s="23">
        <f t="shared" si="5"/>
        <v>15</v>
      </c>
      <c r="AK103" s="23">
        <f t="shared" si="6"/>
        <v>0</v>
      </c>
      <c r="AL103" s="25">
        <f>'MASTER STOCK'!I100</f>
        <v>13500</v>
      </c>
      <c r="AM103" s="26">
        <f>'MASTER STOCK'!L100</f>
        <v>17550</v>
      </c>
      <c r="AN103" s="27">
        <f t="shared" si="7"/>
        <v>0</v>
      </c>
      <c r="AO103" s="26">
        <f t="shared" si="8"/>
        <v>0</v>
      </c>
      <c r="AP103" s="10"/>
    </row>
    <row r="104">
      <c r="A104" s="20" t="str">
        <f>'MASTER STOCK'!F101</f>
        <v>Besi Beton 6mm SNI (U)</v>
      </c>
      <c r="B104" s="21">
        <f>'MASTER STOCK'!G101</f>
        <v>10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23">
        <f t="shared" si="3"/>
        <v>0</v>
      </c>
      <c r="AI104" s="24">
        <f t="shared" si="4"/>
        <v>10</v>
      </c>
      <c r="AJ104" s="23">
        <f t="shared" si="5"/>
        <v>10</v>
      </c>
      <c r="AK104" s="23">
        <f t="shared" si="6"/>
        <v>0</v>
      </c>
      <c r="AL104" s="25">
        <f>'MASTER STOCK'!I101</f>
        <v>22000</v>
      </c>
      <c r="AM104" s="26">
        <f>'MASTER STOCK'!L101</f>
        <v>26000</v>
      </c>
      <c r="AN104" s="27">
        <f t="shared" si="7"/>
        <v>0</v>
      </c>
      <c r="AO104" s="26">
        <f t="shared" si="8"/>
        <v>0</v>
      </c>
      <c r="AP104" s="10"/>
    </row>
    <row r="105">
      <c r="A105" s="20" t="str">
        <f>'MASTER STOCK'!F102</f>
        <v>Besi Beton 8mm SNI (U)</v>
      </c>
      <c r="B105" s="21">
        <f>'MASTER STOCK'!G102</f>
        <v>10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23">
        <f t="shared" si="3"/>
        <v>0</v>
      </c>
      <c r="AI105" s="24">
        <f t="shared" si="4"/>
        <v>10</v>
      </c>
      <c r="AJ105" s="23">
        <f t="shared" si="5"/>
        <v>10</v>
      </c>
      <c r="AK105" s="23">
        <f t="shared" si="6"/>
        <v>0</v>
      </c>
      <c r="AL105" s="25">
        <f>'MASTER STOCK'!I102</f>
        <v>37000</v>
      </c>
      <c r="AM105" s="26">
        <f>'MASTER STOCK'!L102</f>
        <v>43000</v>
      </c>
      <c r="AN105" s="27">
        <f t="shared" si="7"/>
        <v>0</v>
      </c>
      <c r="AO105" s="26">
        <f t="shared" si="8"/>
        <v>0</v>
      </c>
      <c r="AP105" s="10"/>
    </row>
    <row r="106">
      <c r="A106" s="20" t="str">
        <f>'MASTER STOCK'!F103</f>
        <v>Besi Beton 10mm SNI (U)</v>
      </c>
      <c r="B106" s="21">
        <f>'MASTER STOCK'!G103</f>
        <v>5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23">
        <f t="shared" si="3"/>
        <v>0</v>
      </c>
      <c r="AI106" s="24">
        <f t="shared" si="4"/>
        <v>5</v>
      </c>
      <c r="AJ106" s="23">
        <f t="shared" si="5"/>
        <v>5</v>
      </c>
      <c r="AK106" s="23">
        <f t="shared" si="6"/>
        <v>0</v>
      </c>
      <c r="AL106" s="25">
        <f>'MASTER STOCK'!I103</f>
        <v>58000</v>
      </c>
      <c r="AM106" s="26">
        <f>'MASTER STOCK'!L103</f>
        <v>73000</v>
      </c>
      <c r="AN106" s="27">
        <f t="shared" si="7"/>
        <v>0</v>
      </c>
      <c r="AO106" s="26">
        <f t="shared" si="8"/>
        <v>0</v>
      </c>
      <c r="AP106" s="10"/>
    </row>
    <row r="107">
      <c r="A107" s="20" t="str">
        <f>'MASTER STOCK'!F104</f>
        <v>Hollow G Tube 20x40x0.4</v>
      </c>
      <c r="B107" s="21">
        <f>'MASTER STOCK'!G104</f>
        <v>20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23">
        <f t="shared" si="3"/>
        <v>0</v>
      </c>
      <c r="AI107" s="24">
        <f t="shared" si="4"/>
        <v>20</v>
      </c>
      <c r="AJ107" s="23">
        <f t="shared" si="5"/>
        <v>20</v>
      </c>
      <c r="AK107" s="23">
        <f t="shared" si="6"/>
        <v>0</v>
      </c>
      <c r="AL107" s="25">
        <f>'MASTER STOCK'!I104</f>
        <v>21500</v>
      </c>
      <c r="AM107" s="26">
        <f>'MASTER STOCK'!L104</f>
        <v>25800</v>
      </c>
      <c r="AN107" s="27">
        <f t="shared" si="7"/>
        <v>0</v>
      </c>
      <c r="AO107" s="26">
        <f t="shared" si="8"/>
        <v>0</v>
      </c>
      <c r="AP107" s="10"/>
    </row>
    <row r="108">
      <c r="A108" s="20" t="str">
        <f>'MASTER STOCK'!F105</f>
        <v>Hollow G Tube 40x40x0.4</v>
      </c>
      <c r="B108" s="21">
        <f>'MASTER STOCK'!G105</f>
        <v>10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23">
        <f t="shared" si="3"/>
        <v>0</v>
      </c>
      <c r="AI108" s="24">
        <f t="shared" si="4"/>
        <v>10</v>
      </c>
      <c r="AJ108" s="23">
        <f t="shared" si="5"/>
        <v>10</v>
      </c>
      <c r="AK108" s="23">
        <f t="shared" si="6"/>
        <v>0</v>
      </c>
      <c r="AL108" s="25">
        <f>'MASTER STOCK'!I105</f>
        <v>28500</v>
      </c>
      <c r="AM108" s="26">
        <f>'MASTER STOCK'!L105</f>
        <v>34200</v>
      </c>
      <c r="AN108" s="27">
        <f t="shared" si="7"/>
        <v>0</v>
      </c>
      <c r="AO108" s="26">
        <f t="shared" si="8"/>
        <v>0</v>
      </c>
      <c r="AP108" s="10"/>
    </row>
    <row r="109">
      <c r="A109" s="20" t="str">
        <f>'MASTER STOCK'!F106</f>
        <v>Reng Galvalum Kenana 0.45 (M)</v>
      </c>
      <c r="B109" s="21">
        <f>'MASTER STOCK'!G106</f>
        <v>10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23">
        <f t="shared" si="3"/>
        <v>0</v>
      </c>
      <c r="AI109" s="24">
        <f t="shared" si="4"/>
        <v>10</v>
      </c>
      <c r="AJ109" s="23">
        <f t="shared" si="5"/>
        <v>10</v>
      </c>
      <c r="AK109" s="23">
        <f t="shared" si="6"/>
        <v>0</v>
      </c>
      <c r="AL109" s="25">
        <f>'MASTER STOCK'!I106</f>
        <v>39000</v>
      </c>
      <c r="AM109" s="26">
        <f>'MASTER STOCK'!L106</f>
        <v>42900</v>
      </c>
      <c r="AN109" s="27">
        <f t="shared" si="7"/>
        <v>0</v>
      </c>
      <c r="AO109" s="26">
        <f t="shared" si="8"/>
        <v>0</v>
      </c>
      <c r="AP109" s="10"/>
    </row>
    <row r="110">
      <c r="A110" s="20" t="str">
        <f>'MASTER STOCK'!F107</f>
        <v>C Truss Kencana 75x0.85 (0.75) MM</v>
      </c>
      <c r="B110" s="21">
        <f>'MASTER STOCK'!G107</f>
        <v>10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23">
        <f t="shared" si="3"/>
        <v>0</v>
      </c>
      <c r="AI110" s="24">
        <f t="shared" si="4"/>
        <v>10</v>
      </c>
      <c r="AJ110" s="23">
        <f t="shared" si="5"/>
        <v>10</v>
      </c>
      <c r="AK110" s="23">
        <f t="shared" si="6"/>
        <v>0</v>
      </c>
      <c r="AL110" s="25">
        <f>'MASTER STOCK'!I107</f>
        <v>85000</v>
      </c>
      <c r="AM110" s="26">
        <f>'MASTER STOCK'!L107</f>
        <v>93500</v>
      </c>
      <c r="AN110" s="27">
        <f t="shared" si="7"/>
        <v>0</v>
      </c>
      <c r="AO110" s="26">
        <f t="shared" si="8"/>
        <v>0</v>
      </c>
      <c r="AP110" s="10"/>
    </row>
    <row r="111">
      <c r="A111" s="20" t="str">
        <f>'MASTER STOCK'!F108</f>
        <v>KAYU BALOK 4X6X4</v>
      </c>
      <c r="B111" s="21">
        <f>'MASTER STOCK'!G108</f>
        <v>12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23">
        <f t="shared" si="3"/>
        <v>0</v>
      </c>
      <c r="AI111" s="24">
        <f t="shared" si="4"/>
        <v>12</v>
      </c>
      <c r="AJ111" s="23">
        <f t="shared" si="5"/>
        <v>12</v>
      </c>
      <c r="AK111" s="23">
        <f t="shared" si="6"/>
        <v>0</v>
      </c>
      <c r="AL111" s="25">
        <f>'MASTER STOCK'!I108</f>
        <v>39000</v>
      </c>
      <c r="AM111" s="26">
        <f>'MASTER STOCK'!L108</f>
        <v>42900</v>
      </c>
      <c r="AN111" s="27">
        <f t="shared" si="7"/>
        <v>0</v>
      </c>
      <c r="AO111" s="26">
        <f t="shared" si="8"/>
        <v>0</v>
      </c>
      <c r="AP111" s="10"/>
    </row>
    <row r="112">
      <c r="A112" s="20" t="str">
        <f>'MASTER STOCK'!F109</f>
        <v>KAYU BALOK 3X5X4</v>
      </c>
      <c r="B112" s="21">
        <f>'MASTER STOCK'!G109</f>
        <v>10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23">
        <f t="shared" si="3"/>
        <v>0</v>
      </c>
      <c r="AI112" s="24">
        <f t="shared" si="4"/>
        <v>10</v>
      </c>
      <c r="AJ112" s="23">
        <f t="shared" si="5"/>
        <v>10</v>
      </c>
      <c r="AK112" s="23">
        <f t="shared" si="6"/>
        <v>0</v>
      </c>
      <c r="AL112" s="25">
        <f>'MASTER STOCK'!I109</f>
        <v>24000</v>
      </c>
      <c r="AM112" s="26">
        <f>'MASTER STOCK'!L109</f>
        <v>26400</v>
      </c>
      <c r="AN112" s="27">
        <f t="shared" si="7"/>
        <v>0</v>
      </c>
      <c r="AO112" s="26">
        <f t="shared" si="8"/>
        <v>0</v>
      </c>
      <c r="AP112" s="10"/>
    </row>
    <row r="113">
      <c r="A113" s="20" t="str">
        <f>'MASTER STOCK'!F110</f>
        <v>KAYU BALOK 2X3X4</v>
      </c>
      <c r="B113" s="21">
        <f>'MASTER STOCK'!G110</f>
        <v>25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23">
        <f t="shared" si="3"/>
        <v>0</v>
      </c>
      <c r="AI113" s="24">
        <f t="shared" si="4"/>
        <v>25</v>
      </c>
      <c r="AJ113" s="23">
        <f t="shared" si="5"/>
        <v>25</v>
      </c>
      <c r="AK113" s="23">
        <f t="shared" si="6"/>
        <v>0</v>
      </c>
      <c r="AL113" s="25">
        <f>'MASTER STOCK'!I110</f>
        <v>9600</v>
      </c>
      <c r="AM113" s="26">
        <f>'MASTER STOCK'!L110</f>
        <v>10560</v>
      </c>
      <c r="AN113" s="27">
        <f t="shared" si="7"/>
        <v>0</v>
      </c>
      <c r="AO113" s="26">
        <f t="shared" si="8"/>
        <v>0</v>
      </c>
      <c r="AP113" s="10"/>
    </row>
    <row r="114">
      <c r="A114" s="20" t="str">
        <f>'MASTER STOCK'!F111</f>
        <v>CANGKUL </v>
      </c>
      <c r="B114" s="21">
        <f>'MASTER STOCK'!G111</f>
        <v>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23">
        <f t="shared" si="3"/>
        <v>0</v>
      </c>
      <c r="AI114" s="24">
        <f t="shared" si="4"/>
        <v>1</v>
      </c>
      <c r="AJ114" s="23">
        <f t="shared" si="5"/>
        <v>1</v>
      </c>
      <c r="AK114" s="23">
        <f t="shared" si="6"/>
        <v>0</v>
      </c>
      <c r="AL114" s="25">
        <f>'MASTER STOCK'!I111</f>
        <v>33580</v>
      </c>
      <c r="AM114" s="26">
        <f>'MASTER STOCK'!L111</f>
        <v>57086</v>
      </c>
      <c r="AN114" s="27">
        <f t="shared" si="7"/>
        <v>0</v>
      </c>
      <c r="AO114" s="26">
        <f t="shared" si="8"/>
        <v>0</v>
      </c>
      <c r="AP114" s="10"/>
    </row>
    <row r="115">
      <c r="A115" s="20" t="str">
        <f>'MASTER STOCK'!F112</f>
        <v>SEKOP PASIR</v>
      </c>
      <c r="B115" s="21">
        <f>'MASTER STOCK'!G112</f>
        <v>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23">
        <f t="shared" si="3"/>
        <v>0</v>
      </c>
      <c r="AI115" s="24">
        <f t="shared" si="4"/>
        <v>2</v>
      </c>
      <c r="AJ115" s="23">
        <f t="shared" si="5"/>
        <v>2</v>
      </c>
      <c r="AK115" s="23">
        <f t="shared" si="6"/>
        <v>0</v>
      </c>
      <c r="AL115" s="25">
        <f>'MASTER STOCK'!I112</f>
        <v>20000</v>
      </c>
      <c r="AM115" s="26">
        <f>'MASTER STOCK'!L112</f>
        <v>34000</v>
      </c>
      <c r="AN115" s="27">
        <f t="shared" si="7"/>
        <v>0</v>
      </c>
      <c r="AO115" s="26">
        <f t="shared" si="8"/>
        <v>0</v>
      </c>
      <c r="AP115" s="10"/>
    </row>
    <row r="116">
      <c r="A116" s="20" t="str">
        <f>'MASTER STOCK'!F113</f>
        <v>Baut Drilling Galvalum Baja Ringan 100
Pcs Per Plastik - WL 12x50 100Pcs</v>
      </c>
      <c r="B116" s="21">
        <f>'MASTER STOCK'!G113</f>
        <v>100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23">
        <f t="shared" si="3"/>
        <v>0</v>
      </c>
      <c r="AI116" s="24">
        <f t="shared" si="4"/>
        <v>100</v>
      </c>
      <c r="AJ116" s="23">
        <f t="shared" si="5"/>
        <v>100</v>
      </c>
      <c r="AK116" s="23">
        <f t="shared" si="6"/>
        <v>0</v>
      </c>
      <c r="AL116" s="25">
        <f>'MASTER STOCK'!I113</f>
        <v>250</v>
      </c>
      <c r="AM116" s="26">
        <f>'MASTER STOCK'!L113</f>
        <v>500</v>
      </c>
      <c r="AN116" s="27">
        <f t="shared" si="7"/>
        <v>0</v>
      </c>
      <c r="AO116" s="26">
        <f t="shared" si="8"/>
        <v>0</v>
      </c>
      <c r="AP116" s="10"/>
    </row>
    <row r="117">
      <c r="A117" s="20" t="str">
        <f>'MASTER STOCK'!F114</f>
        <v>Baut Drilling Galvalum Baja Ringan 100
Pcs Per Plastik - WL 12x60 100Pcs</v>
      </c>
      <c r="B117" s="21">
        <f>'MASTER STOCK'!G114</f>
        <v>100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23">
        <f t="shared" si="3"/>
        <v>0</v>
      </c>
      <c r="AI117" s="24">
        <f t="shared" si="4"/>
        <v>100</v>
      </c>
      <c r="AJ117" s="23">
        <f t="shared" si="5"/>
        <v>100</v>
      </c>
      <c r="AK117" s="23">
        <f t="shared" si="6"/>
        <v>0</v>
      </c>
      <c r="AL117" s="25">
        <f>'MASTER STOCK'!I114</f>
        <v>300</v>
      </c>
      <c r="AM117" s="26">
        <f>'MASTER STOCK'!L114</f>
        <v>600</v>
      </c>
      <c r="AN117" s="27">
        <f t="shared" si="7"/>
        <v>0</v>
      </c>
      <c r="AO117" s="26">
        <f t="shared" si="8"/>
        <v>0</v>
      </c>
      <c r="AP117" s="10"/>
    </row>
    <row r="118">
      <c r="A118" s="20" t="str">
        <f>'MASTER STOCK'!F115</f>
        <v>Baut Drilling Galvalum Baja Ringan 100
Pcs Per Plastik - WL 12x30 100Pcs</v>
      </c>
      <c r="B118" s="21">
        <f>'MASTER STOCK'!G115</f>
        <v>100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23">
        <f t="shared" si="3"/>
        <v>0</v>
      </c>
      <c r="AI118" s="24">
        <f t="shared" si="4"/>
        <v>100</v>
      </c>
      <c r="AJ118" s="23">
        <f t="shared" si="5"/>
        <v>100</v>
      </c>
      <c r="AK118" s="23">
        <f t="shared" si="6"/>
        <v>0</v>
      </c>
      <c r="AL118" s="25">
        <f>'MASTER STOCK'!I115</f>
        <v>170</v>
      </c>
      <c r="AM118" s="26">
        <f>'MASTER STOCK'!L115</f>
        <v>340</v>
      </c>
      <c r="AN118" s="27">
        <f t="shared" si="7"/>
        <v>0</v>
      </c>
      <c r="AO118" s="26">
        <f t="shared" si="8"/>
        <v>0</v>
      </c>
      <c r="AP118" s="10"/>
    </row>
    <row r="119">
      <c r="A119" s="20" t="str">
        <f>'MASTER STOCK'!F116</f>
        <v>Baut Drilling Galvalum Baja Ringan 100
Pcs Per Plastik - WL 12x40 100Pcs</v>
      </c>
      <c r="B119" s="21">
        <f>'MASTER STOCK'!G116</f>
        <v>100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23">
        <f t="shared" si="3"/>
        <v>0</v>
      </c>
      <c r="AI119" s="24">
        <f t="shared" si="4"/>
        <v>100</v>
      </c>
      <c r="AJ119" s="23">
        <f t="shared" si="5"/>
        <v>100</v>
      </c>
      <c r="AK119" s="23">
        <f t="shared" si="6"/>
        <v>0</v>
      </c>
      <c r="AL119" s="25">
        <f>'MASTER STOCK'!I116</f>
        <v>220</v>
      </c>
      <c r="AM119" s="26">
        <f>'MASTER STOCK'!L116</f>
        <v>440</v>
      </c>
      <c r="AN119" s="27">
        <f t="shared" si="7"/>
        <v>0</v>
      </c>
      <c r="AO119" s="26">
        <f t="shared" si="8"/>
        <v>0</v>
      </c>
      <c r="AP119" s="10"/>
    </row>
    <row r="120">
      <c r="A120" s="20" t="str">
        <f>'MASTER STOCK'!F117</f>
        <v>Baut Drilling Galvalum Baja Ringan 100
Pcs Per Plastik - WL 12x20 100Pcs</v>
      </c>
      <c r="B120" s="21">
        <f>'MASTER STOCK'!G117</f>
        <v>100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23">
        <f t="shared" si="3"/>
        <v>0</v>
      </c>
      <c r="AI120" s="24">
        <f t="shared" si="4"/>
        <v>100</v>
      </c>
      <c r="AJ120" s="23">
        <f t="shared" si="5"/>
        <v>100</v>
      </c>
      <c r="AK120" s="23">
        <f t="shared" si="6"/>
        <v>0</v>
      </c>
      <c r="AL120" s="25">
        <f>'MASTER STOCK'!I117</f>
        <v>150</v>
      </c>
      <c r="AM120" s="26">
        <f>'MASTER STOCK'!L117</f>
        <v>300</v>
      </c>
      <c r="AN120" s="27">
        <f t="shared" si="7"/>
        <v>0</v>
      </c>
      <c r="AO120" s="26">
        <f t="shared" si="8"/>
        <v>0</v>
      </c>
      <c r="AP120" s="10"/>
    </row>
    <row r="121">
      <c r="A121" s="20" t="str">
        <f>'MASTER STOCK'!F118</f>
        <v>Batu Kumbung</v>
      </c>
      <c r="B121" s="21">
        <f>'MASTER STOCK'!G118</f>
        <v>570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23">
        <f t="shared" si="3"/>
        <v>0</v>
      </c>
      <c r="AI121" s="24">
        <f t="shared" si="4"/>
        <v>570</v>
      </c>
      <c r="AJ121" s="23">
        <f t="shared" si="5"/>
        <v>570</v>
      </c>
      <c r="AK121" s="23">
        <f t="shared" si="6"/>
        <v>0</v>
      </c>
      <c r="AL121" s="25">
        <f>'MASTER STOCK'!I118</f>
        <v>8000</v>
      </c>
      <c r="AM121" s="26">
        <f>'MASTER STOCK'!L118</f>
        <v>12000</v>
      </c>
      <c r="AN121" s="27">
        <f t="shared" si="7"/>
        <v>0</v>
      </c>
      <c r="AO121" s="26">
        <f t="shared" si="8"/>
        <v>0</v>
      </c>
      <c r="AP121" s="10"/>
    </row>
    <row r="122">
      <c r="A122" s="20" t="str">
        <f>'MASTER STOCK'!F119</f>
        <v>Triplek 8m sengon</v>
      </c>
      <c r="B122" s="21">
        <f>'MASTER STOCK'!G119</f>
        <v>5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23">
        <f t="shared" si="3"/>
        <v>0</v>
      </c>
      <c r="AI122" s="24">
        <f t="shared" si="4"/>
        <v>5</v>
      </c>
      <c r="AJ122" s="23">
        <f t="shared" si="5"/>
        <v>5</v>
      </c>
      <c r="AK122" s="23">
        <f t="shared" si="6"/>
        <v>0</v>
      </c>
      <c r="AL122" s="25">
        <f>'MASTER STOCK'!I119</f>
        <v>67000</v>
      </c>
      <c r="AM122" s="26">
        <f>'MASTER STOCK'!L119</f>
        <v>70350</v>
      </c>
      <c r="AN122" s="27">
        <f t="shared" si="7"/>
        <v>0</v>
      </c>
      <c r="AO122" s="26">
        <f t="shared" si="8"/>
        <v>0</v>
      </c>
      <c r="AP122" s="10"/>
    </row>
    <row r="123">
      <c r="A123" s="20" t="str">
        <f>'MASTER STOCK'!F120</f>
        <v>Triplek 6m sengon</v>
      </c>
      <c r="B123" s="21">
        <f>'MASTER STOCK'!G120</f>
        <v>10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23">
        <f t="shared" si="3"/>
        <v>0</v>
      </c>
      <c r="AI123" s="24">
        <f t="shared" si="4"/>
        <v>10</v>
      </c>
      <c r="AJ123" s="23">
        <f t="shared" si="5"/>
        <v>10</v>
      </c>
      <c r="AK123" s="23">
        <f t="shared" si="6"/>
        <v>0</v>
      </c>
      <c r="AL123" s="25">
        <f>'MASTER STOCK'!I120</f>
        <v>56500</v>
      </c>
      <c r="AM123" s="26">
        <f>'MASTER STOCK'!L120</f>
        <v>59325</v>
      </c>
      <c r="AN123" s="27">
        <f t="shared" si="7"/>
        <v>0</v>
      </c>
      <c r="AO123" s="26">
        <f t="shared" si="8"/>
        <v>0</v>
      </c>
      <c r="AP123" s="10"/>
    </row>
    <row r="124">
      <c r="A124" s="20" t="str">
        <f>'MASTER STOCK'!F121</f>
        <v>Triplek 3m sengon</v>
      </c>
      <c r="B124" s="21">
        <f>'MASTER STOCK'!G121</f>
        <v>10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23">
        <f t="shared" si="3"/>
        <v>0</v>
      </c>
      <c r="AI124" s="24">
        <f t="shared" si="4"/>
        <v>10</v>
      </c>
      <c r="AJ124" s="23">
        <f t="shared" si="5"/>
        <v>10</v>
      </c>
      <c r="AK124" s="23">
        <f t="shared" si="6"/>
        <v>0</v>
      </c>
      <c r="AL124" s="25">
        <f>'MASTER STOCK'!I121</f>
        <v>38500</v>
      </c>
      <c r="AM124" s="26">
        <f>'MASTER STOCK'!L121</f>
        <v>40425</v>
      </c>
      <c r="AN124" s="27">
        <f t="shared" si="7"/>
        <v>0</v>
      </c>
      <c r="AO124" s="26">
        <f t="shared" si="8"/>
        <v>0</v>
      </c>
      <c r="AP124" s="10"/>
    </row>
    <row r="125">
      <c r="A125" s="20" t="str">
        <f>'MASTER STOCK'!F122</f>
        <v>Semen Gresik</v>
      </c>
      <c r="B125" s="21">
        <f>'MASTER STOCK'!G122</f>
        <v>105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23">
        <f t="shared" si="3"/>
        <v>0</v>
      </c>
      <c r="AI125" s="24">
        <f t="shared" si="4"/>
        <v>105</v>
      </c>
      <c r="AJ125" s="23">
        <f t="shared" si="5"/>
        <v>105</v>
      </c>
      <c r="AK125" s="23">
        <f t="shared" si="6"/>
        <v>0</v>
      </c>
      <c r="AL125" s="25">
        <f>'MASTER STOCK'!I122</f>
        <v>55000</v>
      </c>
      <c r="AM125" s="26">
        <f>'MASTER STOCK'!L122</f>
        <v>56485</v>
      </c>
      <c r="AN125" s="27">
        <f t="shared" si="7"/>
        <v>0</v>
      </c>
      <c r="AO125" s="26">
        <f t="shared" si="8"/>
        <v>0</v>
      </c>
      <c r="AP125" s="10"/>
    </row>
    <row r="126">
      <c r="A126" s="20" t="str">
        <f>'MASTER STOCK'!F123</f>
        <v>Kapur</v>
      </c>
      <c r="B126" s="21">
        <f>'MASTER STOCK'!G123</f>
        <v>100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23">
        <f t="shared" si="3"/>
        <v>0</v>
      </c>
      <c r="AI126" s="24">
        <f t="shared" si="4"/>
        <v>100</v>
      </c>
      <c r="AJ126" s="23">
        <f t="shared" si="5"/>
        <v>100</v>
      </c>
      <c r="AK126" s="23">
        <f t="shared" si="6"/>
        <v>0</v>
      </c>
      <c r="AL126" s="25">
        <f>'MASTER STOCK'!I123</f>
        <v>17000</v>
      </c>
      <c r="AM126" s="26">
        <f>'MASTER STOCK'!L123</f>
        <v>18700</v>
      </c>
      <c r="AN126" s="27">
        <f t="shared" si="7"/>
        <v>0</v>
      </c>
      <c r="AO126" s="26">
        <f t="shared" si="8"/>
        <v>0</v>
      </c>
      <c r="AP126" s="10"/>
    </row>
    <row r="127">
      <c r="A127" s="20" t="str">
        <f>'MASTER STOCK'!F124</f>
        <v>Pasir</v>
      </c>
      <c r="B127" s="21">
        <f>'MASTER STOCK'!G124</f>
        <v>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23">
        <f t="shared" si="3"/>
        <v>0</v>
      </c>
      <c r="AI127" s="24">
        <f t="shared" si="4"/>
        <v>1</v>
      </c>
      <c r="AJ127" s="23">
        <f t="shared" si="5"/>
        <v>1</v>
      </c>
      <c r="AK127" s="23">
        <f t="shared" si="6"/>
        <v>0</v>
      </c>
      <c r="AL127" s="25">
        <f>'MASTER STOCK'!I124</f>
        <v>1000000</v>
      </c>
      <c r="AM127" s="26">
        <f>'MASTER STOCK'!L124</f>
        <v>1100000</v>
      </c>
      <c r="AN127" s="27">
        <f t="shared" si="7"/>
        <v>0</v>
      </c>
      <c r="AO127" s="26">
        <f t="shared" si="8"/>
        <v>0</v>
      </c>
      <c r="AP127" s="10"/>
    </row>
    <row r="128">
      <c r="A128" s="20" t="str">
        <f>'MASTER STOCK'!F125</f>
        <v>Stop kontak 1 lubang</v>
      </c>
      <c r="B128" s="21">
        <f>'MASTER STOCK'!G125</f>
        <v>5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23">
        <f t="shared" si="3"/>
        <v>0</v>
      </c>
      <c r="AI128" s="24">
        <f t="shared" si="4"/>
        <v>5</v>
      </c>
      <c r="AJ128" s="23">
        <f t="shared" si="5"/>
        <v>5</v>
      </c>
      <c r="AK128" s="23">
        <f t="shared" si="6"/>
        <v>0</v>
      </c>
      <c r="AL128" s="25">
        <f>'MASTER STOCK'!I125</f>
        <v>4125</v>
      </c>
      <c r="AM128" s="26">
        <f>'MASTER STOCK'!L125</f>
        <v>416625</v>
      </c>
      <c r="AN128" s="27">
        <f t="shared" si="7"/>
        <v>0</v>
      </c>
      <c r="AO128" s="26">
        <f t="shared" si="8"/>
        <v>0</v>
      </c>
      <c r="AP128" s="10"/>
    </row>
    <row r="129">
      <c r="A129" s="20" t="str">
        <f>'MASTER STOCK'!F126</f>
        <v>Stop kontak 2 lubang</v>
      </c>
      <c r="B129" s="21">
        <f>'MASTER STOCK'!G126</f>
        <v>5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23">
        <f t="shared" si="3"/>
        <v>0</v>
      </c>
      <c r="AI129" s="24">
        <f t="shared" si="4"/>
        <v>5</v>
      </c>
      <c r="AJ129" s="23">
        <f t="shared" si="5"/>
        <v>5</v>
      </c>
      <c r="AK129" s="23">
        <f t="shared" si="6"/>
        <v>0</v>
      </c>
      <c r="AL129" s="25">
        <f>'MASTER STOCK'!I126</f>
        <v>5250</v>
      </c>
      <c r="AM129" s="26">
        <f>'MASTER STOCK'!L126</f>
        <v>8925</v>
      </c>
      <c r="AN129" s="27">
        <f t="shared" si="7"/>
        <v>0</v>
      </c>
      <c r="AO129" s="26">
        <f t="shared" si="8"/>
        <v>0</v>
      </c>
      <c r="AP129" s="10"/>
    </row>
    <row r="130">
      <c r="A130" s="20" t="str">
        <f>'MASTER STOCK'!F127</f>
        <v>Stop kontak 3 lubang</v>
      </c>
      <c r="B130" s="21">
        <f>'MASTER STOCK'!G127</f>
        <v>5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23">
        <f t="shared" si="3"/>
        <v>0</v>
      </c>
      <c r="AI130" s="24">
        <f t="shared" si="4"/>
        <v>5</v>
      </c>
      <c r="AJ130" s="23">
        <f t="shared" si="5"/>
        <v>5</v>
      </c>
      <c r="AK130" s="23">
        <f t="shared" si="6"/>
        <v>0</v>
      </c>
      <c r="AL130" s="25">
        <f>'MASTER STOCK'!I127</f>
        <v>6750</v>
      </c>
      <c r="AM130" s="26">
        <f>'MASTER STOCK'!L127</f>
        <v>14000</v>
      </c>
      <c r="AN130" s="27">
        <f t="shared" si="7"/>
        <v>0</v>
      </c>
      <c r="AO130" s="26">
        <f t="shared" si="8"/>
        <v>0</v>
      </c>
      <c r="AP130" s="10"/>
    </row>
    <row r="131">
      <c r="A131" s="20" t="str">
        <f>'MASTER STOCK'!F128</f>
        <v>Stop kontak 4 lubang</v>
      </c>
      <c r="B131" s="21">
        <f>'MASTER STOCK'!G128</f>
        <v>5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23">
        <f t="shared" si="3"/>
        <v>0</v>
      </c>
      <c r="AI131" s="24">
        <f t="shared" si="4"/>
        <v>5</v>
      </c>
      <c r="AJ131" s="23">
        <f t="shared" si="5"/>
        <v>5</v>
      </c>
      <c r="AK131" s="23">
        <f t="shared" si="6"/>
        <v>0</v>
      </c>
      <c r="AL131" s="25">
        <f>'MASTER STOCK'!I128</f>
        <v>8100</v>
      </c>
      <c r="AM131" s="26">
        <f>'MASTER STOCK'!L128</f>
        <v>16000</v>
      </c>
      <c r="AN131" s="27">
        <f t="shared" si="7"/>
        <v>0</v>
      </c>
      <c r="AO131" s="26">
        <f t="shared" si="8"/>
        <v>0</v>
      </c>
      <c r="AP131" s="10"/>
    </row>
    <row r="132">
      <c r="A132" s="20" t="str">
        <f>'MASTER STOCK'!F129</f>
        <v>Stop kontak 5 lubang</v>
      </c>
      <c r="B132" s="21">
        <f>'MASTER STOCK'!G129</f>
        <v>5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23">
        <f t="shared" si="3"/>
        <v>0</v>
      </c>
      <c r="AI132" s="24">
        <f t="shared" si="4"/>
        <v>5</v>
      </c>
      <c r="AJ132" s="23">
        <f t="shared" si="5"/>
        <v>5</v>
      </c>
      <c r="AK132" s="23">
        <f t="shared" si="6"/>
        <v>0</v>
      </c>
      <c r="AL132" s="25">
        <f>'MASTER STOCK'!I129</f>
        <v>9750</v>
      </c>
      <c r="AM132" s="26">
        <f>'MASTER STOCK'!L129</f>
        <v>16575</v>
      </c>
      <c r="AN132" s="27">
        <f t="shared" si="7"/>
        <v>0</v>
      </c>
      <c r="AO132" s="26">
        <f t="shared" si="8"/>
        <v>0</v>
      </c>
      <c r="AP132" s="10"/>
    </row>
    <row r="133">
      <c r="A133" s="20" t="str">
        <f>'MASTER STOCK'!F130</f>
        <v>Baterai ABC</v>
      </c>
      <c r="B133" s="21">
        <f>'MASTER STOCK'!G130</f>
        <v>24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23">
        <f t="shared" si="3"/>
        <v>0</v>
      </c>
      <c r="AI133" s="24">
        <f t="shared" si="4"/>
        <v>24</v>
      </c>
      <c r="AJ133" s="23">
        <f t="shared" si="5"/>
        <v>24</v>
      </c>
      <c r="AK133" s="23">
        <f t="shared" si="6"/>
        <v>0</v>
      </c>
      <c r="AL133" s="25">
        <f>'MASTER STOCK'!I130</f>
        <v>2600</v>
      </c>
      <c r="AM133" s="26">
        <f>'MASTER STOCK'!L130</f>
        <v>3900</v>
      </c>
      <c r="AN133" s="27">
        <f t="shared" si="7"/>
        <v>0</v>
      </c>
      <c r="AO133" s="26">
        <f t="shared" si="8"/>
        <v>0</v>
      </c>
      <c r="AP133" s="10"/>
    </row>
    <row r="134">
      <c r="A134" s="20" t="str">
        <f>'MASTER STOCK'!F131</f>
        <v>NAIL  PAKU PAYUNG 2"</v>
      </c>
      <c r="B134" s="21">
        <f>'MASTER STOCK'!G131</f>
        <v>5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23">
        <f t="shared" si="3"/>
        <v>0</v>
      </c>
      <c r="AI134" s="24">
        <f t="shared" si="4"/>
        <v>5</v>
      </c>
      <c r="AJ134" s="23">
        <f t="shared" si="5"/>
        <v>5</v>
      </c>
      <c r="AK134" s="23">
        <f t="shared" si="6"/>
        <v>0</v>
      </c>
      <c r="AL134" s="25">
        <f>'MASTER STOCK'!I131</f>
        <v>17500</v>
      </c>
      <c r="AM134" s="26">
        <f>'MASTER STOCK'!L131</f>
        <v>26250</v>
      </c>
      <c r="AN134" s="27">
        <f t="shared" si="7"/>
        <v>0</v>
      </c>
      <c r="AO134" s="26">
        <f t="shared" si="8"/>
        <v>0</v>
      </c>
      <c r="AP134" s="10"/>
    </row>
    <row r="135">
      <c r="A135" s="20" t="str">
        <f>'MASTER STOCK'!F132</f>
        <v>NAIL PAKU PAYUNG ULIR 3"</v>
      </c>
      <c r="B135" s="21">
        <f>'MASTER STOCK'!G132</f>
        <v>5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23">
        <f t="shared" si="3"/>
        <v>0</v>
      </c>
      <c r="AI135" s="24">
        <f t="shared" si="4"/>
        <v>5</v>
      </c>
      <c r="AJ135" s="23">
        <f t="shared" si="5"/>
        <v>5</v>
      </c>
      <c r="AK135" s="23">
        <f t="shared" si="6"/>
        <v>0</v>
      </c>
      <c r="AL135" s="25">
        <f>'MASTER STOCK'!I132</f>
        <v>18500</v>
      </c>
      <c r="AM135" s="26">
        <f>'MASTER STOCK'!L132</f>
        <v>27750</v>
      </c>
      <c r="AN135" s="27">
        <f t="shared" si="7"/>
        <v>0</v>
      </c>
      <c r="AO135" s="26">
        <f t="shared" si="8"/>
        <v>0</v>
      </c>
      <c r="AP135" s="10"/>
    </row>
    <row r="136">
      <c r="A136" s="20" t="str">
        <f>'MASTER STOCK'!F133</f>
        <v>NAIL PAKU PAYUNG ULIR 4"</v>
      </c>
      <c r="B136" s="21">
        <f>'MASTER STOCK'!G133</f>
        <v>5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23">
        <f t="shared" si="3"/>
        <v>0</v>
      </c>
      <c r="AI136" s="24">
        <f t="shared" si="4"/>
        <v>5</v>
      </c>
      <c r="AJ136" s="23">
        <f t="shared" si="5"/>
        <v>5</v>
      </c>
      <c r="AK136" s="23">
        <f t="shared" si="6"/>
        <v>0</v>
      </c>
      <c r="AL136" s="25">
        <f>'MASTER STOCK'!I133</f>
        <v>16500</v>
      </c>
      <c r="AM136" s="26">
        <f>'MASTER STOCK'!L133</f>
        <v>24750</v>
      </c>
      <c r="AN136" s="27">
        <f t="shared" si="7"/>
        <v>0</v>
      </c>
      <c r="AO136" s="26">
        <f t="shared" si="8"/>
        <v>0</v>
      </c>
      <c r="AP136" s="10"/>
    </row>
    <row r="137">
      <c r="A137" s="20" t="str">
        <f>'MASTER STOCK'!F134</f>
        <v>PAKU PINES </v>
      </c>
      <c r="B137" s="21">
        <f>'MASTER STOCK'!G134</f>
        <v>9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23">
        <f t="shared" si="3"/>
        <v>0</v>
      </c>
      <c r="AI137" s="24">
        <f t="shared" si="4"/>
        <v>9</v>
      </c>
      <c r="AJ137" s="23">
        <f t="shared" si="5"/>
        <v>9</v>
      </c>
      <c r="AK137" s="23">
        <f t="shared" si="6"/>
        <v>0</v>
      </c>
      <c r="AL137" s="25">
        <f>'MASTER STOCK'!I134</f>
        <v>1200</v>
      </c>
      <c r="AM137" s="26">
        <f>'MASTER STOCK'!L134</f>
        <v>2040</v>
      </c>
      <c r="AN137" s="27">
        <f t="shared" si="7"/>
        <v>0</v>
      </c>
      <c r="AO137" s="26">
        <f t="shared" si="8"/>
        <v>0</v>
      </c>
      <c r="AP137" s="10"/>
    </row>
    <row r="138">
      <c r="A138" s="20" t="str">
        <f>'MASTER STOCK'!F135</f>
        <v>KIKIR 3 INC</v>
      </c>
      <c r="B138" s="21">
        <f>'MASTER STOCK'!G135</f>
        <v>5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23">
        <f t="shared" si="3"/>
        <v>0</v>
      </c>
      <c r="AI138" s="24">
        <f t="shared" si="4"/>
        <v>5</v>
      </c>
      <c r="AJ138" s="23">
        <f t="shared" si="5"/>
        <v>5</v>
      </c>
      <c r="AK138" s="23">
        <f t="shared" si="6"/>
        <v>0</v>
      </c>
      <c r="AL138" s="25">
        <f>'MASTER STOCK'!I135</f>
        <v>8000</v>
      </c>
      <c r="AM138" s="26">
        <f>'MASTER STOCK'!L135</f>
        <v>17200</v>
      </c>
      <c r="AN138" s="27">
        <f t="shared" si="7"/>
        <v>0</v>
      </c>
      <c r="AO138" s="26">
        <f t="shared" si="8"/>
        <v>0</v>
      </c>
      <c r="AP138" s="10"/>
    </row>
    <row r="139">
      <c r="A139" s="20" t="str">
        <f>'MASTER STOCK'!F136</f>
        <v>KIKIR 3.5 INC</v>
      </c>
      <c r="B139" s="21">
        <f>'MASTER STOCK'!G136</f>
        <v>2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23">
        <f t="shared" si="3"/>
        <v>0</v>
      </c>
      <c r="AI139" s="24">
        <f t="shared" si="4"/>
        <v>2</v>
      </c>
      <c r="AJ139" s="23">
        <f t="shared" si="5"/>
        <v>2</v>
      </c>
      <c r="AK139" s="23">
        <f t="shared" si="6"/>
        <v>0</v>
      </c>
      <c r="AL139" s="25">
        <f>'MASTER STOCK'!I136</f>
        <v>7500</v>
      </c>
      <c r="AM139" s="26">
        <f>'MASTER STOCK'!L136</f>
        <v>19125</v>
      </c>
      <c r="AN139" s="27">
        <f t="shared" si="7"/>
        <v>0</v>
      </c>
      <c r="AO139" s="26">
        <f t="shared" si="8"/>
        <v>0</v>
      </c>
      <c r="AP139" s="10"/>
    </row>
    <row r="140">
      <c r="A140" s="20" t="str">
        <f>'MASTER STOCK'!F137</f>
        <v>KIKIR 4 INC</v>
      </c>
      <c r="B140" s="21">
        <f>'MASTER STOCK'!G137</f>
        <v>2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23">
        <f t="shared" si="3"/>
        <v>0</v>
      </c>
      <c r="AI140" s="24">
        <f t="shared" si="4"/>
        <v>2</v>
      </c>
      <c r="AJ140" s="23">
        <f t="shared" si="5"/>
        <v>2</v>
      </c>
      <c r="AK140" s="23">
        <f t="shared" si="6"/>
        <v>0</v>
      </c>
      <c r="AL140" s="25">
        <f>'MASTER STOCK'!I137</f>
        <v>9000</v>
      </c>
      <c r="AM140" s="26">
        <f>'MASTER STOCK'!L137</f>
        <v>20700</v>
      </c>
      <c r="AN140" s="27">
        <f t="shared" si="7"/>
        <v>0</v>
      </c>
      <c r="AO140" s="26">
        <f t="shared" si="8"/>
        <v>0</v>
      </c>
      <c r="AP140" s="10"/>
    </row>
    <row r="141">
      <c r="A141" s="20" t="str">
        <f>'MASTER STOCK'!F138</f>
        <v>AVIAN 192 VERMILLION 25CC</v>
      </c>
      <c r="B141" s="21">
        <f>'MASTER STOCK'!G138</f>
        <v>5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23">
        <f t="shared" si="3"/>
        <v>0</v>
      </c>
      <c r="AI141" s="24">
        <f t="shared" si="4"/>
        <v>5</v>
      </c>
      <c r="AJ141" s="23">
        <f t="shared" si="5"/>
        <v>5</v>
      </c>
      <c r="AK141" s="23">
        <f t="shared" si="6"/>
        <v>0</v>
      </c>
      <c r="AL141" s="25">
        <f>'MASTER STOCK'!I138</f>
        <v>4500</v>
      </c>
      <c r="AM141" s="26">
        <f>'MASTER STOCK'!L138</f>
        <v>5580</v>
      </c>
      <c r="AN141" s="27">
        <f t="shared" si="7"/>
        <v>0</v>
      </c>
      <c r="AO141" s="26">
        <f t="shared" si="8"/>
        <v>0</v>
      </c>
      <c r="AP141" s="10"/>
    </row>
    <row r="142">
      <c r="A142" s="20" t="str">
        <f>'MASTER STOCK'!F139</f>
        <v>AVIAN SB 25CC</v>
      </c>
      <c r="B142" s="21">
        <f>'MASTER STOCK'!G139</f>
        <v>5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23">
        <f t="shared" si="3"/>
        <v>0</v>
      </c>
      <c r="AI142" s="24">
        <f t="shared" si="4"/>
        <v>5</v>
      </c>
      <c r="AJ142" s="23">
        <f t="shared" si="5"/>
        <v>5</v>
      </c>
      <c r="AK142" s="23">
        <f t="shared" si="6"/>
        <v>0</v>
      </c>
      <c r="AL142" s="25">
        <f>'MASTER STOCK'!I139</f>
        <v>4500</v>
      </c>
      <c r="AM142" s="26">
        <f>'MASTER STOCK'!L139</f>
        <v>5580</v>
      </c>
      <c r="AN142" s="27">
        <f t="shared" si="7"/>
        <v>0</v>
      </c>
      <c r="AO142" s="26">
        <f t="shared" si="8"/>
        <v>0</v>
      </c>
      <c r="AP142" s="10"/>
    </row>
    <row r="143">
      <c r="A143" s="20" t="str">
        <f>'MASTER STOCK'!F140</f>
        <v>AVIAN 465 MEDIUM YELLOW 25CC</v>
      </c>
      <c r="B143" s="21">
        <f>'MASTER STOCK'!G140</f>
        <v>5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23">
        <f t="shared" si="3"/>
        <v>0</v>
      </c>
      <c r="AI143" s="24">
        <f t="shared" si="4"/>
        <v>5</v>
      </c>
      <c r="AJ143" s="23">
        <f t="shared" si="5"/>
        <v>5</v>
      </c>
      <c r="AK143" s="23">
        <f t="shared" si="6"/>
        <v>0</v>
      </c>
      <c r="AL143" s="25">
        <f>'MASTER STOCK'!I140</f>
        <v>4500</v>
      </c>
      <c r="AM143" s="26">
        <f>'MASTER STOCK'!L140</f>
        <v>5580</v>
      </c>
      <c r="AN143" s="27">
        <f t="shared" si="7"/>
        <v>0</v>
      </c>
      <c r="AO143" s="26">
        <f t="shared" si="8"/>
        <v>0</v>
      </c>
      <c r="AP143" s="10"/>
    </row>
    <row r="144">
      <c r="A144" s="20" t="str">
        <f>'MASTER STOCK'!F141</f>
        <v>AVIAN 733 OCEAN BLUE 25CC</v>
      </c>
      <c r="B144" s="21">
        <f>'MASTER STOCK'!G141</f>
        <v>5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23">
        <f t="shared" si="3"/>
        <v>0</v>
      </c>
      <c r="AI144" s="24">
        <f t="shared" si="4"/>
        <v>5</v>
      </c>
      <c r="AJ144" s="23">
        <f t="shared" si="5"/>
        <v>5</v>
      </c>
      <c r="AK144" s="23">
        <f t="shared" si="6"/>
        <v>0</v>
      </c>
      <c r="AL144" s="25">
        <f>'MASTER STOCK'!I141</f>
        <v>4500</v>
      </c>
      <c r="AM144" s="26">
        <f>'MASTER STOCK'!L141</f>
        <v>5580</v>
      </c>
      <c r="AN144" s="27">
        <f t="shared" si="7"/>
        <v>0</v>
      </c>
      <c r="AO144" s="26">
        <f t="shared" si="8"/>
        <v>0</v>
      </c>
      <c r="AP144" s="10"/>
    </row>
    <row r="145">
      <c r="A145" s="20" t="str">
        <f>'MASTER STOCK'!F142</f>
        <v>AVIAN SW 25CC</v>
      </c>
      <c r="B145" s="21">
        <f>'MASTER STOCK'!G142</f>
        <v>5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23">
        <f t="shared" si="3"/>
        <v>0</v>
      </c>
      <c r="AI145" s="24">
        <f t="shared" si="4"/>
        <v>5</v>
      </c>
      <c r="AJ145" s="23">
        <f t="shared" si="5"/>
        <v>5</v>
      </c>
      <c r="AK145" s="23">
        <f t="shared" si="6"/>
        <v>0</v>
      </c>
      <c r="AL145" s="25">
        <f>'MASTER STOCK'!I142</f>
        <v>4500</v>
      </c>
      <c r="AM145" s="26">
        <f>'MASTER STOCK'!L142</f>
        <v>5580</v>
      </c>
      <c r="AN145" s="27">
        <f t="shared" si="7"/>
        <v>0</v>
      </c>
      <c r="AO145" s="26">
        <f t="shared" si="8"/>
        <v>0</v>
      </c>
      <c r="AP145" s="10"/>
    </row>
    <row r="146">
      <c r="A146" s="20" t="str">
        <f>'MASTER STOCK'!F143</f>
        <v>AVIAN KAYU BESI SB</v>
      </c>
      <c r="B146" s="21">
        <f>'MASTER STOCK'!G143</f>
        <v>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23">
        <f t="shared" si="3"/>
        <v>0</v>
      </c>
      <c r="AI146" s="24">
        <f t="shared" si="4"/>
        <v>1</v>
      </c>
      <c r="AJ146" s="23">
        <f t="shared" si="5"/>
        <v>1</v>
      </c>
      <c r="AK146" s="23">
        <f t="shared" si="6"/>
        <v>0</v>
      </c>
      <c r="AL146" s="25">
        <f>'MASTER STOCK'!I143</f>
        <v>73000</v>
      </c>
      <c r="AM146" s="26">
        <f>'MASTER STOCK'!L143</f>
        <v>76650</v>
      </c>
      <c r="AN146" s="27">
        <f t="shared" si="7"/>
        <v>0</v>
      </c>
      <c r="AO146" s="26">
        <f t="shared" si="8"/>
        <v>0</v>
      </c>
      <c r="AP146" s="10"/>
    </row>
    <row r="147">
      <c r="A147" s="20" t="str">
        <f>'MASTER STOCK'!F144</f>
        <v>AVIAN KAYU BESI 192</v>
      </c>
      <c r="B147" s="21">
        <f>'MASTER STOCK'!G144</f>
        <v>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23">
        <f t="shared" si="3"/>
        <v>0</v>
      </c>
      <c r="AI147" s="24">
        <f t="shared" si="4"/>
        <v>1</v>
      </c>
      <c r="AJ147" s="23">
        <f t="shared" si="5"/>
        <v>1</v>
      </c>
      <c r="AK147" s="23">
        <f t="shared" si="6"/>
        <v>0</v>
      </c>
      <c r="AL147" s="25">
        <f>'MASTER STOCK'!I144</f>
        <v>73000</v>
      </c>
      <c r="AM147" s="26">
        <f>'MASTER STOCK'!L144</f>
        <v>76650</v>
      </c>
      <c r="AN147" s="27">
        <f t="shared" si="7"/>
        <v>0</v>
      </c>
      <c r="AO147" s="26">
        <f t="shared" si="8"/>
        <v>0</v>
      </c>
      <c r="AP147" s="10"/>
    </row>
    <row r="148">
      <c r="A148" s="20" t="str">
        <f>'MASTER STOCK'!F145</f>
        <v>AVIAN KAYU BESI 480</v>
      </c>
      <c r="B148" s="21">
        <f>'MASTER STOCK'!G145</f>
        <v>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23">
        <f t="shared" si="3"/>
        <v>0</v>
      </c>
      <c r="AI148" s="24">
        <f t="shared" si="4"/>
        <v>1</v>
      </c>
      <c r="AJ148" s="23">
        <f t="shared" si="5"/>
        <v>1</v>
      </c>
      <c r="AK148" s="23">
        <f t="shared" si="6"/>
        <v>0</v>
      </c>
      <c r="AL148" s="25">
        <f>'MASTER STOCK'!I145</f>
        <v>73000</v>
      </c>
      <c r="AM148" s="26">
        <f>'MASTER STOCK'!L145</f>
        <v>76650</v>
      </c>
      <c r="AN148" s="27">
        <f t="shared" si="7"/>
        <v>0</v>
      </c>
      <c r="AO148" s="26">
        <f t="shared" si="8"/>
        <v>0</v>
      </c>
      <c r="AP148" s="10"/>
    </row>
    <row r="149">
      <c r="A149" s="20" t="str">
        <f>'MASTER STOCK'!F146</f>
        <v>AVIAN KAYU BESI SW</v>
      </c>
      <c r="B149" s="21">
        <f>'MASTER STOCK'!G146</f>
        <v>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23">
        <f t="shared" si="3"/>
        <v>0</v>
      </c>
      <c r="AI149" s="24">
        <f t="shared" si="4"/>
        <v>1</v>
      </c>
      <c r="AJ149" s="23">
        <f t="shared" si="5"/>
        <v>1</v>
      </c>
      <c r="AK149" s="23">
        <f t="shared" si="6"/>
        <v>0</v>
      </c>
      <c r="AL149" s="25">
        <f>'MASTER STOCK'!I146</f>
        <v>73000</v>
      </c>
      <c r="AM149" s="26">
        <f>'MASTER STOCK'!L146</f>
        <v>76650</v>
      </c>
      <c r="AN149" s="27">
        <f t="shared" si="7"/>
        <v>0</v>
      </c>
      <c r="AO149" s="26">
        <f t="shared" si="8"/>
        <v>0</v>
      </c>
      <c r="AP149" s="10"/>
    </row>
    <row r="150">
      <c r="A150" s="20" t="str">
        <f>'MASTER STOCK'!F147</f>
        <v>BEE BRAND KAYU BESI 126 GREEN</v>
      </c>
      <c r="B150" s="21">
        <f>'MASTER STOCK'!G147</f>
        <v>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23">
        <f t="shared" si="3"/>
        <v>0</v>
      </c>
      <c r="AI150" s="24">
        <f t="shared" si="4"/>
        <v>1</v>
      </c>
      <c r="AJ150" s="23">
        <f t="shared" si="5"/>
        <v>1</v>
      </c>
      <c r="AK150" s="23">
        <f t="shared" si="6"/>
        <v>0</v>
      </c>
      <c r="AL150" s="25">
        <f>'MASTER STOCK'!I147</f>
        <v>68000</v>
      </c>
      <c r="AM150" s="26">
        <f>'MASTER STOCK'!L147</f>
        <v>72760</v>
      </c>
      <c r="AN150" s="27">
        <f t="shared" si="7"/>
        <v>0</v>
      </c>
      <c r="AO150" s="26">
        <f t="shared" si="8"/>
        <v>0</v>
      </c>
      <c r="AP150" s="10"/>
    </row>
    <row r="151">
      <c r="A151" s="20" t="str">
        <f>'MASTER STOCK'!F148</f>
        <v>BEE BRAND KAYU BESI 1019 DEL FOGLIO</v>
      </c>
      <c r="B151" s="21">
        <f>'MASTER STOCK'!G148</f>
        <v>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23">
        <f t="shared" si="3"/>
        <v>0</v>
      </c>
      <c r="AI151" s="24">
        <f t="shared" si="4"/>
        <v>1</v>
      </c>
      <c r="AJ151" s="23">
        <f t="shared" si="5"/>
        <v>1</v>
      </c>
      <c r="AK151" s="23">
        <f t="shared" si="6"/>
        <v>0</v>
      </c>
      <c r="AL151" s="25">
        <f>'MASTER STOCK'!I148</f>
        <v>68000</v>
      </c>
      <c r="AM151" s="26">
        <f>'MASTER STOCK'!L148</f>
        <v>72760</v>
      </c>
      <c r="AN151" s="27">
        <f t="shared" si="7"/>
        <v>0</v>
      </c>
      <c r="AO151" s="26">
        <f t="shared" si="8"/>
        <v>0</v>
      </c>
      <c r="AP151" s="10"/>
    </row>
    <row r="152">
      <c r="A152" s="20" t="str">
        <f>'MASTER STOCK'!F149</f>
        <v>BEE BRAND KAYU BESI 115 SILVER</v>
      </c>
      <c r="B152" s="21">
        <f>'MASTER STOCK'!G149</f>
        <v>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23">
        <f t="shared" si="3"/>
        <v>0</v>
      </c>
      <c r="AI152" s="24">
        <f t="shared" si="4"/>
        <v>1</v>
      </c>
      <c r="AJ152" s="23">
        <f t="shared" si="5"/>
        <v>1</v>
      </c>
      <c r="AK152" s="23">
        <f t="shared" si="6"/>
        <v>0</v>
      </c>
      <c r="AL152" s="25">
        <f>'MASTER STOCK'!I149</f>
        <v>68000</v>
      </c>
      <c r="AM152" s="26">
        <f>'MASTER STOCK'!L149</f>
        <v>72760</v>
      </c>
      <c r="AN152" s="27">
        <f t="shared" si="7"/>
        <v>0</v>
      </c>
      <c r="AO152" s="26">
        <f t="shared" si="8"/>
        <v>0</v>
      </c>
      <c r="AP152" s="10"/>
    </row>
    <row r="153">
      <c r="A153" s="20" t="str">
        <f>'MASTER STOCK'!F150</f>
        <v>PARAGON TEMBOK SW 5KG</v>
      </c>
      <c r="B153" s="21">
        <f>'MASTER STOCK'!G150</f>
        <v>2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23">
        <f t="shared" si="3"/>
        <v>0</v>
      </c>
      <c r="AI153" s="24">
        <f t="shared" si="4"/>
        <v>2</v>
      </c>
      <c r="AJ153" s="23">
        <f t="shared" si="5"/>
        <v>2</v>
      </c>
      <c r="AK153" s="23">
        <f t="shared" si="6"/>
        <v>0</v>
      </c>
      <c r="AL153" s="25">
        <f>'MASTER STOCK'!I150</f>
        <v>122500</v>
      </c>
      <c r="AM153" s="26">
        <f>'MASTER STOCK'!L150</f>
        <v>134750</v>
      </c>
      <c r="AN153" s="27">
        <f t="shared" si="7"/>
        <v>0</v>
      </c>
      <c r="AO153" s="26">
        <f t="shared" si="8"/>
        <v>0</v>
      </c>
      <c r="AP153" s="10"/>
    </row>
    <row r="154">
      <c r="A154" s="20" t="str">
        <f>'MASTER STOCK'!F151</f>
        <v>PARAGON TEMBOK SW 1KG</v>
      </c>
      <c r="B154" s="21">
        <f>'MASTER STOCK'!G151</f>
        <v>4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23">
        <f t="shared" si="3"/>
        <v>0</v>
      </c>
      <c r="AI154" s="24">
        <f t="shared" si="4"/>
        <v>4</v>
      </c>
      <c r="AJ154" s="23">
        <f t="shared" si="5"/>
        <v>4</v>
      </c>
      <c r="AK154" s="23">
        <f t="shared" si="6"/>
        <v>0</v>
      </c>
      <c r="AL154" s="25">
        <f>'MASTER STOCK'!I151</f>
        <v>32500</v>
      </c>
      <c r="AM154" s="26">
        <f>'MASTER STOCK'!L151</f>
        <v>35750</v>
      </c>
      <c r="AN154" s="27">
        <f t="shared" si="7"/>
        <v>0</v>
      </c>
      <c r="AO154" s="26">
        <f t="shared" si="8"/>
        <v>0</v>
      </c>
      <c r="AP154" s="10"/>
    </row>
    <row r="155">
      <c r="A155" s="20" t="str">
        <f>'MASTER STOCK'!F152</f>
        <v>NODROP TEMBOK ABU-ABU 602 1KG</v>
      </c>
      <c r="B155" s="21">
        <f>'MASTER STOCK'!G152</f>
        <v>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23">
        <f t="shared" si="3"/>
        <v>0</v>
      </c>
      <c r="AI155" s="24">
        <f t="shared" si="4"/>
        <v>4</v>
      </c>
      <c r="AJ155" s="23">
        <f t="shared" si="5"/>
        <v>4</v>
      </c>
      <c r="AK155" s="23">
        <f t="shared" si="6"/>
        <v>0</v>
      </c>
      <c r="AL155" s="25">
        <f>'MASTER STOCK'!I152</f>
        <v>53500</v>
      </c>
      <c r="AM155" s="26">
        <f>'MASTER STOCK'!L152</f>
        <v>58850</v>
      </c>
      <c r="AN155" s="27">
        <f t="shared" si="7"/>
        <v>0</v>
      </c>
      <c r="AO155" s="26">
        <f t="shared" si="8"/>
        <v>0</v>
      </c>
      <c r="AP155" s="10"/>
    </row>
    <row r="156">
      <c r="A156" s="20" t="str">
        <f>'MASTER STOCK'!F153</f>
        <v>AVITEX TEMBOK 710 BLUE</v>
      </c>
      <c r="B156" s="21">
        <f>'MASTER STOCK'!G153</f>
        <v>2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23">
        <f t="shared" si="3"/>
        <v>0</v>
      </c>
      <c r="AI156" s="24">
        <f t="shared" si="4"/>
        <v>2</v>
      </c>
      <c r="AJ156" s="23">
        <f t="shared" si="5"/>
        <v>2</v>
      </c>
      <c r="AK156" s="23">
        <f t="shared" si="6"/>
        <v>0</v>
      </c>
      <c r="AL156" s="25">
        <f>'MASTER STOCK'!I153</f>
        <v>35500</v>
      </c>
      <c r="AM156" s="26">
        <f>'MASTER STOCK'!L153</f>
        <v>39050</v>
      </c>
      <c r="AN156" s="27">
        <f t="shared" si="7"/>
        <v>0</v>
      </c>
      <c r="AO156" s="26">
        <f t="shared" si="8"/>
        <v>0</v>
      </c>
      <c r="AP156" s="10"/>
    </row>
    <row r="157">
      <c r="A157" s="20" t="str">
        <f>'MASTER STOCK'!F154</f>
        <v>AVITEX TEMBOK 770 GREEN</v>
      </c>
      <c r="B157" s="21">
        <f>'MASTER STOCK'!G154</f>
        <v>2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23">
        <f t="shared" si="3"/>
        <v>0</v>
      </c>
      <c r="AI157" s="24">
        <f t="shared" si="4"/>
        <v>2</v>
      </c>
      <c r="AJ157" s="23">
        <f t="shared" si="5"/>
        <v>2</v>
      </c>
      <c r="AK157" s="23">
        <f t="shared" si="6"/>
        <v>0</v>
      </c>
      <c r="AL157" s="25">
        <f>'MASTER STOCK'!I154</f>
        <v>35500</v>
      </c>
      <c r="AM157" s="26">
        <f>'MASTER STOCK'!L154</f>
        <v>39050</v>
      </c>
      <c r="AN157" s="27">
        <f t="shared" si="7"/>
        <v>0</v>
      </c>
      <c r="AO157" s="26">
        <f t="shared" si="8"/>
        <v>0</v>
      </c>
      <c r="AP157" s="10"/>
    </row>
    <row r="158">
      <c r="A158" s="20" t="str">
        <f>'MASTER STOCK'!F155</f>
        <v>AVITEX TEMBOK 750 YELLOW</v>
      </c>
      <c r="B158" s="21">
        <f>'MASTER STOCK'!G155</f>
        <v>2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23">
        <f t="shared" si="3"/>
        <v>0</v>
      </c>
      <c r="AI158" s="24">
        <f t="shared" si="4"/>
        <v>2</v>
      </c>
      <c r="AJ158" s="23">
        <f t="shared" si="5"/>
        <v>2</v>
      </c>
      <c r="AK158" s="23">
        <f t="shared" si="6"/>
        <v>0</v>
      </c>
      <c r="AL158" s="25">
        <f>'MASTER STOCK'!I155</f>
        <v>35500</v>
      </c>
      <c r="AM158" s="26">
        <f>'MASTER STOCK'!L155</f>
        <v>39050</v>
      </c>
      <c r="AN158" s="27">
        <f t="shared" si="7"/>
        <v>0</v>
      </c>
      <c r="AO158" s="26">
        <f t="shared" si="8"/>
        <v>0</v>
      </c>
      <c r="AP158" s="10"/>
    </row>
    <row r="159">
      <c r="A159" s="20" t="str">
        <f>'MASTER STOCK'!F156</f>
        <v>AVITEX TEMBOK 831 CREAM</v>
      </c>
      <c r="B159" s="21">
        <f>'MASTER STOCK'!G156</f>
        <v>2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23">
        <f t="shared" si="3"/>
        <v>0</v>
      </c>
      <c r="AI159" s="24">
        <f t="shared" si="4"/>
        <v>2</v>
      </c>
      <c r="AJ159" s="23">
        <f t="shared" si="5"/>
        <v>2</v>
      </c>
      <c r="AK159" s="23">
        <f t="shared" si="6"/>
        <v>0</v>
      </c>
      <c r="AL159" s="25">
        <f>'MASTER STOCK'!I156</f>
        <v>35500</v>
      </c>
      <c r="AM159" s="26">
        <f>'MASTER STOCK'!L156</f>
        <v>39050</v>
      </c>
      <c r="AN159" s="27">
        <f t="shared" si="7"/>
        <v>0</v>
      </c>
      <c r="AO159" s="26">
        <f t="shared" si="8"/>
        <v>0</v>
      </c>
      <c r="AP159" s="10"/>
    </row>
    <row r="160">
      <c r="A160" s="20" t="str">
        <f>'MASTER STOCK'!F157</f>
        <v>AVITEX TEMBOK SB</v>
      </c>
      <c r="B160" s="21">
        <f>'MASTER STOCK'!G157</f>
        <v>2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23">
        <f t="shared" si="3"/>
        <v>0</v>
      </c>
      <c r="AI160" s="24">
        <f t="shared" si="4"/>
        <v>2</v>
      </c>
      <c r="AJ160" s="23">
        <f t="shared" si="5"/>
        <v>2</v>
      </c>
      <c r="AK160" s="23">
        <f t="shared" si="6"/>
        <v>0</v>
      </c>
      <c r="AL160" s="25">
        <f>'MASTER STOCK'!I157</f>
        <v>35500</v>
      </c>
      <c r="AM160" s="26">
        <f>'MASTER STOCK'!L157</f>
        <v>39050</v>
      </c>
      <c r="AN160" s="27">
        <f t="shared" si="7"/>
        <v>0</v>
      </c>
      <c r="AO160" s="26">
        <f t="shared" si="8"/>
        <v>0</v>
      </c>
      <c r="AP160" s="10"/>
    </row>
    <row r="161">
      <c r="A161" s="29" t="str">
        <f>'MASTER STOCK'!F158</f>
        <v>knee 1/2 dim</v>
      </c>
      <c r="B161" s="30">
        <f>'MASTER STOCK'!G158</f>
        <v>46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23">
        <f t="shared" si="3"/>
        <v>0</v>
      </c>
      <c r="AI161" s="31">
        <f t="shared" si="4"/>
        <v>46</v>
      </c>
      <c r="AJ161" s="32">
        <f t="shared" si="5"/>
        <v>46</v>
      </c>
      <c r="AK161" s="32">
        <f t="shared" si="6"/>
        <v>0</v>
      </c>
      <c r="AL161" s="25">
        <f>'MASTER STOCK'!I158</f>
        <v>2500</v>
      </c>
      <c r="AM161" s="26">
        <f>'MASTER STOCK'!L158</f>
        <v>2500</v>
      </c>
      <c r="AN161" s="27">
        <f t="shared" si="7"/>
        <v>0</v>
      </c>
      <c r="AO161" s="26">
        <f t="shared" si="8"/>
        <v>0</v>
      </c>
      <c r="AP161" s="10"/>
    </row>
    <row r="162">
      <c r="A162" s="29" t="str">
        <f>'MASTER STOCK'!F159</f>
        <v>knee 3/4 dim</v>
      </c>
      <c r="B162" s="30">
        <f>'MASTER STOCK'!G159</f>
        <v>38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23">
        <f t="shared" si="3"/>
        <v>0</v>
      </c>
      <c r="AI162" s="31">
        <f t="shared" si="4"/>
        <v>38</v>
      </c>
      <c r="AJ162" s="32">
        <f t="shared" si="5"/>
        <v>38</v>
      </c>
      <c r="AK162" s="32">
        <f t="shared" si="6"/>
        <v>0</v>
      </c>
      <c r="AL162" s="25">
        <f>'MASTER STOCK'!I159</f>
        <v>3500</v>
      </c>
      <c r="AM162" s="26">
        <f>'MASTER STOCK'!L159</f>
        <v>3500</v>
      </c>
      <c r="AN162" s="27">
        <f t="shared" si="7"/>
        <v>0</v>
      </c>
      <c r="AO162" s="26">
        <f t="shared" si="8"/>
        <v>0</v>
      </c>
      <c r="AP162" s="10"/>
    </row>
    <row r="163">
      <c r="A163" s="29" t="str">
        <f>'MASTER STOCK'!F160</f>
        <v>knee drat dalam 3/4 dim</v>
      </c>
      <c r="B163" s="30">
        <f>'MASTER STOCK'!G160</f>
        <v>8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23">
        <f t="shared" si="3"/>
        <v>0</v>
      </c>
      <c r="AI163" s="31">
        <f t="shared" si="4"/>
        <v>8</v>
      </c>
      <c r="AJ163" s="32">
        <f t="shared" si="5"/>
        <v>8</v>
      </c>
      <c r="AK163" s="32">
        <f t="shared" si="6"/>
        <v>0</v>
      </c>
      <c r="AL163" s="25">
        <f>'MASTER STOCK'!I160</f>
        <v>4500</v>
      </c>
      <c r="AM163" s="26">
        <f>'MASTER STOCK'!L160</f>
        <v>4500</v>
      </c>
      <c r="AN163" s="27">
        <f t="shared" si="7"/>
        <v>0</v>
      </c>
      <c r="AO163" s="26">
        <f t="shared" si="8"/>
        <v>0</v>
      </c>
      <c r="AP163" s="10"/>
    </row>
    <row r="164">
      <c r="A164" s="29" t="str">
        <f>'MASTER STOCK'!F161</f>
        <v>paku 1 1/2</v>
      </c>
      <c r="B164" s="30">
        <f>'MASTER STOCK'!G161</f>
        <v>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23">
        <f t="shared" si="3"/>
        <v>0</v>
      </c>
      <c r="AI164" s="31">
        <f t="shared" si="4"/>
        <v>1</v>
      </c>
      <c r="AJ164" s="32">
        <f t="shared" si="5"/>
        <v>1</v>
      </c>
      <c r="AK164" s="32">
        <f t="shared" si="6"/>
        <v>0</v>
      </c>
      <c r="AL164" s="25">
        <f>'MASTER STOCK'!I161</f>
        <v>25000</v>
      </c>
      <c r="AM164" s="26">
        <f>'MASTER STOCK'!L161</f>
        <v>25000</v>
      </c>
      <c r="AN164" s="27">
        <f t="shared" si="7"/>
        <v>0</v>
      </c>
      <c r="AO164" s="26">
        <f t="shared" si="8"/>
        <v>0</v>
      </c>
      <c r="AP164" s="10"/>
    </row>
    <row r="165">
      <c r="A165" s="29" t="str">
        <f>'MASTER STOCK'!F162</f>
        <v>paku 3/4</v>
      </c>
      <c r="B165" s="30">
        <f>'MASTER STOCK'!G162</f>
        <v>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23">
        <f t="shared" si="3"/>
        <v>0</v>
      </c>
      <c r="AI165" s="31">
        <f t="shared" si="4"/>
        <v>1</v>
      </c>
      <c r="AJ165" s="32">
        <f t="shared" si="5"/>
        <v>1</v>
      </c>
      <c r="AK165" s="32">
        <f t="shared" si="6"/>
        <v>0</v>
      </c>
      <c r="AL165" s="25">
        <f>'MASTER STOCK'!I162</f>
        <v>25000</v>
      </c>
      <c r="AM165" s="26">
        <f>'MASTER STOCK'!L162</f>
        <v>25000</v>
      </c>
      <c r="AN165" s="27">
        <f t="shared" si="7"/>
        <v>0</v>
      </c>
      <c r="AO165" s="26">
        <f t="shared" si="8"/>
        <v>0</v>
      </c>
      <c r="AP165" s="10"/>
    </row>
    <row r="166">
      <c r="A166" s="29" t="str">
        <f>'MASTER STOCK'!F163</f>
        <v>t  1/2 dim</v>
      </c>
      <c r="B166" s="30">
        <f>'MASTER STOCK'!G163</f>
        <v>9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23">
        <f t="shared" si="3"/>
        <v>0</v>
      </c>
      <c r="AI166" s="31">
        <f t="shared" si="4"/>
        <v>9</v>
      </c>
      <c r="AJ166" s="32">
        <f t="shared" si="5"/>
        <v>9</v>
      </c>
      <c r="AK166" s="32">
        <f t="shared" si="6"/>
        <v>0</v>
      </c>
      <c r="AL166" s="25">
        <f>'MASTER STOCK'!I163</f>
        <v>2500</v>
      </c>
      <c r="AM166" s="26">
        <f>'MASTER STOCK'!L163</f>
        <v>2500</v>
      </c>
      <c r="AN166" s="27">
        <f t="shared" si="7"/>
        <v>0</v>
      </c>
      <c r="AO166" s="26">
        <f t="shared" si="8"/>
        <v>0</v>
      </c>
      <c r="AP166" s="10"/>
    </row>
    <row r="167">
      <c r="A167" s="29" t="str">
        <f>'MASTER STOCK'!F164</f>
        <v>knee 1 dim</v>
      </c>
      <c r="B167" s="30">
        <f>'MASTER STOCK'!G164</f>
        <v>18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23">
        <f t="shared" si="3"/>
        <v>0</v>
      </c>
      <c r="AI167" s="31">
        <f t="shared" si="4"/>
        <v>18</v>
      </c>
      <c r="AJ167" s="32">
        <f t="shared" si="5"/>
        <v>18</v>
      </c>
      <c r="AK167" s="32">
        <f t="shared" si="6"/>
        <v>0</v>
      </c>
      <c r="AL167" s="25">
        <f>'MASTER STOCK'!I164</f>
        <v>4000</v>
      </c>
      <c r="AM167" s="26">
        <f>'MASTER STOCK'!L164</f>
        <v>4000</v>
      </c>
      <c r="AN167" s="27">
        <f t="shared" si="7"/>
        <v>0</v>
      </c>
      <c r="AO167" s="26">
        <f t="shared" si="8"/>
        <v>0</v>
      </c>
      <c r="AP167" s="10"/>
    </row>
    <row r="168">
      <c r="A168" s="29" t="str">
        <f>'MASTER STOCK'!F165</f>
        <v>t 1/2 dim</v>
      </c>
      <c r="B168" s="30">
        <f>'MASTER STOCK'!G165</f>
        <v>15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23">
        <f t="shared" si="3"/>
        <v>0</v>
      </c>
      <c r="AI168" s="31">
        <f t="shared" si="4"/>
        <v>15</v>
      </c>
      <c r="AJ168" s="32">
        <f t="shared" si="5"/>
        <v>15</v>
      </c>
      <c r="AK168" s="32">
        <f t="shared" si="6"/>
        <v>0</v>
      </c>
      <c r="AL168" s="25">
        <f>'MASTER STOCK'!I165</f>
        <v>2500</v>
      </c>
      <c r="AM168" s="26">
        <f>'MASTER STOCK'!L165</f>
        <v>2500</v>
      </c>
      <c r="AN168" s="27">
        <f t="shared" si="7"/>
        <v>0</v>
      </c>
      <c r="AO168" s="26">
        <f t="shared" si="8"/>
        <v>0</v>
      </c>
      <c r="AP168" s="10"/>
    </row>
    <row r="169">
      <c r="A169" s="29" t="str">
        <f>'MASTER STOCK'!F166</f>
        <v>t 1/4 dim</v>
      </c>
      <c r="B169" s="30">
        <f>'MASTER STOCK'!G166</f>
        <v>5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23">
        <f t="shared" si="3"/>
        <v>0</v>
      </c>
      <c r="AI169" s="31">
        <f t="shared" si="4"/>
        <v>5</v>
      </c>
      <c r="AJ169" s="32">
        <f t="shared" si="5"/>
        <v>5</v>
      </c>
      <c r="AK169" s="32">
        <f t="shared" si="6"/>
        <v>0</v>
      </c>
      <c r="AL169" s="25">
        <f>'MASTER STOCK'!I166</f>
        <v>2500</v>
      </c>
      <c r="AM169" s="26">
        <f>'MASTER STOCK'!L166</f>
        <v>2500</v>
      </c>
      <c r="AN169" s="27">
        <f t="shared" si="7"/>
        <v>0</v>
      </c>
      <c r="AO169" s="26">
        <f t="shared" si="8"/>
        <v>0</v>
      </c>
      <c r="AP169" s="10"/>
    </row>
    <row r="170">
      <c r="A170" s="29" t="str">
        <f>'MASTER STOCK'!F167</f>
        <v>t 2 dim</v>
      </c>
      <c r="B170" s="30">
        <f>'MASTER STOCK'!G167</f>
        <v>24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23">
        <f t="shared" si="3"/>
        <v>0</v>
      </c>
      <c r="AI170" s="31">
        <f t="shared" si="4"/>
        <v>24</v>
      </c>
      <c r="AJ170" s="32">
        <f t="shared" si="5"/>
        <v>24</v>
      </c>
      <c r="AK170" s="32">
        <f t="shared" si="6"/>
        <v>0</v>
      </c>
      <c r="AL170" s="25">
        <f>'MASTER STOCK'!I167</f>
        <v>5000</v>
      </c>
      <c r="AM170" s="26">
        <f>'MASTER STOCK'!L167</f>
        <v>5000</v>
      </c>
      <c r="AN170" s="27">
        <f t="shared" si="7"/>
        <v>0</v>
      </c>
      <c r="AO170" s="26">
        <f t="shared" si="8"/>
        <v>0</v>
      </c>
      <c r="AP170" s="10"/>
    </row>
    <row r="171">
      <c r="A171" s="29" t="str">
        <f>'MASTER STOCK'!F168</f>
        <v>t 3/4 dim</v>
      </c>
      <c r="B171" s="30">
        <f>'MASTER STOCK'!G168</f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23">
        <f t="shared" si="3"/>
        <v>0</v>
      </c>
      <c r="AI171" s="31">
        <f t="shared" si="4"/>
        <v>11</v>
      </c>
      <c r="AJ171" s="32">
        <f t="shared" si="5"/>
        <v>11</v>
      </c>
      <c r="AK171" s="32">
        <f t="shared" si="6"/>
        <v>0</v>
      </c>
      <c r="AL171" s="25">
        <f>'MASTER STOCK'!I168</f>
        <v>3500</v>
      </c>
      <c r="AM171" s="26">
        <f>'MASTER STOCK'!L168</f>
        <v>3500</v>
      </c>
      <c r="AN171" s="27">
        <f t="shared" si="7"/>
        <v>0</v>
      </c>
      <c r="AO171" s="26">
        <f t="shared" si="8"/>
        <v>0</v>
      </c>
      <c r="AP171" s="10"/>
    </row>
    <row r="172">
      <c r="A172" s="29" t="str">
        <f>'MASTER STOCK'!F169</f>
        <v>knee 1 1/2</v>
      </c>
      <c r="B172" s="30">
        <f>'MASTER STOCK'!G169</f>
        <v>10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23">
        <f t="shared" si="3"/>
        <v>0</v>
      </c>
      <c r="AI172" s="31">
        <f t="shared" si="4"/>
        <v>10</v>
      </c>
      <c r="AJ172" s="32">
        <f t="shared" si="5"/>
        <v>10</v>
      </c>
      <c r="AK172" s="32">
        <f t="shared" si="6"/>
        <v>0</v>
      </c>
      <c r="AL172" s="25">
        <f>'MASTER STOCK'!I169</f>
        <v>4500</v>
      </c>
      <c r="AM172" s="26">
        <f>'MASTER STOCK'!L169</f>
        <v>4500</v>
      </c>
      <c r="AN172" s="27">
        <f t="shared" si="7"/>
        <v>0</v>
      </c>
      <c r="AO172" s="26">
        <f t="shared" si="8"/>
        <v>0</v>
      </c>
      <c r="AP172" s="10"/>
    </row>
    <row r="173">
      <c r="A173" s="29" t="str">
        <f>'MASTER STOCK'!F170</f>
        <v>t drat dalam 1/2 dim</v>
      </c>
      <c r="B173" s="30">
        <f>'MASTER STOCK'!G170</f>
        <v>10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23">
        <f t="shared" si="3"/>
        <v>0</v>
      </c>
      <c r="AI173" s="31">
        <f t="shared" si="4"/>
        <v>10</v>
      </c>
      <c r="AJ173" s="32">
        <f t="shared" si="5"/>
        <v>10</v>
      </c>
      <c r="AK173" s="32">
        <f t="shared" si="6"/>
        <v>0</v>
      </c>
      <c r="AL173" s="25">
        <f>'MASTER STOCK'!I170</f>
        <v>3000</v>
      </c>
      <c r="AM173" s="26">
        <f>'MASTER STOCK'!L170</f>
        <v>3000</v>
      </c>
      <c r="AN173" s="27">
        <f t="shared" si="7"/>
        <v>0</v>
      </c>
      <c r="AO173" s="26">
        <f t="shared" si="8"/>
        <v>0</v>
      </c>
      <c r="AP173" s="10"/>
    </row>
    <row r="174">
      <c r="A174" s="29" t="str">
        <f>'MASTER STOCK'!F171</f>
        <v>t drat dalam 3/4</v>
      </c>
      <c r="B174" s="30">
        <f>'MASTER STOCK'!G171</f>
        <v>7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23">
        <f t="shared" si="3"/>
        <v>0</v>
      </c>
      <c r="AI174" s="31">
        <f t="shared" si="4"/>
        <v>7</v>
      </c>
      <c r="AJ174" s="32">
        <f t="shared" si="5"/>
        <v>7</v>
      </c>
      <c r="AK174" s="32">
        <f t="shared" si="6"/>
        <v>0</v>
      </c>
      <c r="AL174" s="25">
        <f>'MASTER STOCK'!I171</f>
        <v>4000</v>
      </c>
      <c r="AM174" s="26">
        <f>'MASTER STOCK'!L171</f>
        <v>4000</v>
      </c>
      <c r="AN174" s="27">
        <f t="shared" si="7"/>
        <v>0</v>
      </c>
      <c r="AO174" s="26">
        <f t="shared" si="8"/>
        <v>0</v>
      </c>
      <c r="AP174" s="10"/>
    </row>
    <row r="175">
      <c r="A175" s="29" t="str">
        <f>'MASTER STOCK'!F172</f>
        <v>sok darat luar 1/2</v>
      </c>
      <c r="B175" s="30">
        <f>'MASTER STOCK'!G172</f>
        <v>12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23">
        <f t="shared" si="3"/>
        <v>0</v>
      </c>
      <c r="AI175" s="31">
        <f t="shared" si="4"/>
        <v>12</v>
      </c>
      <c r="AJ175" s="32">
        <f t="shared" si="5"/>
        <v>12</v>
      </c>
      <c r="AK175" s="32">
        <f t="shared" si="6"/>
        <v>0</v>
      </c>
      <c r="AL175" s="25">
        <f>'MASTER STOCK'!I172</f>
        <v>2500</v>
      </c>
      <c r="AM175" s="26">
        <f>'MASTER STOCK'!L172</f>
        <v>2500</v>
      </c>
      <c r="AN175" s="27">
        <f t="shared" si="7"/>
        <v>0</v>
      </c>
      <c r="AO175" s="26">
        <f t="shared" si="8"/>
        <v>0</v>
      </c>
      <c r="AP175" s="10"/>
    </row>
    <row r="176">
      <c r="A176" s="29" t="str">
        <f>'MASTER STOCK'!F173</f>
        <v>knee 1 1/4</v>
      </c>
      <c r="B176" s="30">
        <f>'MASTER STOCK'!G173</f>
        <v>13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23">
        <f t="shared" si="3"/>
        <v>0</v>
      </c>
      <c r="AI176" s="31">
        <f t="shared" si="4"/>
        <v>13</v>
      </c>
      <c r="AJ176" s="32">
        <f t="shared" si="5"/>
        <v>13</v>
      </c>
      <c r="AK176" s="32">
        <f t="shared" si="6"/>
        <v>0</v>
      </c>
      <c r="AL176" s="25">
        <f>'MASTER STOCK'!I173</f>
        <v>3500</v>
      </c>
      <c r="AM176" s="26">
        <f>'MASTER STOCK'!L173</f>
        <v>3500</v>
      </c>
      <c r="AN176" s="27">
        <f t="shared" si="7"/>
        <v>0</v>
      </c>
      <c r="AO176" s="26">
        <f t="shared" si="8"/>
        <v>0</v>
      </c>
      <c r="AP176" s="10"/>
    </row>
    <row r="177">
      <c r="A177" s="29" t="str">
        <f>'MASTER STOCK'!F174</f>
        <v>sok drat dalam 1/2</v>
      </c>
      <c r="B177" s="30">
        <f>'MASTER STOCK'!G174</f>
        <v>320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23">
        <f t="shared" si="3"/>
        <v>0</v>
      </c>
      <c r="AI177" s="31">
        <f t="shared" si="4"/>
        <v>320</v>
      </c>
      <c r="AJ177" s="32">
        <f t="shared" si="5"/>
        <v>320</v>
      </c>
      <c r="AK177" s="32">
        <f t="shared" si="6"/>
        <v>0</v>
      </c>
      <c r="AL177" s="25">
        <f>'MASTER STOCK'!I174</f>
        <v>930</v>
      </c>
      <c r="AM177" s="26">
        <f>'MASTER STOCK'!L174</f>
        <v>2500</v>
      </c>
      <c r="AN177" s="27">
        <f t="shared" si="7"/>
        <v>0</v>
      </c>
      <c r="AO177" s="26">
        <f t="shared" si="8"/>
        <v>0</v>
      </c>
      <c r="AP177" s="10"/>
    </row>
    <row r="178">
      <c r="A178" s="29" t="str">
        <f>'MASTER STOCK'!F175</f>
        <v>sok 1/2</v>
      </c>
      <c r="B178" s="30">
        <f>'MASTER STOCK'!G175</f>
        <v>350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23">
        <f t="shared" si="3"/>
        <v>0</v>
      </c>
      <c r="AI178" s="31">
        <f t="shared" si="4"/>
        <v>350</v>
      </c>
      <c r="AJ178" s="32">
        <f t="shared" si="5"/>
        <v>350</v>
      </c>
      <c r="AK178" s="32">
        <f t="shared" si="6"/>
        <v>0</v>
      </c>
      <c r="AL178" s="25">
        <f>'MASTER STOCK'!I175</f>
        <v>622</v>
      </c>
      <c r="AM178" s="26">
        <f>'MASTER STOCK'!L175</f>
        <v>2000</v>
      </c>
      <c r="AN178" s="27">
        <f t="shared" si="7"/>
        <v>0</v>
      </c>
      <c r="AO178" s="26">
        <f t="shared" si="8"/>
        <v>0</v>
      </c>
      <c r="AP178" s="10"/>
    </row>
    <row r="179">
      <c r="A179" s="29" t="str">
        <f>'MASTER STOCK'!F176</f>
        <v>sok 3/4</v>
      </c>
      <c r="B179" s="30">
        <f>'MASTER STOCK'!G176</f>
        <v>350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23">
        <f t="shared" si="3"/>
        <v>0</v>
      </c>
      <c r="AI179" s="31">
        <f t="shared" si="4"/>
        <v>350</v>
      </c>
      <c r="AJ179" s="32">
        <f t="shared" si="5"/>
        <v>350</v>
      </c>
      <c r="AK179" s="32">
        <f t="shared" si="6"/>
        <v>0</v>
      </c>
      <c r="AL179" s="25">
        <f>'MASTER STOCK'!I176</f>
        <v>835</v>
      </c>
      <c r="AM179" s="26">
        <f>'MASTER STOCK'!L176</f>
        <v>3000</v>
      </c>
      <c r="AN179" s="27">
        <f t="shared" si="7"/>
        <v>0</v>
      </c>
      <c r="AO179" s="26">
        <f t="shared" si="8"/>
        <v>0</v>
      </c>
      <c r="AP179" s="10"/>
    </row>
    <row r="180">
      <c r="A180" s="29" t="str">
        <f>'MASTER STOCK'!F177</f>
        <v>sok 1 1/2</v>
      </c>
      <c r="B180" s="30">
        <f>'MASTER STOCK'!G177</f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23">
        <f t="shared" si="3"/>
        <v>0</v>
      </c>
      <c r="AI180" s="31">
        <f t="shared" si="4"/>
        <v>11</v>
      </c>
      <c r="AJ180" s="32">
        <f t="shared" si="5"/>
        <v>11</v>
      </c>
      <c r="AK180" s="32">
        <f t="shared" si="6"/>
        <v>0</v>
      </c>
      <c r="AL180" s="25">
        <f>'MASTER STOCK'!I177</f>
        <v>3500</v>
      </c>
      <c r="AM180" s="26">
        <f>'MASTER STOCK'!L177</f>
        <v>3500</v>
      </c>
      <c r="AN180" s="27">
        <f t="shared" si="7"/>
        <v>0</v>
      </c>
      <c r="AO180" s="26">
        <f t="shared" si="8"/>
        <v>0</v>
      </c>
      <c r="AP180" s="10"/>
    </row>
    <row r="181">
      <c r="A181" s="29" t="str">
        <f>'MASTER STOCK'!F178</f>
        <v>sok 2</v>
      </c>
      <c r="B181" s="30">
        <f>'MASTER STOCK'!G178</f>
        <v>8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23">
        <f t="shared" si="3"/>
        <v>0</v>
      </c>
      <c r="AI181" s="31">
        <f t="shared" si="4"/>
        <v>8</v>
      </c>
      <c r="AJ181" s="32">
        <f t="shared" si="5"/>
        <v>8</v>
      </c>
      <c r="AK181" s="32">
        <f t="shared" si="6"/>
        <v>0</v>
      </c>
      <c r="AL181" s="25">
        <f>'MASTER STOCK'!I178</f>
        <v>2000</v>
      </c>
      <c r="AM181" s="26">
        <f>'MASTER STOCK'!L178</f>
        <v>2000</v>
      </c>
      <c r="AN181" s="27">
        <f t="shared" si="7"/>
        <v>0</v>
      </c>
      <c r="AO181" s="26">
        <f t="shared" si="8"/>
        <v>0</v>
      </c>
      <c r="AP181" s="10"/>
    </row>
    <row r="182">
      <c r="A182" s="29" t="str">
        <f>'MASTER STOCK'!F179</f>
        <v>sok 1 1/4</v>
      </c>
      <c r="B182" s="30">
        <f>'MASTER STOCK'!G179</f>
        <v>17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23">
        <f t="shared" si="3"/>
        <v>0</v>
      </c>
      <c r="AI182" s="31">
        <f t="shared" si="4"/>
        <v>17</v>
      </c>
      <c r="AJ182" s="32">
        <f t="shared" si="5"/>
        <v>17</v>
      </c>
      <c r="AK182" s="32">
        <f t="shared" si="6"/>
        <v>0</v>
      </c>
      <c r="AL182" s="25">
        <f>'MASTER STOCK'!I179</f>
        <v>3500</v>
      </c>
      <c r="AM182" s="26">
        <f>'MASTER STOCK'!L179</f>
        <v>3500</v>
      </c>
      <c r="AN182" s="27">
        <f t="shared" si="7"/>
        <v>0</v>
      </c>
      <c r="AO182" s="26">
        <f t="shared" si="8"/>
        <v>0</v>
      </c>
      <c r="AP182" s="10"/>
    </row>
    <row r="183">
      <c r="A183" s="29" t="str">
        <f>'MASTER STOCK'!F180</f>
        <v>sok 3</v>
      </c>
      <c r="B183" s="30">
        <f>'MASTER STOCK'!G180</f>
        <v>8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23">
        <f t="shared" si="3"/>
        <v>0</v>
      </c>
      <c r="AI183" s="31">
        <f t="shared" si="4"/>
        <v>8</v>
      </c>
      <c r="AJ183" s="32">
        <f t="shared" si="5"/>
        <v>8</v>
      </c>
      <c r="AK183" s="32">
        <f t="shared" si="6"/>
        <v>0</v>
      </c>
      <c r="AL183" s="25">
        <f>'MASTER STOCK'!I180</f>
        <v>7500</v>
      </c>
      <c r="AM183" s="26">
        <f>'MASTER STOCK'!L180</f>
        <v>7500</v>
      </c>
      <c r="AN183" s="27">
        <f t="shared" si="7"/>
        <v>0</v>
      </c>
      <c r="AO183" s="26">
        <f t="shared" si="8"/>
        <v>0</v>
      </c>
      <c r="AP183" s="10"/>
    </row>
    <row r="184">
      <c r="A184" s="29" t="str">
        <f>'MASTER STOCK'!F181</f>
        <v>sok drat dalam 1</v>
      </c>
      <c r="B184" s="30">
        <f>'MASTER STOCK'!G181</f>
        <v>9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23">
        <f t="shared" si="3"/>
        <v>0</v>
      </c>
      <c r="AI184" s="31">
        <f t="shared" si="4"/>
        <v>9</v>
      </c>
      <c r="AJ184" s="32">
        <f t="shared" si="5"/>
        <v>9</v>
      </c>
      <c r="AK184" s="32">
        <f t="shared" si="6"/>
        <v>0</v>
      </c>
      <c r="AL184" s="25">
        <f>'MASTER STOCK'!I181</f>
        <v>3500</v>
      </c>
      <c r="AM184" s="26">
        <f>'MASTER STOCK'!L181</f>
        <v>3500</v>
      </c>
      <c r="AN184" s="27">
        <f t="shared" si="7"/>
        <v>0</v>
      </c>
      <c r="AO184" s="26">
        <f t="shared" si="8"/>
        <v>0</v>
      </c>
      <c r="AP184" s="10"/>
    </row>
    <row r="185">
      <c r="A185" s="29" t="str">
        <f>'MASTER STOCK'!F182</f>
        <v>sok drat dalam 3/4</v>
      </c>
      <c r="B185" s="30">
        <f>'MASTER STOCK'!G182</f>
        <v>5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23">
        <f t="shared" si="3"/>
        <v>0</v>
      </c>
      <c r="AI185" s="31">
        <f t="shared" si="4"/>
        <v>5</v>
      </c>
      <c r="AJ185" s="32">
        <f t="shared" si="5"/>
        <v>5</v>
      </c>
      <c r="AK185" s="32">
        <f t="shared" si="6"/>
        <v>0</v>
      </c>
      <c r="AL185" s="25">
        <f>'MASTER STOCK'!I182</f>
        <v>4000</v>
      </c>
      <c r="AM185" s="26">
        <f>'MASTER STOCK'!L182</f>
        <v>4000</v>
      </c>
      <c r="AN185" s="27">
        <f t="shared" si="7"/>
        <v>0</v>
      </c>
      <c r="AO185" s="26">
        <f t="shared" si="8"/>
        <v>0</v>
      </c>
      <c r="AP185" s="10"/>
    </row>
    <row r="186">
      <c r="A186" s="29" t="str">
        <f>'MASTER STOCK'!F183</f>
        <v>sok drat luar 3/4</v>
      </c>
      <c r="B186" s="30">
        <f>'MASTER STOCK'!G183</f>
        <v>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23">
        <f t="shared" si="3"/>
        <v>0</v>
      </c>
      <c r="AI186" s="31">
        <f t="shared" si="4"/>
        <v>7</v>
      </c>
      <c r="AJ186" s="32">
        <f t="shared" si="5"/>
        <v>7</v>
      </c>
      <c r="AK186" s="32">
        <f t="shared" si="6"/>
        <v>0</v>
      </c>
      <c r="AL186" s="25">
        <f>'MASTER STOCK'!I183</f>
        <v>3000</v>
      </c>
      <c r="AM186" s="26">
        <f>'MASTER STOCK'!L183</f>
        <v>3000</v>
      </c>
      <c r="AN186" s="27">
        <f t="shared" si="7"/>
        <v>0</v>
      </c>
      <c r="AO186" s="26">
        <f t="shared" si="8"/>
        <v>0</v>
      </c>
      <c r="AP186" s="10"/>
    </row>
    <row r="187">
      <c r="A187" s="29" t="str">
        <f>'MASTER STOCK'!F184</f>
        <v>overlup 1 x 3/4</v>
      </c>
      <c r="B187" s="30">
        <f>'MASTER STOCK'!G184</f>
        <v>26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23">
        <f t="shared" si="3"/>
        <v>0</v>
      </c>
      <c r="AI187" s="31">
        <f t="shared" si="4"/>
        <v>26</v>
      </c>
      <c r="AJ187" s="32">
        <f t="shared" si="5"/>
        <v>26</v>
      </c>
      <c r="AK187" s="32">
        <f t="shared" si="6"/>
        <v>0</v>
      </c>
      <c r="AL187" s="25">
        <f>'MASTER STOCK'!I184</f>
        <v>2500</v>
      </c>
      <c r="AM187" s="26">
        <f>'MASTER STOCK'!L184</f>
        <v>2500</v>
      </c>
      <c r="AN187" s="27">
        <f t="shared" si="7"/>
        <v>0</v>
      </c>
      <c r="AO187" s="26">
        <f t="shared" si="8"/>
        <v>0</v>
      </c>
      <c r="AP187" s="10"/>
    </row>
    <row r="188">
      <c r="A188" s="29" t="str">
        <f>'MASTER STOCK'!F185</f>
        <v>sok drat dalam 3/4 x 1/2</v>
      </c>
      <c r="B188" s="30">
        <f>'MASTER STOCK'!G185</f>
        <v>6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23">
        <f t="shared" si="3"/>
        <v>0</v>
      </c>
      <c r="AI188" s="31">
        <f t="shared" si="4"/>
        <v>6</v>
      </c>
      <c r="AJ188" s="32">
        <f t="shared" si="5"/>
        <v>6</v>
      </c>
      <c r="AK188" s="32">
        <f t="shared" si="6"/>
        <v>0</v>
      </c>
      <c r="AL188" s="25">
        <f>'MASTER STOCK'!I185</f>
        <v>3000</v>
      </c>
      <c r="AM188" s="26">
        <f>'MASTER STOCK'!L185</f>
        <v>3000</v>
      </c>
      <c r="AN188" s="27">
        <f t="shared" si="7"/>
        <v>0</v>
      </c>
      <c r="AO188" s="26">
        <f t="shared" si="8"/>
        <v>0</v>
      </c>
      <c r="AP188" s="10"/>
    </row>
    <row r="189">
      <c r="A189" s="29" t="str">
        <f>'MASTER STOCK'!F186</f>
        <v>overlup 2 x 1</v>
      </c>
      <c r="B189" s="30">
        <f>'MASTER STOCK'!G186</f>
        <v>13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23">
        <f t="shared" si="3"/>
        <v>0</v>
      </c>
      <c r="AI189" s="31">
        <f t="shared" si="4"/>
        <v>13</v>
      </c>
      <c r="AJ189" s="32">
        <f t="shared" si="5"/>
        <v>13</v>
      </c>
      <c r="AK189" s="32">
        <f t="shared" si="6"/>
        <v>0</v>
      </c>
      <c r="AL189" s="25">
        <f>'MASTER STOCK'!I186</f>
        <v>7500</v>
      </c>
      <c r="AM189" s="26">
        <f>'MASTER STOCK'!L186</f>
        <v>7500</v>
      </c>
      <c r="AN189" s="27">
        <f t="shared" si="7"/>
        <v>0</v>
      </c>
      <c r="AO189" s="26">
        <f t="shared" si="8"/>
        <v>0</v>
      </c>
      <c r="AP189" s="10"/>
    </row>
    <row r="190">
      <c r="A190" s="29" t="str">
        <f>'MASTER STOCK'!F187</f>
        <v>overlup 2 x 1 1/2</v>
      </c>
      <c r="B190" s="30">
        <f>'MASTER STOCK'!G187</f>
        <v>5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23">
        <f t="shared" si="3"/>
        <v>0</v>
      </c>
      <c r="AI190" s="31">
        <f t="shared" si="4"/>
        <v>5</v>
      </c>
      <c r="AJ190" s="32">
        <f t="shared" si="5"/>
        <v>5</v>
      </c>
      <c r="AK190" s="32">
        <f t="shared" si="6"/>
        <v>0</v>
      </c>
      <c r="AL190" s="25">
        <f>'MASTER STOCK'!I187</f>
        <v>5500</v>
      </c>
      <c r="AM190" s="26">
        <f>'MASTER STOCK'!L187</f>
        <v>5500</v>
      </c>
      <c r="AN190" s="27">
        <f t="shared" si="7"/>
        <v>0</v>
      </c>
      <c r="AO190" s="26">
        <f t="shared" si="8"/>
        <v>0</v>
      </c>
      <c r="AP190" s="10"/>
    </row>
    <row r="191">
      <c r="A191" s="29" t="str">
        <f>'MASTER STOCK'!F188</f>
        <v>overlup 1 x 1 1/2</v>
      </c>
      <c r="B191" s="30">
        <f>'MASTER STOCK'!G188</f>
        <v>5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23">
        <f t="shared" si="3"/>
        <v>0</v>
      </c>
      <c r="AI191" s="31">
        <f t="shared" si="4"/>
        <v>5</v>
      </c>
      <c r="AJ191" s="32">
        <f t="shared" si="5"/>
        <v>5</v>
      </c>
      <c r="AK191" s="32">
        <f t="shared" si="6"/>
        <v>0</v>
      </c>
      <c r="AL191" s="25">
        <f>'MASTER STOCK'!I188</f>
        <v>6500</v>
      </c>
      <c r="AM191" s="26">
        <f>'MASTER STOCK'!L188</f>
        <v>6500</v>
      </c>
      <c r="AN191" s="27">
        <f t="shared" si="7"/>
        <v>0</v>
      </c>
      <c r="AO191" s="26">
        <f t="shared" si="8"/>
        <v>0</v>
      </c>
      <c r="AP191" s="10"/>
    </row>
    <row r="192">
      <c r="A192" s="29" t="str">
        <f>'MASTER STOCK'!F189</f>
        <v>overlup 2 x 2 1/2</v>
      </c>
      <c r="B192" s="30">
        <f>'MASTER STOCK'!G189</f>
        <v>3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23">
        <f t="shared" si="3"/>
        <v>0</v>
      </c>
      <c r="AI192" s="31">
        <f t="shared" si="4"/>
        <v>3</v>
      </c>
      <c r="AJ192" s="32">
        <f t="shared" si="5"/>
        <v>3</v>
      </c>
      <c r="AK192" s="32">
        <f t="shared" si="6"/>
        <v>0</v>
      </c>
      <c r="AL192" s="25">
        <f>'MASTER STOCK'!I189</f>
        <v>8000</v>
      </c>
      <c r="AM192" s="26">
        <f>'MASTER STOCK'!L189</f>
        <v>8000</v>
      </c>
      <c r="AN192" s="27">
        <f t="shared" si="7"/>
        <v>0</v>
      </c>
      <c r="AO192" s="26">
        <f t="shared" si="8"/>
        <v>0</v>
      </c>
      <c r="AP192" s="10"/>
    </row>
    <row r="193">
      <c r="A193" s="29" t="str">
        <f>'MASTER STOCK'!F190</f>
        <v>t  3/4 x 1</v>
      </c>
      <c r="B193" s="30">
        <f>'MASTER STOCK'!G190</f>
        <v>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23">
        <f t="shared" si="3"/>
        <v>0</v>
      </c>
      <c r="AI193" s="31">
        <f t="shared" si="4"/>
        <v>1</v>
      </c>
      <c r="AJ193" s="32">
        <f t="shared" si="5"/>
        <v>1</v>
      </c>
      <c r="AK193" s="32">
        <f t="shared" si="6"/>
        <v>0</v>
      </c>
      <c r="AL193" s="25">
        <f>'MASTER STOCK'!I190</f>
        <v>3500</v>
      </c>
      <c r="AM193" s="26">
        <f>'MASTER STOCK'!L190</f>
        <v>3500</v>
      </c>
      <c r="AN193" s="27">
        <f t="shared" si="7"/>
        <v>0</v>
      </c>
      <c r="AO193" s="26">
        <f t="shared" si="8"/>
        <v>0</v>
      </c>
      <c r="AP193" s="10"/>
    </row>
    <row r="194">
      <c r="A194" s="29" t="str">
        <f>'MASTER STOCK'!F191</f>
        <v>knee 2 1/2</v>
      </c>
      <c r="B194" s="30">
        <f>'MASTER STOCK'!G191</f>
        <v>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23">
        <f t="shared" si="3"/>
        <v>0</v>
      </c>
      <c r="AI194" s="31">
        <f t="shared" si="4"/>
        <v>8</v>
      </c>
      <c r="AJ194" s="32">
        <f t="shared" si="5"/>
        <v>8</v>
      </c>
      <c r="AK194" s="32">
        <f t="shared" si="6"/>
        <v>0</v>
      </c>
      <c r="AL194" s="25">
        <f>'MASTER STOCK'!I191</f>
        <v>7500</v>
      </c>
      <c r="AM194" s="26">
        <f>'MASTER STOCK'!L191</f>
        <v>7500</v>
      </c>
      <c r="AN194" s="27">
        <f t="shared" si="7"/>
        <v>0</v>
      </c>
      <c r="AO194" s="26">
        <f t="shared" si="8"/>
        <v>0</v>
      </c>
      <c r="AP194" s="10"/>
    </row>
    <row r="195">
      <c r="A195" s="29" t="str">
        <f>'MASTER STOCK'!F192</f>
        <v>sok 4</v>
      </c>
      <c r="B195" s="30">
        <f>'MASTER STOCK'!G192</f>
        <v>22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23">
        <f t="shared" si="3"/>
        <v>0</v>
      </c>
      <c r="AI195" s="31">
        <f t="shared" si="4"/>
        <v>22</v>
      </c>
      <c r="AJ195" s="32">
        <f t="shared" si="5"/>
        <v>22</v>
      </c>
      <c r="AK195" s="32">
        <f t="shared" si="6"/>
        <v>0</v>
      </c>
      <c r="AL195" s="25">
        <f>'MASTER STOCK'!I192</f>
        <v>9000</v>
      </c>
      <c r="AM195" s="26">
        <f>'MASTER STOCK'!L192</f>
        <v>9000</v>
      </c>
      <c r="AN195" s="27">
        <f t="shared" si="7"/>
        <v>0</v>
      </c>
      <c r="AO195" s="26">
        <f t="shared" si="8"/>
        <v>0</v>
      </c>
      <c r="AP195" s="10"/>
    </row>
    <row r="196">
      <c r="A196" s="29" t="str">
        <f>'MASTER STOCK'!F193</f>
        <v>sok 2 1/2</v>
      </c>
      <c r="B196" s="30">
        <f>'MASTER STOCK'!G193</f>
        <v>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23">
        <f t="shared" si="3"/>
        <v>0</v>
      </c>
      <c r="AI196" s="31">
        <f t="shared" si="4"/>
        <v>2</v>
      </c>
      <c r="AJ196" s="32">
        <f t="shared" si="5"/>
        <v>2</v>
      </c>
      <c r="AK196" s="32">
        <f t="shared" si="6"/>
        <v>0</v>
      </c>
      <c r="AL196" s="25">
        <f>'MASTER STOCK'!I193</f>
        <v>5500</v>
      </c>
      <c r="AM196" s="26">
        <f>'MASTER STOCK'!L193</f>
        <v>5500</v>
      </c>
      <c r="AN196" s="27">
        <f t="shared" si="7"/>
        <v>0</v>
      </c>
      <c r="AO196" s="26">
        <f t="shared" si="8"/>
        <v>0</v>
      </c>
      <c r="AP196" s="10"/>
    </row>
    <row r="197">
      <c r="A197" s="29" t="str">
        <f>'MASTER STOCK'!F194</f>
        <v>sok drat luar 2</v>
      </c>
      <c r="B197" s="30">
        <f>'MASTER STOCK'!G194</f>
        <v>5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23">
        <f t="shared" si="3"/>
        <v>0</v>
      </c>
      <c r="AI197" s="31">
        <f t="shared" si="4"/>
        <v>5</v>
      </c>
      <c r="AJ197" s="32">
        <f t="shared" si="5"/>
        <v>5</v>
      </c>
      <c r="AK197" s="32">
        <f t="shared" si="6"/>
        <v>0</v>
      </c>
      <c r="AL197" s="25">
        <f>'MASTER STOCK'!I194</f>
        <v>7500</v>
      </c>
      <c r="AM197" s="26">
        <f>'MASTER STOCK'!L194</f>
        <v>7500</v>
      </c>
      <c r="AN197" s="27">
        <f t="shared" si="7"/>
        <v>0</v>
      </c>
      <c r="AO197" s="26">
        <f t="shared" si="8"/>
        <v>0</v>
      </c>
      <c r="AP197" s="10"/>
    </row>
    <row r="198">
      <c r="A198" s="29" t="str">
        <f>'MASTER STOCK'!F195</f>
        <v>t 4</v>
      </c>
      <c r="B198" s="30">
        <f>'MASTER STOCK'!G195</f>
        <v>10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23">
        <f t="shared" si="3"/>
        <v>0</v>
      </c>
      <c r="AI198" s="31">
        <f t="shared" si="4"/>
        <v>10</v>
      </c>
      <c r="AJ198" s="32">
        <f t="shared" si="5"/>
        <v>10</v>
      </c>
      <c r="AK198" s="32">
        <f t="shared" si="6"/>
        <v>0</v>
      </c>
      <c r="AL198" s="25">
        <f>'MASTER STOCK'!I195</f>
        <v>16500</v>
      </c>
      <c r="AM198" s="26">
        <f>'MASTER STOCK'!L195</f>
        <v>16500</v>
      </c>
      <c r="AN198" s="27">
        <f t="shared" si="7"/>
        <v>0</v>
      </c>
      <c r="AO198" s="26">
        <f t="shared" si="8"/>
        <v>0</v>
      </c>
      <c r="AP198" s="10"/>
    </row>
    <row r="199">
      <c r="A199" s="29" t="str">
        <f>'MASTER STOCK'!F196</f>
        <v>t 3</v>
      </c>
      <c r="B199" s="30">
        <f>'MASTER STOCK'!G196</f>
        <v>7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23">
        <f t="shared" si="3"/>
        <v>0</v>
      </c>
      <c r="AI199" s="31">
        <f t="shared" si="4"/>
        <v>7</v>
      </c>
      <c r="AJ199" s="32">
        <f t="shared" si="5"/>
        <v>7</v>
      </c>
      <c r="AK199" s="32">
        <f t="shared" si="6"/>
        <v>0</v>
      </c>
      <c r="AL199" s="25">
        <f>'MASTER STOCK'!I196</f>
        <v>10000</v>
      </c>
      <c r="AM199" s="26">
        <f>'MASTER STOCK'!L196</f>
        <v>10000</v>
      </c>
      <c r="AN199" s="27">
        <f t="shared" si="7"/>
        <v>0</v>
      </c>
      <c r="AO199" s="26">
        <f t="shared" si="8"/>
        <v>0</v>
      </c>
      <c r="AP199" s="10"/>
    </row>
    <row r="200">
      <c r="A200" s="29" t="str">
        <f>'MASTER STOCK'!F197</f>
        <v>knee 4</v>
      </c>
      <c r="B200" s="30">
        <f>'MASTER STOCK'!G197</f>
        <v>13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23">
        <f t="shared" si="3"/>
        <v>0</v>
      </c>
      <c r="AI200" s="31">
        <f t="shared" si="4"/>
        <v>13</v>
      </c>
      <c r="AJ200" s="32">
        <f t="shared" si="5"/>
        <v>13</v>
      </c>
      <c r="AK200" s="32">
        <f t="shared" si="6"/>
        <v>0</v>
      </c>
      <c r="AL200" s="25">
        <f>'MASTER STOCK'!I197</f>
        <v>14000</v>
      </c>
      <c r="AM200" s="26">
        <f>'MASTER STOCK'!L197</f>
        <v>14000</v>
      </c>
      <c r="AN200" s="27">
        <f t="shared" si="7"/>
        <v>0</v>
      </c>
      <c r="AO200" s="26">
        <f t="shared" si="8"/>
        <v>0</v>
      </c>
      <c r="AP200" s="10"/>
    </row>
    <row r="201">
      <c r="A201" s="29" t="str">
        <f>'MASTER STOCK'!F198</f>
        <v>overlup 4 x 2 1/2</v>
      </c>
      <c r="B201" s="30">
        <f>'MASTER STOCK'!G198</f>
        <v>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23">
        <f t="shared" si="3"/>
        <v>0</v>
      </c>
      <c r="AI201" s="31">
        <f t="shared" si="4"/>
        <v>1</v>
      </c>
      <c r="AJ201" s="32">
        <f t="shared" si="5"/>
        <v>1</v>
      </c>
      <c r="AK201" s="32">
        <f t="shared" si="6"/>
        <v>0</v>
      </c>
      <c r="AL201" s="25">
        <f>'MASTER STOCK'!I198</f>
        <v>12000</v>
      </c>
      <c r="AM201" s="26">
        <f>'MASTER STOCK'!L198</f>
        <v>12000</v>
      </c>
      <c r="AN201" s="27">
        <f t="shared" si="7"/>
        <v>0</v>
      </c>
      <c r="AO201" s="26">
        <f t="shared" si="8"/>
        <v>0</v>
      </c>
      <c r="AP201" s="10"/>
    </row>
    <row r="202">
      <c r="A202" s="29" t="str">
        <f>'MASTER STOCK'!F199</f>
        <v>overlup 4 x 3</v>
      </c>
      <c r="B202" s="30">
        <f>'MASTER STOCK'!G199</f>
        <v>2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23">
        <f t="shared" si="3"/>
        <v>0</v>
      </c>
      <c r="AI202" s="31">
        <f t="shared" si="4"/>
        <v>2</v>
      </c>
      <c r="AJ202" s="32">
        <f t="shared" si="5"/>
        <v>2</v>
      </c>
      <c r="AK202" s="32">
        <f t="shared" si="6"/>
        <v>0</v>
      </c>
      <c r="AL202" s="25">
        <f>'MASTER STOCK'!I199</f>
        <v>12500</v>
      </c>
      <c r="AM202" s="26">
        <f>'MASTER STOCK'!L199</f>
        <v>12500</v>
      </c>
      <c r="AN202" s="27">
        <f t="shared" si="7"/>
        <v>0</v>
      </c>
      <c r="AO202" s="26">
        <f t="shared" si="8"/>
        <v>0</v>
      </c>
      <c r="AP202" s="10"/>
    </row>
    <row r="203">
      <c r="A203" s="29" t="str">
        <f>'MASTER STOCK'!F200</f>
        <v>knee 3</v>
      </c>
      <c r="B203" s="30">
        <f>'MASTER STOCK'!G200</f>
        <v>6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23">
        <f t="shared" si="3"/>
        <v>0</v>
      </c>
      <c r="AI203" s="31">
        <f t="shared" si="4"/>
        <v>6</v>
      </c>
      <c r="AJ203" s="32">
        <f t="shared" si="5"/>
        <v>6</v>
      </c>
      <c r="AK203" s="32">
        <f t="shared" si="6"/>
        <v>0</v>
      </c>
      <c r="AL203" s="25">
        <f>'MASTER STOCK'!I200</f>
        <v>10000</v>
      </c>
      <c r="AM203" s="26">
        <f>'MASTER STOCK'!L200</f>
        <v>10000</v>
      </c>
      <c r="AN203" s="27">
        <f t="shared" si="7"/>
        <v>0</v>
      </c>
      <c r="AO203" s="26">
        <f t="shared" si="8"/>
        <v>0</v>
      </c>
      <c r="AP203" s="10"/>
    </row>
    <row r="204">
      <c r="A204" s="29" t="str">
        <f>'MASTER STOCK'!F201</f>
        <v>tutup pipa 3</v>
      </c>
      <c r="B204" s="30">
        <f>'MASTER STOCK'!G201</f>
        <v>4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23">
        <f t="shared" si="3"/>
        <v>0</v>
      </c>
      <c r="AI204" s="31">
        <f t="shared" si="4"/>
        <v>4</v>
      </c>
      <c r="AJ204" s="32">
        <f t="shared" si="5"/>
        <v>4</v>
      </c>
      <c r="AK204" s="32">
        <f t="shared" si="6"/>
        <v>0</v>
      </c>
      <c r="AL204" s="25">
        <f>'MASTER STOCK'!I201</f>
        <v>8500</v>
      </c>
      <c r="AM204" s="26">
        <f>'MASTER STOCK'!L201</f>
        <v>8500</v>
      </c>
      <c r="AN204" s="27">
        <f t="shared" si="7"/>
        <v>0</v>
      </c>
      <c r="AO204" s="26">
        <f t="shared" si="8"/>
        <v>0</v>
      </c>
      <c r="AP204" s="10"/>
    </row>
    <row r="205">
      <c r="A205" s="29" t="str">
        <f>'MASTER STOCK'!F202</f>
        <v>tutup pipa 4</v>
      </c>
      <c r="B205" s="30">
        <f>'MASTER STOCK'!G202</f>
        <v>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23">
        <f t="shared" si="3"/>
        <v>0</v>
      </c>
      <c r="AI205" s="31">
        <f t="shared" si="4"/>
        <v>1</v>
      </c>
      <c r="AJ205" s="32">
        <f t="shared" si="5"/>
        <v>1</v>
      </c>
      <c r="AK205" s="32">
        <f t="shared" si="6"/>
        <v>0</v>
      </c>
      <c r="AL205" s="25">
        <f>'MASTER STOCK'!I202</f>
        <v>9500</v>
      </c>
      <c r="AM205" s="26">
        <f>'MASTER STOCK'!L202</f>
        <v>9500</v>
      </c>
      <c r="AN205" s="27">
        <f t="shared" si="7"/>
        <v>0</v>
      </c>
      <c r="AO205" s="26">
        <f t="shared" si="8"/>
        <v>0</v>
      </c>
      <c r="AP205" s="10"/>
    </row>
    <row r="206">
      <c r="A206" s="29" t="str">
        <f>'MASTER STOCK'!F203</f>
        <v>tutup pipa 2 1/2</v>
      </c>
      <c r="B206" s="30">
        <f>'MASTER STOCK'!G203</f>
        <v>2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23">
        <f t="shared" si="3"/>
        <v>0</v>
      </c>
      <c r="AI206" s="31">
        <f t="shared" si="4"/>
        <v>2</v>
      </c>
      <c r="AJ206" s="32">
        <f t="shared" si="5"/>
        <v>2</v>
      </c>
      <c r="AK206" s="32">
        <f t="shared" si="6"/>
        <v>0</v>
      </c>
      <c r="AL206" s="25">
        <f>'MASTER STOCK'!I203</f>
        <v>6500</v>
      </c>
      <c r="AM206" s="26">
        <f>'MASTER STOCK'!L203</f>
        <v>6500</v>
      </c>
      <c r="AN206" s="27">
        <f t="shared" si="7"/>
        <v>0</v>
      </c>
      <c r="AO206" s="26">
        <f t="shared" si="8"/>
        <v>0</v>
      </c>
      <c r="AP206" s="10"/>
    </row>
    <row r="207">
      <c r="A207" s="29" t="str">
        <f>'MASTER STOCK'!F204</f>
        <v>tutup pipa 2</v>
      </c>
      <c r="B207" s="30">
        <f>'MASTER STOCK'!G204</f>
        <v>2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23">
        <f t="shared" si="3"/>
        <v>0</v>
      </c>
      <c r="AI207" s="31">
        <f t="shared" si="4"/>
        <v>2</v>
      </c>
      <c r="AJ207" s="32">
        <f t="shared" si="5"/>
        <v>2</v>
      </c>
      <c r="AK207" s="32">
        <f t="shared" si="6"/>
        <v>0</v>
      </c>
      <c r="AL207" s="25">
        <f>'MASTER STOCK'!I204</f>
        <v>6000</v>
      </c>
      <c r="AM207" s="26">
        <f>'MASTER STOCK'!L204</f>
        <v>6000</v>
      </c>
      <c r="AN207" s="27">
        <f t="shared" si="7"/>
        <v>0</v>
      </c>
      <c r="AO207" s="26">
        <f t="shared" si="8"/>
        <v>0</v>
      </c>
      <c r="AP207" s="10"/>
    </row>
    <row r="208">
      <c r="A208" s="29" t="str">
        <f>'MASTER STOCK'!F205</f>
        <v>pipa 1/2</v>
      </c>
      <c r="B208" s="30">
        <f>'MASTER STOCK'!G205</f>
        <v>3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23">
        <f t="shared" si="3"/>
        <v>0</v>
      </c>
      <c r="AI208" s="31">
        <f t="shared" si="4"/>
        <v>3</v>
      </c>
      <c r="AJ208" s="32">
        <f t="shared" si="5"/>
        <v>3</v>
      </c>
      <c r="AK208" s="32">
        <f t="shared" si="6"/>
        <v>0</v>
      </c>
      <c r="AL208" s="25">
        <f>'MASTER STOCK'!I205</f>
        <v>2500</v>
      </c>
      <c r="AM208" s="26">
        <f>'MASTER STOCK'!L205</f>
        <v>2500</v>
      </c>
      <c r="AN208" s="27">
        <f t="shared" si="7"/>
        <v>0</v>
      </c>
      <c r="AO208" s="26">
        <f t="shared" si="8"/>
        <v>0</v>
      </c>
      <c r="AP208" s="10"/>
    </row>
    <row r="209">
      <c r="A209" s="29" t="str">
        <f>'MASTER STOCK'!F206</f>
        <v>pipa 3/4</v>
      </c>
      <c r="B209" s="30">
        <f>'MASTER STOCK'!G206</f>
        <v>6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23">
        <f t="shared" si="3"/>
        <v>0</v>
      </c>
      <c r="AI209" s="31">
        <f t="shared" si="4"/>
        <v>6</v>
      </c>
      <c r="AJ209" s="32">
        <f t="shared" si="5"/>
        <v>6</v>
      </c>
      <c r="AK209" s="32">
        <f t="shared" si="6"/>
        <v>0</v>
      </c>
      <c r="AL209" s="25">
        <f>'MASTER STOCK'!I206</f>
        <v>27500</v>
      </c>
      <c r="AM209" s="26">
        <f>'MASTER STOCK'!L206</f>
        <v>27500</v>
      </c>
      <c r="AN209" s="27">
        <f t="shared" si="7"/>
        <v>0</v>
      </c>
      <c r="AO209" s="26">
        <f t="shared" si="8"/>
        <v>0</v>
      </c>
      <c r="AP209" s="10"/>
    </row>
    <row r="210">
      <c r="A210" s="29" t="str">
        <f>'MASTER STOCK'!F207</f>
        <v>pipa 5/8</v>
      </c>
      <c r="B210" s="30">
        <f>'MASTER STOCK'!G207</f>
        <v>4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23">
        <f t="shared" si="3"/>
        <v>0</v>
      </c>
      <c r="AI210" s="31">
        <f t="shared" si="4"/>
        <v>4</v>
      </c>
      <c r="AJ210" s="32">
        <f t="shared" si="5"/>
        <v>4</v>
      </c>
      <c r="AK210" s="32">
        <f t="shared" si="6"/>
        <v>0</v>
      </c>
      <c r="AL210" s="25">
        <f>'MASTER STOCK'!I207</f>
        <v>0</v>
      </c>
      <c r="AM210" s="26">
        <f>'MASTER STOCK'!L207</f>
        <v>0</v>
      </c>
      <c r="AN210" s="27">
        <f t="shared" si="7"/>
        <v>0</v>
      </c>
      <c r="AO210" s="26">
        <f t="shared" si="8"/>
        <v>0</v>
      </c>
      <c r="AP210" s="10"/>
    </row>
    <row r="211">
      <c r="A211" s="29" t="str">
        <f>'MASTER STOCK'!F208</f>
        <v>pipa 1 aw</v>
      </c>
      <c r="B211" s="30">
        <f>'MASTER STOCK'!G208</f>
        <v>3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23">
        <f t="shared" si="3"/>
        <v>0</v>
      </c>
      <c r="AI211" s="31">
        <f t="shared" si="4"/>
        <v>3</v>
      </c>
      <c r="AJ211" s="32">
        <f t="shared" si="5"/>
        <v>3</v>
      </c>
      <c r="AK211" s="32">
        <f t="shared" si="6"/>
        <v>0</v>
      </c>
      <c r="AL211" s="25">
        <f>'MASTER STOCK'!I208</f>
        <v>38000</v>
      </c>
      <c r="AM211" s="26">
        <f>'MASTER STOCK'!L208</f>
        <v>38000</v>
      </c>
      <c r="AN211" s="27">
        <f t="shared" si="7"/>
        <v>0</v>
      </c>
      <c r="AO211" s="26">
        <f t="shared" si="8"/>
        <v>0</v>
      </c>
      <c r="AP211" s="10"/>
    </row>
    <row r="212">
      <c r="A212" s="29" t="str">
        <f>'MASTER STOCK'!F209</f>
        <v>pipa bluefin 1 1/2</v>
      </c>
      <c r="B212" s="30">
        <f>'MASTER STOCK'!G209</f>
        <v>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23">
        <f t="shared" si="3"/>
        <v>0</v>
      </c>
      <c r="AI212" s="31">
        <f t="shared" si="4"/>
        <v>1</v>
      </c>
      <c r="AJ212" s="32">
        <f t="shared" si="5"/>
        <v>1</v>
      </c>
      <c r="AK212" s="32">
        <f t="shared" si="6"/>
        <v>0</v>
      </c>
      <c r="AL212" s="25">
        <f>'MASTER STOCK'!I209</f>
        <v>35000</v>
      </c>
      <c r="AM212" s="26">
        <f>'MASTER STOCK'!L209</f>
        <v>35000</v>
      </c>
      <c r="AN212" s="27">
        <f t="shared" si="7"/>
        <v>0</v>
      </c>
      <c r="AO212" s="26">
        <f t="shared" si="8"/>
        <v>0</v>
      </c>
      <c r="AP212" s="10"/>
    </row>
    <row r="213">
      <c r="A213" s="29" t="str">
        <f>'MASTER STOCK'!F210</f>
        <v>pipa quinlon 1 1/2</v>
      </c>
      <c r="B213" s="30">
        <f>'MASTER STOCK'!G210</f>
        <v>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23">
        <f t="shared" si="3"/>
        <v>0</v>
      </c>
      <c r="AI213" s="31">
        <f t="shared" si="4"/>
        <v>1</v>
      </c>
      <c r="AJ213" s="32">
        <f t="shared" si="5"/>
        <v>1</v>
      </c>
      <c r="AK213" s="32">
        <f t="shared" si="6"/>
        <v>0</v>
      </c>
      <c r="AL213" s="25">
        <f>'MASTER STOCK'!I210</f>
        <v>32000</v>
      </c>
      <c r="AM213" s="26">
        <f>'MASTER STOCK'!L210</f>
        <v>32000</v>
      </c>
      <c r="AN213" s="27">
        <f t="shared" si="7"/>
        <v>0</v>
      </c>
      <c r="AO213" s="26">
        <f t="shared" si="8"/>
        <v>0</v>
      </c>
      <c r="AP213" s="10"/>
    </row>
    <row r="214">
      <c r="A214" s="29" t="str">
        <f>'MASTER STOCK'!F211</f>
        <v>pipa bluefin 2 dim c</v>
      </c>
      <c r="B214" s="30">
        <f>'MASTER STOCK'!G211</f>
        <v>6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23">
        <f t="shared" si="3"/>
        <v>0</v>
      </c>
      <c r="AI214" s="31">
        <f t="shared" si="4"/>
        <v>6</v>
      </c>
      <c r="AJ214" s="32">
        <f t="shared" si="5"/>
        <v>6</v>
      </c>
      <c r="AK214" s="32">
        <f t="shared" si="6"/>
        <v>0</v>
      </c>
      <c r="AL214" s="25">
        <f>'MASTER STOCK'!I211</f>
        <v>41000</v>
      </c>
      <c r="AM214" s="26">
        <f>'MASTER STOCK'!L211</f>
        <v>41000</v>
      </c>
      <c r="AN214" s="27">
        <f t="shared" si="7"/>
        <v>0</v>
      </c>
      <c r="AO214" s="26">
        <f t="shared" si="8"/>
        <v>0</v>
      </c>
      <c r="AP214" s="10"/>
    </row>
    <row r="215">
      <c r="A215" s="29" t="str">
        <f>'MASTER STOCK'!F212</f>
        <v>pipa bluefin 2 dim d</v>
      </c>
      <c r="B215" s="30">
        <f>'MASTER STOCK'!G212</f>
        <v>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23">
        <f t="shared" si="3"/>
        <v>0</v>
      </c>
      <c r="AI215" s="31">
        <f t="shared" si="4"/>
        <v>1</v>
      </c>
      <c r="AJ215" s="32">
        <f t="shared" si="5"/>
        <v>1</v>
      </c>
      <c r="AK215" s="32">
        <f t="shared" si="6"/>
        <v>0</v>
      </c>
      <c r="AL215" s="25">
        <f>'MASTER STOCK'!I212</f>
        <v>46000</v>
      </c>
      <c r="AM215" s="26">
        <f>'MASTER STOCK'!L212</f>
        <v>46000</v>
      </c>
      <c r="AN215" s="27">
        <f t="shared" si="7"/>
        <v>0</v>
      </c>
      <c r="AO215" s="26">
        <f t="shared" si="8"/>
        <v>0</v>
      </c>
      <c r="AP215" s="10"/>
    </row>
    <row r="216">
      <c r="A216" s="29" t="str">
        <f>'MASTER STOCK'!F213</f>
        <v>pipa interniti 2 dim</v>
      </c>
      <c r="B216" s="30">
        <f>'MASTER STOCK'!G213</f>
        <v>7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23">
        <f t="shared" si="3"/>
        <v>0</v>
      </c>
      <c r="AI216" s="31">
        <f t="shared" si="4"/>
        <v>7</v>
      </c>
      <c r="AJ216" s="32">
        <f t="shared" si="5"/>
        <v>7</v>
      </c>
      <c r="AK216" s="32">
        <f t="shared" si="6"/>
        <v>0</v>
      </c>
      <c r="AL216" s="25">
        <f>'MASTER STOCK'!I213</f>
        <v>42000</v>
      </c>
      <c r="AM216" s="26">
        <f>'MASTER STOCK'!L213</f>
        <v>42000</v>
      </c>
      <c r="AN216" s="27">
        <f t="shared" si="7"/>
        <v>0</v>
      </c>
      <c r="AO216" s="26">
        <f t="shared" si="8"/>
        <v>0</v>
      </c>
      <c r="AP216" s="10"/>
    </row>
    <row r="217">
      <c r="A217" s="29" t="str">
        <f>'MASTER STOCK'!F214</f>
        <v>pipa bluefin 2 1/2 dim c</v>
      </c>
      <c r="B217" s="30">
        <f>'MASTER STOCK'!G214</f>
        <v>2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23">
        <f t="shared" si="3"/>
        <v>0</v>
      </c>
      <c r="AI217" s="31">
        <f t="shared" si="4"/>
        <v>2</v>
      </c>
      <c r="AJ217" s="32">
        <f t="shared" si="5"/>
        <v>2</v>
      </c>
      <c r="AK217" s="32">
        <f t="shared" si="6"/>
        <v>0</v>
      </c>
      <c r="AL217" s="25">
        <f>'MASTER STOCK'!I214</f>
        <v>57500</v>
      </c>
      <c r="AM217" s="26">
        <f>'MASTER STOCK'!L214</f>
        <v>57500</v>
      </c>
      <c r="AN217" s="27">
        <f t="shared" si="7"/>
        <v>0</v>
      </c>
      <c r="AO217" s="26">
        <f t="shared" si="8"/>
        <v>0</v>
      </c>
      <c r="AP217" s="10"/>
    </row>
    <row r="218">
      <c r="A218" s="29" t="str">
        <f>'MASTER STOCK'!F215</f>
        <v>pipa quinlon 3 dim c</v>
      </c>
      <c r="B218" s="30">
        <f>'MASTER STOCK'!G215</f>
        <v>3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23">
        <f t="shared" si="3"/>
        <v>0</v>
      </c>
      <c r="AI218" s="31">
        <f t="shared" si="4"/>
        <v>3</v>
      </c>
      <c r="AJ218" s="32">
        <f t="shared" si="5"/>
        <v>3</v>
      </c>
      <c r="AK218" s="32">
        <f t="shared" si="6"/>
        <v>0</v>
      </c>
      <c r="AL218" s="25">
        <f>'MASTER STOCK'!I215</f>
        <v>53000</v>
      </c>
      <c r="AM218" s="26">
        <f>'MASTER STOCK'!L215</f>
        <v>53000</v>
      </c>
      <c r="AN218" s="27">
        <f t="shared" si="7"/>
        <v>0</v>
      </c>
      <c r="AO218" s="26">
        <f t="shared" si="8"/>
        <v>0</v>
      </c>
      <c r="AP218" s="10"/>
    </row>
    <row r="219">
      <c r="A219" s="29" t="str">
        <f>'MASTER STOCK'!F216</f>
        <v>pipa quinlon 3 dim d</v>
      </c>
      <c r="B219" s="30">
        <f>'MASTER STOCK'!G216</f>
        <v>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23">
        <f t="shared" si="3"/>
        <v>0</v>
      </c>
      <c r="AI219" s="31">
        <f t="shared" si="4"/>
        <v>1</v>
      </c>
      <c r="AJ219" s="32">
        <f t="shared" si="5"/>
        <v>1</v>
      </c>
      <c r="AK219" s="32">
        <f t="shared" si="6"/>
        <v>0</v>
      </c>
      <c r="AL219" s="25">
        <f>'MASTER STOCK'!I216</f>
        <v>78000</v>
      </c>
      <c r="AM219" s="26">
        <f>'MASTER STOCK'!L216</f>
        <v>78000</v>
      </c>
      <c r="AN219" s="27">
        <f t="shared" si="7"/>
        <v>0</v>
      </c>
      <c r="AO219" s="26">
        <f t="shared" si="8"/>
        <v>0</v>
      </c>
      <c r="AP219" s="10"/>
    </row>
    <row r="220">
      <c r="A220" s="29" t="str">
        <f>'MASTER STOCK'!F217</f>
        <v>asbes 180 x 1 m</v>
      </c>
      <c r="B220" s="30">
        <f>'MASTER STOCK'!G217</f>
        <v>2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23">
        <f t="shared" si="3"/>
        <v>0</v>
      </c>
      <c r="AI220" s="31">
        <f t="shared" si="4"/>
        <v>2</v>
      </c>
      <c r="AJ220" s="32">
        <f t="shared" si="5"/>
        <v>2</v>
      </c>
      <c r="AK220" s="32">
        <f t="shared" si="6"/>
        <v>0</v>
      </c>
      <c r="AL220" s="25">
        <f>'MASTER STOCK'!I217</f>
        <v>59000</v>
      </c>
      <c r="AM220" s="26">
        <f>'MASTER STOCK'!L217</f>
        <v>59000</v>
      </c>
      <c r="AN220" s="27">
        <f t="shared" si="7"/>
        <v>0</v>
      </c>
      <c r="AO220" s="26">
        <f t="shared" si="8"/>
        <v>0</v>
      </c>
      <c r="AP220" s="10"/>
    </row>
    <row r="221">
      <c r="A221" s="29" t="str">
        <f>'MASTER STOCK'!F218</f>
        <v>asbes 240 x 1 m</v>
      </c>
      <c r="B221" s="30">
        <f>'MASTER STOCK'!G218</f>
        <v>2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23">
        <f t="shared" si="3"/>
        <v>0</v>
      </c>
      <c r="AI221" s="31">
        <f t="shared" si="4"/>
        <v>2</v>
      </c>
      <c r="AJ221" s="32">
        <f t="shared" si="5"/>
        <v>2</v>
      </c>
      <c r="AK221" s="32">
        <f t="shared" si="6"/>
        <v>0</v>
      </c>
      <c r="AL221" s="25">
        <f>'MASTER STOCK'!I218</f>
        <v>72000</v>
      </c>
      <c r="AM221" s="26">
        <f>'MASTER STOCK'!L218</f>
        <v>72000</v>
      </c>
      <c r="AN221" s="27">
        <f t="shared" si="7"/>
        <v>0</v>
      </c>
      <c r="AO221" s="26">
        <f t="shared" si="8"/>
        <v>0</v>
      </c>
      <c r="AP221" s="10"/>
    </row>
    <row r="222">
      <c r="A222" s="29" t="str">
        <f>'MASTER STOCK'!F219</f>
        <v>fiber glass</v>
      </c>
      <c r="B222" s="30">
        <f>'MASTER STOCK'!G219</f>
        <v>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23">
        <f t="shared" si="3"/>
        <v>0</v>
      </c>
      <c r="AI222" s="31">
        <f t="shared" si="4"/>
        <v>1</v>
      </c>
      <c r="AJ222" s="32">
        <f t="shared" si="5"/>
        <v>1</v>
      </c>
      <c r="AK222" s="32">
        <f t="shared" si="6"/>
        <v>0</v>
      </c>
      <c r="AL222" s="25">
        <f>'MASTER STOCK'!I219</f>
        <v>150000</v>
      </c>
      <c r="AM222" s="26">
        <f>'MASTER STOCK'!L219</f>
        <v>150000</v>
      </c>
      <c r="AN222" s="27">
        <f t="shared" si="7"/>
        <v>0</v>
      </c>
      <c r="AO222" s="26">
        <f t="shared" si="8"/>
        <v>0</v>
      </c>
      <c r="AP222" s="10"/>
    </row>
    <row r="223">
      <c r="A223" s="29" t="str">
        <f>'MASTER STOCK'!F220</f>
        <v>kasiboard 2 m</v>
      </c>
      <c r="B223" s="30">
        <f>'MASTER STOCK'!G220</f>
        <v>2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23">
        <f t="shared" si="3"/>
        <v>0</v>
      </c>
      <c r="AI223" s="31">
        <f t="shared" si="4"/>
        <v>2</v>
      </c>
      <c r="AJ223" s="32">
        <f t="shared" si="5"/>
        <v>2</v>
      </c>
      <c r="AK223" s="32">
        <f t="shared" si="6"/>
        <v>0</v>
      </c>
      <c r="AL223" s="25">
        <f>'MASTER STOCK'!I220</f>
        <v>0</v>
      </c>
      <c r="AM223" s="26">
        <f>'MASTER STOCK'!L220</f>
        <v>0</v>
      </c>
      <c r="AN223" s="27">
        <f t="shared" si="7"/>
        <v>0</v>
      </c>
      <c r="AO223" s="26">
        <f t="shared" si="8"/>
        <v>0</v>
      </c>
      <c r="AP223" s="10"/>
    </row>
    <row r="224">
      <c r="A224" s="29" t="str">
        <f>'MASTER STOCK'!F221</f>
        <v>besi  p 10</v>
      </c>
      <c r="B224" s="30">
        <f>'MASTER STOCK'!G221</f>
        <v>4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23">
        <f t="shared" si="3"/>
        <v>0</v>
      </c>
      <c r="AI224" s="31">
        <f t="shared" si="4"/>
        <v>4</v>
      </c>
      <c r="AJ224" s="32">
        <f t="shared" si="5"/>
        <v>4</v>
      </c>
      <c r="AK224" s="32">
        <f t="shared" si="6"/>
        <v>0</v>
      </c>
      <c r="AL224" s="25">
        <f>'MASTER STOCK'!I221</f>
        <v>71000</v>
      </c>
      <c r="AM224" s="26">
        <f>'MASTER STOCK'!L221</f>
        <v>71000</v>
      </c>
      <c r="AN224" s="27">
        <f t="shared" si="7"/>
        <v>0</v>
      </c>
      <c r="AO224" s="26">
        <f t="shared" si="8"/>
        <v>0</v>
      </c>
      <c r="AP224" s="10"/>
    </row>
    <row r="225">
      <c r="A225" s="29" t="str">
        <f>'MASTER STOCK'!F222</f>
        <v>besi  8</v>
      </c>
      <c r="B225" s="30">
        <f>'MASTER STOCK'!G222</f>
        <v>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23">
        <f t="shared" si="3"/>
        <v>0</v>
      </c>
      <c r="AI225" s="31">
        <f t="shared" si="4"/>
        <v>1</v>
      </c>
      <c r="AJ225" s="32">
        <f t="shared" si="5"/>
        <v>1</v>
      </c>
      <c r="AK225" s="32">
        <f t="shared" si="6"/>
        <v>0</v>
      </c>
      <c r="AL225" s="25">
        <f>'MASTER STOCK'!I222</f>
        <v>43000</v>
      </c>
      <c r="AM225" s="26">
        <f>'MASTER STOCK'!L222</f>
        <v>43000</v>
      </c>
      <c r="AN225" s="27">
        <f t="shared" si="7"/>
        <v>0</v>
      </c>
      <c r="AO225" s="26">
        <f t="shared" si="8"/>
        <v>0</v>
      </c>
      <c r="AP225" s="10"/>
    </row>
    <row r="226">
      <c r="A226" s="29" t="str">
        <f>'MASTER STOCK'!F223</f>
        <v>talang seng gulung</v>
      </c>
      <c r="B226" s="30">
        <f>'MASTER STOCK'!G223</f>
        <v>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23">
        <f t="shared" si="3"/>
        <v>0</v>
      </c>
      <c r="AI226" s="31">
        <f t="shared" si="4"/>
        <v>1</v>
      </c>
      <c r="AJ226" s="32">
        <f t="shared" si="5"/>
        <v>1</v>
      </c>
      <c r="AK226" s="32">
        <f t="shared" si="6"/>
        <v>0</v>
      </c>
      <c r="AL226" s="25">
        <f>'MASTER STOCK'!I223</f>
        <v>19000</v>
      </c>
      <c r="AM226" s="26">
        <f>'MASTER STOCK'!L223</f>
        <v>19000</v>
      </c>
      <c r="AN226" s="27">
        <f t="shared" si="7"/>
        <v>0</v>
      </c>
      <c r="AO226" s="26">
        <f t="shared" si="8"/>
        <v>0</v>
      </c>
      <c r="AP226" s="10"/>
    </row>
    <row r="227">
      <c r="A227" s="29" t="str">
        <f>'MASTER STOCK'!F224</f>
        <v>galvalum</v>
      </c>
      <c r="B227" s="30">
        <f>'MASTER STOCK'!G224</f>
        <v>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23">
        <f t="shared" si="3"/>
        <v>0</v>
      </c>
      <c r="AI227" s="31">
        <f t="shared" si="4"/>
        <v>1</v>
      </c>
      <c r="AJ227" s="32">
        <f t="shared" si="5"/>
        <v>1</v>
      </c>
      <c r="AK227" s="32">
        <f t="shared" si="6"/>
        <v>0</v>
      </c>
      <c r="AL227" s="25">
        <f>'MASTER STOCK'!I224</f>
        <v>23000</v>
      </c>
      <c r="AM227" s="26">
        <f>'MASTER STOCK'!L224</f>
        <v>23000</v>
      </c>
      <c r="AN227" s="27">
        <f t="shared" si="7"/>
        <v>0</v>
      </c>
      <c r="AO227" s="26">
        <f t="shared" si="8"/>
        <v>0</v>
      </c>
      <c r="AP227" s="10"/>
    </row>
    <row r="228">
      <c r="A228" s="29" t="str">
        <f>'MASTER STOCK'!F225</f>
        <v>watermur 1/2</v>
      </c>
      <c r="B228" s="30">
        <f>'MASTER STOCK'!G225</f>
        <v>6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23">
        <f t="shared" si="3"/>
        <v>0</v>
      </c>
      <c r="AI228" s="31">
        <f t="shared" si="4"/>
        <v>6</v>
      </c>
      <c r="AJ228" s="32">
        <f t="shared" si="5"/>
        <v>6</v>
      </c>
      <c r="AK228" s="32">
        <f t="shared" si="6"/>
        <v>0</v>
      </c>
      <c r="AL228" s="25">
        <f>'MASTER STOCK'!I225</f>
        <v>5000</v>
      </c>
      <c r="AM228" s="26">
        <f>'MASTER STOCK'!L225</f>
        <v>5000</v>
      </c>
      <c r="AN228" s="27">
        <f t="shared" si="7"/>
        <v>0</v>
      </c>
      <c r="AO228" s="26">
        <f t="shared" si="8"/>
        <v>0</v>
      </c>
      <c r="AP228" s="10"/>
    </row>
    <row r="229">
      <c r="A229" s="29" t="str">
        <f>'MASTER STOCK'!F226</f>
        <v>loster besar kotak</v>
      </c>
      <c r="B229" s="30">
        <f>'MASTER STOCK'!G226</f>
        <v>13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23">
        <f t="shared" si="3"/>
        <v>0</v>
      </c>
      <c r="AI229" s="31">
        <f t="shared" si="4"/>
        <v>13</v>
      </c>
      <c r="AJ229" s="32">
        <f t="shared" si="5"/>
        <v>13</v>
      </c>
      <c r="AK229" s="32">
        <f t="shared" si="6"/>
        <v>0</v>
      </c>
      <c r="AL229" s="25">
        <f>'MASTER STOCK'!I226</f>
        <v>15500</v>
      </c>
      <c r="AM229" s="26">
        <f>'MASTER STOCK'!L226</f>
        <v>15500</v>
      </c>
      <c r="AN229" s="27">
        <f t="shared" si="7"/>
        <v>0</v>
      </c>
      <c r="AO229" s="26">
        <f t="shared" si="8"/>
        <v>0</v>
      </c>
      <c r="AP229" s="10"/>
    </row>
    <row r="230">
      <c r="A230" s="29" t="str">
        <f>'MASTER STOCK'!F227</f>
        <v>loster besar saringan</v>
      </c>
      <c r="B230" s="30">
        <f>'MASTER STOCK'!G227</f>
        <v>15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23">
        <f t="shared" si="3"/>
        <v>0</v>
      </c>
      <c r="AI230" s="31">
        <f t="shared" si="4"/>
        <v>15</v>
      </c>
      <c r="AJ230" s="32">
        <f t="shared" si="5"/>
        <v>15</v>
      </c>
      <c r="AK230" s="32">
        <f t="shared" si="6"/>
        <v>0</v>
      </c>
      <c r="AL230" s="25">
        <f>'MASTER STOCK'!I227</f>
        <v>17500</v>
      </c>
      <c r="AM230" s="26">
        <f>'MASTER STOCK'!L227</f>
        <v>17500</v>
      </c>
      <c r="AN230" s="27">
        <f t="shared" si="7"/>
        <v>0</v>
      </c>
      <c r="AO230" s="26">
        <f t="shared" si="8"/>
        <v>0</v>
      </c>
      <c r="AP230" s="10"/>
    </row>
    <row r="231">
      <c r="A231" s="29" t="str">
        <f>'MASTER STOCK'!F228</f>
        <v>lem rajawali</v>
      </c>
      <c r="B231" s="30">
        <f>'MASTER STOCK'!G228</f>
        <v>19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23">
        <f t="shared" si="3"/>
        <v>0</v>
      </c>
      <c r="AI231" s="31">
        <f t="shared" si="4"/>
        <v>19</v>
      </c>
      <c r="AJ231" s="32">
        <f t="shared" si="5"/>
        <v>19</v>
      </c>
      <c r="AK231" s="32">
        <f t="shared" si="6"/>
        <v>0</v>
      </c>
      <c r="AL231" s="25">
        <f>'MASTER STOCK'!I228</f>
        <v>19500</v>
      </c>
      <c r="AM231" s="26">
        <f>'MASTER STOCK'!L228</f>
        <v>21500</v>
      </c>
      <c r="AN231" s="27">
        <f t="shared" si="7"/>
        <v>0</v>
      </c>
      <c r="AO231" s="26">
        <f t="shared" si="8"/>
        <v>0</v>
      </c>
      <c r="AP231" s="10"/>
    </row>
    <row r="232">
      <c r="A232" s="29" t="str">
        <f>'MASTER STOCK'!F229</f>
        <v>pain roller nippon pain</v>
      </c>
      <c r="B232" s="30">
        <f>'MASTER STOCK'!G229</f>
        <v>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23">
        <f t="shared" si="3"/>
        <v>0</v>
      </c>
      <c r="AI232" s="31">
        <f t="shared" si="4"/>
        <v>1</v>
      </c>
      <c r="AJ232" s="32">
        <f t="shared" si="5"/>
        <v>1</v>
      </c>
      <c r="AK232" s="32">
        <f t="shared" si="6"/>
        <v>0</v>
      </c>
      <c r="AL232" s="25">
        <f>'MASTER STOCK'!I229</f>
        <v>30000</v>
      </c>
      <c r="AM232" s="26">
        <f>'MASTER STOCK'!L229</f>
        <v>30000</v>
      </c>
      <c r="AN232" s="27">
        <f t="shared" si="7"/>
        <v>0</v>
      </c>
      <c r="AO232" s="26">
        <f t="shared" si="8"/>
        <v>0</v>
      </c>
      <c r="AP232" s="10"/>
    </row>
    <row r="233">
      <c r="A233" s="29" t="str">
        <f>'MASTER STOCK'!F230</f>
        <v>pain roller index </v>
      </c>
      <c r="B233" s="30">
        <f>'MASTER STOCK'!G230</f>
        <v>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23">
        <f t="shared" si="3"/>
        <v>0</v>
      </c>
      <c r="AI233" s="31">
        <f t="shared" si="4"/>
        <v>1</v>
      </c>
      <c r="AJ233" s="32">
        <f t="shared" si="5"/>
        <v>1</v>
      </c>
      <c r="AK233" s="32">
        <f t="shared" si="6"/>
        <v>0</v>
      </c>
      <c r="AL233" s="25">
        <f>'MASTER STOCK'!I230</f>
        <v>25000</v>
      </c>
      <c r="AM233" s="26">
        <f>'MASTER STOCK'!L230</f>
        <v>25000</v>
      </c>
      <c r="AN233" s="27">
        <f t="shared" si="7"/>
        <v>0</v>
      </c>
      <c r="AO233" s="26">
        <f t="shared" si="8"/>
        <v>0</v>
      </c>
      <c r="AP233" s="10"/>
    </row>
    <row r="234">
      <c r="A234" s="29" t="str">
        <f>'MASTER STOCK'!F231</f>
        <v>timba</v>
      </c>
      <c r="B234" s="30">
        <f>'MASTER STOCK'!G231</f>
        <v>8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23">
        <f t="shared" si="3"/>
        <v>0</v>
      </c>
      <c r="AI234" s="31">
        <f t="shared" si="4"/>
        <v>8</v>
      </c>
      <c r="AJ234" s="32">
        <f t="shared" si="5"/>
        <v>8</v>
      </c>
      <c r="AK234" s="32">
        <f t="shared" si="6"/>
        <v>0</v>
      </c>
      <c r="AL234" s="25">
        <f>'MASTER STOCK'!I231</f>
        <v>10000</v>
      </c>
      <c r="AM234" s="26">
        <f>'MASTER STOCK'!L231</f>
        <v>10000</v>
      </c>
      <c r="AN234" s="27">
        <f t="shared" si="7"/>
        <v>0</v>
      </c>
      <c r="AO234" s="26">
        <f t="shared" si="8"/>
        <v>0</v>
      </c>
      <c r="AP234" s="10"/>
    </row>
    <row r="235">
      <c r="A235" s="29" t="str">
        <f>'MASTER STOCK'!F232</f>
        <v>paku 5</v>
      </c>
      <c r="B235" s="30">
        <f>'MASTER STOCK'!G232</f>
        <v>0.4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23">
        <f t="shared" si="3"/>
        <v>0</v>
      </c>
      <c r="AI235" s="31">
        <f t="shared" si="4"/>
        <v>0.4</v>
      </c>
      <c r="AJ235" s="32">
        <f t="shared" si="5"/>
        <v>0.4</v>
      </c>
      <c r="AK235" s="32">
        <f t="shared" si="6"/>
        <v>0</v>
      </c>
      <c r="AL235" s="25">
        <f>'MASTER STOCK'!I232</f>
        <v>26000</v>
      </c>
      <c r="AM235" s="26">
        <f>'MASTER STOCK'!L232</f>
        <v>26000</v>
      </c>
      <c r="AN235" s="27">
        <f t="shared" si="7"/>
        <v>0</v>
      </c>
      <c r="AO235" s="26">
        <f t="shared" si="8"/>
        <v>0</v>
      </c>
      <c r="AP235" s="10"/>
    </row>
    <row r="236">
      <c r="A236" s="29" t="str">
        <f>'MASTER STOCK'!F233</f>
        <v>paku 3 1/2</v>
      </c>
      <c r="B236" s="30">
        <f>'MASTER STOCK'!G233</f>
        <v>5.5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23">
        <f t="shared" si="3"/>
        <v>0</v>
      </c>
      <c r="AI236" s="31">
        <f t="shared" si="4"/>
        <v>5.5</v>
      </c>
      <c r="AJ236" s="32">
        <f t="shared" si="5"/>
        <v>5.5</v>
      </c>
      <c r="AK236" s="32">
        <f t="shared" si="6"/>
        <v>0</v>
      </c>
      <c r="AL236" s="25">
        <f>'MASTER STOCK'!I233</f>
        <v>24000</v>
      </c>
      <c r="AM236" s="26">
        <f>'MASTER STOCK'!L233</f>
        <v>24000</v>
      </c>
      <c r="AN236" s="27">
        <f t="shared" si="7"/>
        <v>0</v>
      </c>
      <c r="AO236" s="26">
        <f t="shared" si="8"/>
        <v>0</v>
      </c>
      <c r="AP236" s="10"/>
    </row>
    <row r="237">
      <c r="A237" s="29" t="str">
        <f>'MASTER STOCK'!F234</f>
        <v>geraji</v>
      </c>
      <c r="B237" s="30">
        <f>'MASTER STOCK'!G234</f>
        <v>8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23">
        <f t="shared" si="3"/>
        <v>0</v>
      </c>
      <c r="AI237" s="31">
        <f t="shared" si="4"/>
        <v>8</v>
      </c>
      <c r="AJ237" s="32">
        <f t="shared" si="5"/>
        <v>8</v>
      </c>
      <c r="AK237" s="32">
        <f t="shared" si="6"/>
        <v>0</v>
      </c>
      <c r="AL237" s="25">
        <f>'MASTER STOCK'!I234</f>
        <v>30000</v>
      </c>
      <c r="AM237" s="26">
        <f>'MASTER STOCK'!L234</f>
        <v>30000</v>
      </c>
      <c r="AN237" s="27">
        <f t="shared" si="7"/>
        <v>0</v>
      </c>
      <c r="AO237" s="26">
        <f t="shared" si="8"/>
        <v>0</v>
      </c>
      <c r="AP237" s="10"/>
    </row>
    <row r="238">
      <c r="A238" s="29" t="str">
        <f>'MASTER STOCK'!F235</f>
        <v>cutter</v>
      </c>
      <c r="B238" s="30">
        <f>'MASTER STOCK'!G235</f>
        <v>10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23">
        <f t="shared" si="3"/>
        <v>0</v>
      </c>
      <c r="AI238" s="31">
        <f t="shared" si="4"/>
        <v>10</v>
      </c>
      <c r="AJ238" s="32">
        <f t="shared" si="5"/>
        <v>10</v>
      </c>
      <c r="AK238" s="32">
        <f t="shared" si="6"/>
        <v>0</v>
      </c>
      <c r="AL238" s="25">
        <f>'MASTER STOCK'!I235</f>
        <v>3000</v>
      </c>
      <c r="AM238" s="26">
        <f>'MASTER STOCK'!L235</f>
        <v>3000</v>
      </c>
      <c r="AN238" s="27">
        <f t="shared" si="7"/>
        <v>0</v>
      </c>
      <c r="AO238" s="26">
        <f t="shared" si="8"/>
        <v>0</v>
      </c>
      <c r="AP238" s="10"/>
    </row>
    <row r="239">
      <c r="A239" s="29" t="str">
        <f>'MASTER STOCK'!F236</f>
        <v>cutter joyko</v>
      </c>
      <c r="B239" s="30">
        <f>'MASTER STOCK'!G236</f>
        <v>3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23">
        <f t="shared" si="3"/>
        <v>0</v>
      </c>
      <c r="AI239" s="31">
        <f t="shared" si="4"/>
        <v>3</v>
      </c>
      <c r="AJ239" s="32">
        <f t="shared" si="5"/>
        <v>3</v>
      </c>
      <c r="AK239" s="32">
        <f t="shared" si="6"/>
        <v>0</v>
      </c>
      <c r="AL239" s="25">
        <f>'MASTER STOCK'!I236</f>
        <v>5000</v>
      </c>
      <c r="AM239" s="26">
        <f>'MASTER STOCK'!L236</f>
        <v>5000</v>
      </c>
      <c r="AN239" s="27">
        <f t="shared" si="7"/>
        <v>0</v>
      </c>
      <c r="AO239" s="26">
        <f t="shared" si="8"/>
        <v>0</v>
      </c>
      <c r="AP239" s="10"/>
    </row>
    <row r="240">
      <c r="A240" s="29" t="str">
        <f>'MASTER STOCK'!F237</f>
        <v>tang</v>
      </c>
      <c r="B240" s="30">
        <f>'MASTER STOCK'!G237</f>
        <v>2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23">
        <f t="shared" si="3"/>
        <v>0</v>
      </c>
      <c r="AI240" s="31">
        <f t="shared" si="4"/>
        <v>2</v>
      </c>
      <c r="AJ240" s="32">
        <f t="shared" si="5"/>
        <v>2</v>
      </c>
      <c r="AK240" s="32">
        <f t="shared" si="6"/>
        <v>0</v>
      </c>
      <c r="AL240" s="25">
        <f>'MASTER STOCK'!I237</f>
        <v>29500</v>
      </c>
      <c r="AM240" s="26">
        <f>'MASTER STOCK'!L237</f>
        <v>29500</v>
      </c>
      <c r="AN240" s="27">
        <f t="shared" si="7"/>
        <v>0</v>
      </c>
      <c r="AO240" s="26">
        <f t="shared" si="8"/>
        <v>0</v>
      </c>
      <c r="AP240" s="10"/>
    </row>
    <row r="241">
      <c r="A241" s="29" t="str">
        <f>'MASTER STOCK'!F238</f>
        <v>sarung tangan karet</v>
      </c>
      <c r="B241" s="30">
        <f>'MASTER STOCK'!G238</f>
        <v>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23">
        <f t="shared" si="3"/>
        <v>0</v>
      </c>
      <c r="AI241" s="31">
        <f t="shared" si="4"/>
        <v>1</v>
      </c>
      <c r="AJ241" s="32">
        <f t="shared" si="5"/>
        <v>1</v>
      </c>
      <c r="AK241" s="32">
        <f t="shared" si="6"/>
        <v>0</v>
      </c>
      <c r="AL241" s="25">
        <f>'MASTER STOCK'!I238</f>
        <v>1600</v>
      </c>
      <c r="AM241" s="26">
        <f>'MASTER STOCK'!L238</f>
        <v>1600</v>
      </c>
      <c r="AN241" s="27">
        <f t="shared" si="7"/>
        <v>0</v>
      </c>
      <c r="AO241" s="26">
        <f t="shared" si="8"/>
        <v>0</v>
      </c>
      <c r="AP241" s="10"/>
    </row>
    <row r="242">
      <c r="A242" s="29" t="str">
        <f>'MASTER STOCK'!F239</f>
        <v>batrai panasonic 1,5 volt AAA</v>
      </c>
      <c r="B242" s="30">
        <f>'MASTER STOCK'!G239</f>
        <v>4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23">
        <f t="shared" si="3"/>
        <v>0</v>
      </c>
      <c r="AI242" s="31">
        <f t="shared" si="4"/>
        <v>4</v>
      </c>
      <c r="AJ242" s="32">
        <f t="shared" si="5"/>
        <v>4</v>
      </c>
      <c r="AK242" s="32">
        <f t="shared" si="6"/>
        <v>0</v>
      </c>
      <c r="AL242" s="25">
        <f>'MASTER STOCK'!I239</f>
        <v>4500</v>
      </c>
      <c r="AM242" s="26">
        <f>'MASTER STOCK'!L239</f>
        <v>3000</v>
      </c>
      <c r="AN242" s="27">
        <f t="shared" si="7"/>
        <v>0</v>
      </c>
      <c r="AO242" s="26">
        <f t="shared" si="8"/>
        <v>0</v>
      </c>
      <c r="AP242" s="10"/>
    </row>
    <row r="243">
      <c r="A243" s="29" t="str">
        <f>'MASTER STOCK'!F240</f>
        <v>penggaris siku</v>
      </c>
      <c r="B243" s="30">
        <f>'MASTER STOCK'!G240</f>
        <v>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23">
        <f t="shared" si="3"/>
        <v>0</v>
      </c>
      <c r="AI243" s="31">
        <f t="shared" si="4"/>
        <v>1</v>
      </c>
      <c r="AJ243" s="32">
        <f t="shared" si="5"/>
        <v>1</v>
      </c>
      <c r="AK243" s="32">
        <f t="shared" si="6"/>
        <v>0</v>
      </c>
      <c r="AL243" s="25">
        <f>'MASTER STOCK'!I240</f>
        <v>41500</v>
      </c>
      <c r="AM243" s="26">
        <f>'MASTER STOCK'!L240</f>
        <v>41500</v>
      </c>
      <c r="AN243" s="27">
        <f t="shared" si="7"/>
        <v>0</v>
      </c>
      <c r="AO243" s="26">
        <f t="shared" si="8"/>
        <v>0</v>
      </c>
      <c r="AP243" s="10"/>
    </row>
    <row r="244">
      <c r="A244" s="29" t="str">
        <f>'MASTER STOCK'!F241</f>
        <v>turbo cut 1,2 mm</v>
      </c>
      <c r="B244" s="30">
        <f>'MASTER STOCK'!G241</f>
        <v>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23">
        <f t="shared" si="3"/>
        <v>0</v>
      </c>
      <c r="AI244" s="31">
        <f t="shared" si="4"/>
        <v>1</v>
      </c>
      <c r="AJ244" s="32">
        <f t="shared" si="5"/>
        <v>1</v>
      </c>
      <c r="AK244" s="32">
        <f t="shared" si="6"/>
        <v>0</v>
      </c>
      <c r="AL244" s="25">
        <f>'MASTER STOCK'!I241</f>
        <v>35000</v>
      </c>
      <c r="AM244" s="26">
        <f>'MASTER STOCK'!L241</f>
        <v>35000</v>
      </c>
      <c r="AN244" s="27">
        <f t="shared" si="7"/>
        <v>0</v>
      </c>
      <c r="AO244" s="26">
        <f t="shared" si="8"/>
        <v>0</v>
      </c>
      <c r="AP244" s="10"/>
    </row>
    <row r="245">
      <c r="A245" s="29" t="str">
        <f>'MASTER STOCK'!F242</f>
        <v>diamond cutting well</v>
      </c>
      <c r="B245" s="30">
        <f>'MASTER STOCK'!G242</f>
        <v>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23">
        <f t="shared" si="3"/>
        <v>0</v>
      </c>
      <c r="AI245" s="31">
        <f t="shared" si="4"/>
        <v>1</v>
      </c>
      <c r="AJ245" s="32">
        <f t="shared" si="5"/>
        <v>1</v>
      </c>
      <c r="AK245" s="32">
        <f t="shared" si="6"/>
        <v>0</v>
      </c>
      <c r="AL245" s="25">
        <f>'MASTER STOCK'!I242</f>
        <v>35000</v>
      </c>
      <c r="AM245" s="26">
        <f>'MASTER STOCK'!L242</f>
        <v>35000</v>
      </c>
      <c r="AN245" s="27">
        <f t="shared" si="7"/>
        <v>0</v>
      </c>
      <c r="AO245" s="26">
        <f t="shared" si="8"/>
        <v>0</v>
      </c>
      <c r="AP245" s="10"/>
    </row>
    <row r="246">
      <c r="A246" s="29" t="str">
        <f>'MASTER STOCK'!F243</f>
        <v>paku 1 1/4</v>
      </c>
      <c r="B246" s="30">
        <f>'MASTER STOCK'!G243</f>
        <v>0.5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23">
        <f t="shared" si="3"/>
        <v>0</v>
      </c>
      <c r="AI246" s="31">
        <f t="shared" si="4"/>
        <v>0.5</v>
      </c>
      <c r="AJ246" s="32">
        <f t="shared" si="5"/>
        <v>0.5</v>
      </c>
      <c r="AK246" s="32">
        <f t="shared" si="6"/>
        <v>0</v>
      </c>
      <c r="AL246" s="25">
        <f>'MASTER STOCK'!I243</f>
        <v>25000</v>
      </c>
      <c r="AM246" s="26">
        <f>'MASTER STOCK'!L243</f>
        <v>25000</v>
      </c>
      <c r="AN246" s="27">
        <f t="shared" si="7"/>
        <v>0</v>
      </c>
      <c r="AO246" s="26">
        <f t="shared" si="8"/>
        <v>0</v>
      </c>
      <c r="AP246" s="10"/>
    </row>
    <row r="247">
      <c r="A247" s="29" t="str">
        <f>'MASTER STOCK'!F244</f>
        <v>siku  kecil</v>
      </c>
      <c r="B247" s="30">
        <f>'MASTER STOCK'!G244</f>
        <v>7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23">
        <f t="shared" si="3"/>
        <v>0</v>
      </c>
      <c r="AI247" s="31">
        <f t="shared" si="4"/>
        <v>7</v>
      </c>
      <c r="AJ247" s="32">
        <f t="shared" si="5"/>
        <v>7</v>
      </c>
      <c r="AK247" s="32">
        <f t="shared" si="6"/>
        <v>0</v>
      </c>
      <c r="AL247" s="25">
        <f>'MASTER STOCK'!I244</f>
        <v>7500</v>
      </c>
      <c r="AM247" s="26">
        <f>'MASTER STOCK'!L244</f>
        <v>7500</v>
      </c>
      <c r="AN247" s="27">
        <f t="shared" si="7"/>
        <v>0</v>
      </c>
      <c r="AO247" s="26">
        <f t="shared" si="8"/>
        <v>0</v>
      </c>
      <c r="AP247" s="10"/>
    </row>
    <row r="248">
      <c r="A248" s="29" t="str">
        <f>'MASTER STOCK'!F245</f>
        <v>paku 6</v>
      </c>
      <c r="B248" s="30">
        <f>'MASTER STOCK'!G245</f>
        <v>0.5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23">
        <f t="shared" si="3"/>
        <v>0</v>
      </c>
      <c r="AI248" s="31">
        <f t="shared" si="4"/>
        <v>0.5</v>
      </c>
      <c r="AJ248" s="32">
        <f t="shared" si="5"/>
        <v>0.5</v>
      </c>
      <c r="AK248" s="32">
        <f t="shared" si="6"/>
        <v>0</v>
      </c>
      <c r="AL248" s="25">
        <f>'MASTER STOCK'!I245</f>
        <v>26000</v>
      </c>
      <c r="AM248" s="26">
        <f>'MASTER STOCK'!L245</f>
        <v>26000</v>
      </c>
      <c r="AN248" s="27">
        <f t="shared" si="7"/>
        <v>0</v>
      </c>
      <c r="AO248" s="26">
        <f t="shared" si="8"/>
        <v>0</v>
      </c>
      <c r="AP248" s="10"/>
    </row>
    <row r="249">
      <c r="A249" s="29" t="str">
        <f>'MASTER STOCK'!F246</f>
        <v>paku 4</v>
      </c>
      <c r="B249" s="30">
        <f>'MASTER STOCK'!G246</f>
        <v>5.5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23">
        <f t="shared" si="3"/>
        <v>0</v>
      </c>
      <c r="AI249" s="31">
        <f t="shared" si="4"/>
        <v>5.5</v>
      </c>
      <c r="AJ249" s="32">
        <f t="shared" si="5"/>
        <v>5.5</v>
      </c>
      <c r="AK249" s="32">
        <f t="shared" si="6"/>
        <v>0</v>
      </c>
      <c r="AL249" s="25">
        <f>'MASTER STOCK'!I246</f>
        <v>2600</v>
      </c>
      <c r="AM249" s="26">
        <f>'MASTER STOCK'!L246</f>
        <v>2600</v>
      </c>
      <c r="AN249" s="27">
        <f t="shared" si="7"/>
        <v>0</v>
      </c>
      <c r="AO249" s="26">
        <f t="shared" si="8"/>
        <v>0</v>
      </c>
      <c r="AP249" s="10"/>
    </row>
    <row r="250">
      <c r="A250" s="29" t="str">
        <f>'MASTER STOCK'!F247</f>
        <v>kasutan /  trowel</v>
      </c>
      <c r="B250" s="30">
        <f>'MASTER STOCK'!G247</f>
        <v>4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23">
        <f t="shared" si="3"/>
        <v>0</v>
      </c>
      <c r="AI250" s="31">
        <f t="shared" si="4"/>
        <v>4</v>
      </c>
      <c r="AJ250" s="32">
        <f t="shared" si="5"/>
        <v>4</v>
      </c>
      <c r="AK250" s="32">
        <f t="shared" si="6"/>
        <v>0</v>
      </c>
      <c r="AL250" s="25">
        <f>'MASTER STOCK'!I247</f>
        <v>13500</v>
      </c>
      <c r="AM250" s="26">
        <f>'MASTER STOCK'!L247</f>
        <v>13500</v>
      </c>
      <c r="AN250" s="27">
        <f t="shared" si="7"/>
        <v>0</v>
      </c>
      <c r="AO250" s="26">
        <f t="shared" si="8"/>
        <v>0</v>
      </c>
      <c r="AP250" s="10"/>
    </row>
    <row r="251">
      <c r="A251" s="29" t="str">
        <f>'MASTER STOCK'!F248</f>
        <v>kapi 3 dim</v>
      </c>
      <c r="B251" s="30">
        <f>'MASTER STOCK'!G248</f>
        <v>2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23">
        <f t="shared" si="3"/>
        <v>0</v>
      </c>
      <c r="AI251" s="31">
        <f t="shared" si="4"/>
        <v>2</v>
      </c>
      <c r="AJ251" s="32">
        <f t="shared" si="5"/>
        <v>2</v>
      </c>
      <c r="AK251" s="32">
        <f t="shared" si="6"/>
        <v>0</v>
      </c>
      <c r="AL251" s="25">
        <f>'MASTER STOCK'!I248</f>
        <v>5500</v>
      </c>
      <c r="AM251" s="26">
        <f>'MASTER STOCK'!L248</f>
        <v>5500</v>
      </c>
      <c r="AN251" s="27">
        <f t="shared" si="7"/>
        <v>0</v>
      </c>
      <c r="AO251" s="26">
        <f t="shared" si="8"/>
        <v>0</v>
      </c>
      <c r="AP251" s="10"/>
    </row>
    <row r="252">
      <c r="A252" s="29" t="str">
        <f>'MASTER STOCK'!F249</f>
        <v>kapi 5 dim</v>
      </c>
      <c r="B252" s="30">
        <f>'MASTER STOCK'!G249</f>
        <v>3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23">
        <f t="shared" si="3"/>
        <v>0</v>
      </c>
      <c r="AI252" s="31">
        <f t="shared" si="4"/>
        <v>3</v>
      </c>
      <c r="AJ252" s="32">
        <f t="shared" si="5"/>
        <v>3</v>
      </c>
      <c r="AK252" s="32">
        <f t="shared" si="6"/>
        <v>0</v>
      </c>
      <c r="AL252" s="25">
        <f>'MASTER STOCK'!I249</f>
        <v>7500</v>
      </c>
      <c r="AM252" s="26">
        <f>'MASTER STOCK'!L249</f>
        <v>7500</v>
      </c>
      <c r="AN252" s="27">
        <f t="shared" si="7"/>
        <v>0</v>
      </c>
      <c r="AO252" s="26">
        <f t="shared" si="8"/>
        <v>0</v>
      </c>
      <c r="AP252" s="10"/>
    </row>
    <row r="253">
      <c r="A253" s="29" t="str">
        <f>'MASTER STOCK'!F250</f>
        <v>cetok sukun hitam</v>
      </c>
      <c r="B253" s="30">
        <f>'MASTER STOCK'!G250</f>
        <v>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23">
        <f t="shared" si="3"/>
        <v>0</v>
      </c>
      <c r="AI253" s="31">
        <f t="shared" si="4"/>
        <v>1</v>
      </c>
      <c r="AJ253" s="32">
        <f t="shared" si="5"/>
        <v>1</v>
      </c>
      <c r="AK253" s="32">
        <f t="shared" si="6"/>
        <v>0</v>
      </c>
      <c r="AL253" s="25">
        <f>'MASTER STOCK'!I250</f>
        <v>25000</v>
      </c>
      <c r="AM253" s="26">
        <f>'MASTER STOCK'!L250</f>
        <v>25000</v>
      </c>
      <c r="AN253" s="27">
        <f t="shared" si="7"/>
        <v>0</v>
      </c>
      <c r="AO253" s="26">
        <f t="shared" si="8"/>
        <v>0</v>
      </c>
      <c r="AP253" s="10"/>
    </row>
    <row r="254">
      <c r="A254" s="29" t="str">
        <f>'MASTER STOCK'!F251</f>
        <v>cetok sukun sedang</v>
      </c>
      <c r="B254" s="30">
        <f>'MASTER STOCK'!G251</f>
        <v>2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23">
        <f t="shared" si="3"/>
        <v>0</v>
      </c>
      <c r="AI254" s="31">
        <f t="shared" si="4"/>
        <v>2</v>
      </c>
      <c r="AJ254" s="32">
        <f t="shared" si="5"/>
        <v>2</v>
      </c>
      <c r="AK254" s="32">
        <f t="shared" si="6"/>
        <v>0</v>
      </c>
      <c r="AL254" s="25">
        <f>'MASTER STOCK'!I251</f>
        <v>17000</v>
      </c>
      <c r="AM254" s="26">
        <f>'MASTER STOCK'!L251</f>
        <v>17000</v>
      </c>
      <c r="AN254" s="27">
        <f t="shared" si="7"/>
        <v>0</v>
      </c>
      <c r="AO254" s="26">
        <f t="shared" si="8"/>
        <v>0</v>
      </c>
      <c r="AP254" s="10"/>
    </row>
    <row r="255">
      <c r="A255" s="29" t="str">
        <f>'MASTER STOCK'!F252</f>
        <v>cetak sukun kecil</v>
      </c>
      <c r="B255" s="30">
        <f>'MASTER STOCK'!G252</f>
        <v>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23">
        <f t="shared" si="3"/>
        <v>0</v>
      </c>
      <c r="AI255" s="31">
        <f t="shared" si="4"/>
        <v>1</v>
      </c>
      <c r="AJ255" s="32">
        <f t="shared" si="5"/>
        <v>1</v>
      </c>
      <c r="AK255" s="32">
        <f t="shared" si="6"/>
        <v>0</v>
      </c>
      <c r="AL255" s="25">
        <f>'MASTER STOCK'!I252</f>
        <v>14000</v>
      </c>
      <c r="AM255" s="26">
        <f>'MASTER STOCK'!L252</f>
        <v>14000</v>
      </c>
      <c r="AN255" s="27">
        <f t="shared" si="7"/>
        <v>0</v>
      </c>
      <c r="AO255" s="26">
        <f t="shared" si="8"/>
        <v>0</v>
      </c>
      <c r="AP255" s="10"/>
    </row>
    <row r="256">
      <c r="A256" s="29" t="str">
        <f>'MASTER STOCK'!F253</f>
        <v>paku payung</v>
      </c>
      <c r="B256" s="30">
        <f>'MASTER STOCK'!G253</f>
        <v>57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23">
        <f t="shared" si="3"/>
        <v>0</v>
      </c>
      <c r="AI256" s="31">
        <f t="shared" si="4"/>
        <v>57</v>
      </c>
      <c r="AJ256" s="32">
        <f t="shared" si="5"/>
        <v>57</v>
      </c>
      <c r="AK256" s="32">
        <f t="shared" si="6"/>
        <v>0</v>
      </c>
      <c r="AL256" s="25">
        <f>'MASTER STOCK'!I253</f>
        <v>25000</v>
      </c>
      <c r="AM256" s="26">
        <f>'MASTER STOCK'!L253</f>
        <v>25000</v>
      </c>
      <c r="AN256" s="27">
        <f t="shared" si="7"/>
        <v>0</v>
      </c>
      <c r="AO256" s="26">
        <f t="shared" si="8"/>
        <v>0</v>
      </c>
      <c r="AP256" s="10"/>
    </row>
    <row r="257">
      <c r="A257" s="29" t="str">
        <f>'MASTER STOCK'!F254</f>
        <v>pinnes</v>
      </c>
      <c r="B257" s="30">
        <f>'MASTER STOCK'!G254</f>
        <v>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23">
        <f t="shared" si="3"/>
        <v>0</v>
      </c>
      <c r="AI257" s="31">
        <f t="shared" si="4"/>
        <v>1</v>
      </c>
      <c r="AJ257" s="32">
        <f t="shared" si="5"/>
        <v>1</v>
      </c>
      <c r="AK257" s="32">
        <f t="shared" si="6"/>
        <v>0</v>
      </c>
      <c r="AL257" s="25">
        <f>'MASTER STOCK'!I254</f>
        <v>6000</v>
      </c>
      <c r="AM257" s="26">
        <f>'MASTER STOCK'!L254</f>
        <v>6000</v>
      </c>
      <c r="AN257" s="27">
        <f t="shared" si="7"/>
        <v>0</v>
      </c>
      <c r="AO257" s="26">
        <f t="shared" si="8"/>
        <v>0</v>
      </c>
      <c r="AP257" s="10"/>
    </row>
    <row r="258">
      <c r="A258" s="29" t="str">
        <f>'MASTER STOCK'!F255</f>
        <v>jaring kawat 1/2</v>
      </c>
      <c r="B258" s="30">
        <f>'MASTER STOCK'!G255</f>
        <v>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23">
        <f t="shared" si="3"/>
        <v>0</v>
      </c>
      <c r="AI258" s="31">
        <f t="shared" si="4"/>
        <v>1</v>
      </c>
      <c r="AJ258" s="32">
        <f t="shared" si="5"/>
        <v>1</v>
      </c>
      <c r="AK258" s="32">
        <f t="shared" si="6"/>
        <v>0</v>
      </c>
      <c r="AL258" s="25">
        <f>'MASTER STOCK'!I255</f>
        <v>14000</v>
      </c>
      <c r="AM258" s="26">
        <f>'MASTER STOCK'!L255</f>
        <v>14000</v>
      </c>
      <c r="AN258" s="27">
        <f t="shared" si="7"/>
        <v>0</v>
      </c>
      <c r="AO258" s="26">
        <f t="shared" si="8"/>
        <v>0</v>
      </c>
      <c r="AP258" s="10"/>
    </row>
    <row r="259">
      <c r="A259" s="29" t="str">
        <f>'MASTER STOCK'!F256</f>
        <v>jaring kawat 1/4</v>
      </c>
      <c r="B259" s="30">
        <f>'MASTER STOCK'!G256</f>
        <v>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23">
        <f t="shared" si="3"/>
        <v>0</v>
      </c>
      <c r="AI259" s="31">
        <f t="shared" si="4"/>
        <v>1</v>
      </c>
      <c r="AJ259" s="32">
        <f t="shared" si="5"/>
        <v>1</v>
      </c>
      <c r="AK259" s="32">
        <f t="shared" si="6"/>
        <v>0</v>
      </c>
      <c r="AL259" s="25">
        <f>'MASTER STOCK'!I256</f>
        <v>15000</v>
      </c>
      <c r="AM259" s="26">
        <f>'MASTER STOCK'!L256</f>
        <v>15000</v>
      </c>
      <c r="AN259" s="27">
        <f t="shared" si="7"/>
        <v>0</v>
      </c>
      <c r="AO259" s="26">
        <f t="shared" si="8"/>
        <v>0</v>
      </c>
      <c r="AP259" s="10"/>
    </row>
    <row r="260">
      <c r="A260" s="29" t="str">
        <f>'MASTER STOCK'!F257</f>
        <v>lampu kepala</v>
      </c>
      <c r="B260" s="30">
        <f>'MASTER STOCK'!G257</f>
        <v>4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23">
        <f t="shared" si="3"/>
        <v>0</v>
      </c>
      <c r="AI260" s="31">
        <f t="shared" si="4"/>
        <v>4</v>
      </c>
      <c r="AJ260" s="32">
        <f t="shared" si="5"/>
        <v>4</v>
      </c>
      <c r="AK260" s="32">
        <f t="shared" si="6"/>
        <v>0</v>
      </c>
      <c r="AL260" s="25">
        <f>'MASTER STOCK'!I257</f>
        <v>31500</v>
      </c>
      <c r="AM260" s="26">
        <f>'MASTER STOCK'!L257</f>
        <v>31500</v>
      </c>
      <c r="AN260" s="27">
        <f t="shared" si="7"/>
        <v>0</v>
      </c>
      <c r="AO260" s="26">
        <f t="shared" si="8"/>
        <v>0</v>
      </c>
      <c r="AP260" s="10"/>
    </row>
    <row r="261">
      <c r="A261" s="29" t="str">
        <f>'MASTER STOCK'!F258</f>
        <v>lampu led muxindo 25 watt</v>
      </c>
      <c r="B261" s="30">
        <f>'MASTER STOCK'!G258</f>
        <v>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23">
        <f t="shared" si="3"/>
        <v>0</v>
      </c>
      <c r="AI261" s="31">
        <f t="shared" si="4"/>
        <v>1</v>
      </c>
      <c r="AJ261" s="32">
        <f t="shared" si="5"/>
        <v>1</v>
      </c>
      <c r="AK261" s="32">
        <f t="shared" si="6"/>
        <v>0</v>
      </c>
      <c r="AL261" s="25">
        <f>'MASTER STOCK'!I258</f>
        <v>25000</v>
      </c>
      <c r="AM261" s="26">
        <f>'MASTER STOCK'!L258</f>
        <v>25000</v>
      </c>
      <c r="AN261" s="27">
        <f t="shared" si="7"/>
        <v>0</v>
      </c>
      <c r="AO261" s="26">
        <f t="shared" si="8"/>
        <v>0</v>
      </c>
      <c r="AP261" s="10"/>
    </row>
    <row r="262">
      <c r="A262" s="29" t="str">
        <f>'MASTER STOCK'!F259</f>
        <v>lampu hemat  5 watt</v>
      </c>
      <c r="B262" s="30">
        <f>'MASTER STOCK'!G259</f>
        <v>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23">
        <f t="shared" si="3"/>
        <v>0</v>
      </c>
      <c r="AI262" s="31">
        <f t="shared" si="4"/>
        <v>4</v>
      </c>
      <c r="AJ262" s="32">
        <f t="shared" si="5"/>
        <v>4</v>
      </c>
      <c r="AK262" s="32">
        <f t="shared" si="6"/>
        <v>0</v>
      </c>
      <c r="AL262" s="25">
        <f>'MASTER STOCK'!I259</f>
        <v>6000</v>
      </c>
      <c r="AM262" s="26">
        <f>'MASTER STOCK'!L259</f>
        <v>7000</v>
      </c>
      <c r="AN262" s="27">
        <f t="shared" si="7"/>
        <v>0</v>
      </c>
      <c r="AO262" s="26">
        <f t="shared" si="8"/>
        <v>0</v>
      </c>
      <c r="AP262" s="10"/>
    </row>
    <row r="263">
      <c r="A263" s="29" t="str">
        <f>'MASTER STOCK'!F260</f>
        <v>skrup atap  sedang</v>
      </c>
      <c r="B263" s="30">
        <f>'MASTER STOCK'!G260</f>
        <v>20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23">
        <f t="shared" si="3"/>
        <v>0</v>
      </c>
      <c r="AI263" s="31">
        <f t="shared" si="4"/>
        <v>20</v>
      </c>
      <c r="AJ263" s="32">
        <f t="shared" si="5"/>
        <v>20</v>
      </c>
      <c r="AK263" s="32">
        <f t="shared" si="6"/>
        <v>0</v>
      </c>
      <c r="AL263" s="25">
        <f>'MASTER STOCK'!I260</f>
        <v>0</v>
      </c>
      <c r="AM263" s="26">
        <f>'MASTER STOCK'!L260</f>
        <v>0</v>
      </c>
      <c r="AN263" s="27">
        <f t="shared" si="7"/>
        <v>0</v>
      </c>
      <c r="AO263" s="26">
        <f t="shared" si="8"/>
        <v>0</v>
      </c>
      <c r="AP263" s="10"/>
    </row>
    <row r="264">
      <c r="A264" s="29" t="str">
        <f>'MASTER STOCK'!F261</f>
        <v>waseo led panel 3+3w</v>
      </c>
      <c r="B264" s="30">
        <f>'MASTER STOCK'!G261</f>
        <v>2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23">
        <f t="shared" si="3"/>
        <v>0</v>
      </c>
      <c r="AI264" s="31">
        <f t="shared" si="4"/>
        <v>2</v>
      </c>
      <c r="AJ264" s="32">
        <f t="shared" si="5"/>
        <v>2</v>
      </c>
      <c r="AK264" s="32">
        <f t="shared" si="6"/>
        <v>0</v>
      </c>
      <c r="AL264" s="25">
        <f>'MASTER STOCK'!I261</f>
        <v>23000</v>
      </c>
      <c r="AM264" s="26">
        <f>'MASTER STOCK'!L261</f>
        <v>23000</v>
      </c>
      <c r="AN264" s="27">
        <f t="shared" si="7"/>
        <v>0</v>
      </c>
      <c r="AO264" s="26">
        <f t="shared" si="8"/>
        <v>0</v>
      </c>
      <c r="AP264" s="10"/>
    </row>
    <row r="265">
      <c r="A265" s="29" t="str">
        <f>'MASTER STOCK'!F262</f>
        <v>distribution box</v>
      </c>
      <c r="B265" s="30">
        <f>'MASTER STOCK'!G262</f>
        <v>2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23">
        <f t="shared" si="3"/>
        <v>0</v>
      </c>
      <c r="AI265" s="31">
        <f t="shared" si="4"/>
        <v>2</v>
      </c>
      <c r="AJ265" s="32">
        <f t="shared" si="5"/>
        <v>2</v>
      </c>
      <c r="AK265" s="32">
        <f t="shared" si="6"/>
        <v>0</v>
      </c>
      <c r="AL265" s="25">
        <f>'MASTER STOCK'!I262</f>
        <v>15000</v>
      </c>
      <c r="AM265" s="26">
        <f>'MASTER STOCK'!L262</f>
        <v>15000</v>
      </c>
      <c r="AN265" s="27">
        <f t="shared" si="7"/>
        <v>0</v>
      </c>
      <c r="AO265" s="26">
        <f t="shared" si="8"/>
        <v>0</v>
      </c>
      <c r="AP265" s="10"/>
    </row>
    <row r="266">
      <c r="A266" s="29" t="str">
        <f>'MASTER STOCK'!F263</f>
        <v>skrup kecil</v>
      </c>
      <c r="B266" s="30">
        <f>'MASTER STOCK'!G263</f>
        <v>10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23">
        <f t="shared" si="3"/>
        <v>0</v>
      </c>
      <c r="AI266" s="31">
        <f t="shared" si="4"/>
        <v>10</v>
      </c>
      <c r="AJ266" s="32">
        <f t="shared" si="5"/>
        <v>10</v>
      </c>
      <c r="AK266" s="32">
        <f t="shared" si="6"/>
        <v>0</v>
      </c>
      <c r="AL266" s="25">
        <f>'MASTER STOCK'!I263</f>
        <v>0</v>
      </c>
      <c r="AM266" s="26">
        <f>'MASTER STOCK'!L263</f>
        <v>0</v>
      </c>
      <c r="AN266" s="27">
        <f t="shared" si="7"/>
        <v>0</v>
      </c>
      <c r="AO266" s="26">
        <f t="shared" si="8"/>
        <v>0</v>
      </c>
      <c r="AP266" s="10"/>
    </row>
    <row r="267">
      <c r="A267" s="29" t="str">
        <f>'MASTER STOCK'!F264</f>
        <v>skrup besar</v>
      </c>
      <c r="B267" s="30">
        <f>'MASTER STOCK'!G264</f>
        <v>41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23">
        <f t="shared" si="3"/>
        <v>0</v>
      </c>
      <c r="AI267" s="31">
        <f t="shared" si="4"/>
        <v>41</v>
      </c>
      <c r="AJ267" s="32">
        <f t="shared" si="5"/>
        <v>41</v>
      </c>
      <c r="AK267" s="32">
        <f t="shared" si="6"/>
        <v>0</v>
      </c>
      <c r="AL267" s="25">
        <f>'MASTER STOCK'!I264</f>
        <v>0</v>
      </c>
      <c r="AM267" s="26">
        <f>'MASTER STOCK'!L264</f>
        <v>0</v>
      </c>
      <c r="AN267" s="27">
        <f t="shared" si="7"/>
        <v>0</v>
      </c>
      <c r="AO267" s="26">
        <f t="shared" si="8"/>
        <v>0</v>
      </c>
      <c r="AP267" s="10"/>
    </row>
    <row r="268">
      <c r="A268" s="29" t="str">
        <f>'MASTER STOCK'!F265</f>
        <v>floor stainer plastik</v>
      </c>
      <c r="B268" s="30">
        <f>'MASTER STOCK'!G265</f>
        <v>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23">
        <f t="shared" si="3"/>
        <v>0</v>
      </c>
      <c r="AI268" s="31">
        <f t="shared" si="4"/>
        <v>1</v>
      </c>
      <c r="AJ268" s="32">
        <f t="shared" si="5"/>
        <v>1</v>
      </c>
      <c r="AK268" s="32">
        <f t="shared" si="6"/>
        <v>0</v>
      </c>
      <c r="AL268" s="25">
        <f>'MASTER STOCK'!I265</f>
        <v>24000</v>
      </c>
      <c r="AM268" s="26">
        <f>'MASTER STOCK'!L265</f>
        <v>24000</v>
      </c>
      <c r="AN268" s="27">
        <f t="shared" si="7"/>
        <v>0</v>
      </c>
      <c r="AO268" s="26">
        <f t="shared" si="8"/>
        <v>0</v>
      </c>
      <c r="AP268" s="10"/>
    </row>
    <row r="269">
      <c r="A269" s="29" t="str">
        <f>'MASTER STOCK'!F266</f>
        <v>skrup atap  kecil</v>
      </c>
      <c r="B269" s="30">
        <f>'MASTER STOCK'!G266</f>
        <v>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23">
        <f t="shared" si="3"/>
        <v>0</v>
      </c>
      <c r="AI269" s="31">
        <f t="shared" si="4"/>
        <v>1</v>
      </c>
      <c r="AJ269" s="32">
        <f t="shared" si="5"/>
        <v>1</v>
      </c>
      <c r="AK269" s="32">
        <f t="shared" si="6"/>
        <v>0</v>
      </c>
      <c r="AL269" s="25">
        <f>'MASTER STOCK'!I266</f>
        <v>0</v>
      </c>
      <c r="AM269" s="26">
        <f>'MASTER STOCK'!L266</f>
        <v>0</v>
      </c>
      <c r="AN269" s="27">
        <f t="shared" si="7"/>
        <v>0</v>
      </c>
      <c r="AO269" s="26">
        <f t="shared" si="8"/>
        <v>0</v>
      </c>
      <c r="AP269" s="10"/>
    </row>
    <row r="270">
      <c r="A270" s="29" t="str">
        <f>'MASTER STOCK'!F267</f>
        <v>lampu led</v>
      </c>
      <c r="B270" s="30">
        <f>'MASTER STOCK'!G267</f>
        <v>10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23">
        <f t="shared" si="3"/>
        <v>0</v>
      </c>
      <c r="AI270" s="31">
        <f t="shared" si="4"/>
        <v>10</v>
      </c>
      <c r="AJ270" s="32">
        <f t="shared" si="5"/>
        <v>10</v>
      </c>
      <c r="AK270" s="32">
        <f t="shared" si="6"/>
        <v>0</v>
      </c>
      <c r="AL270" s="25">
        <f>'MASTER STOCK'!I267</f>
        <v>11000</v>
      </c>
      <c r="AM270" s="26">
        <f>'MASTER STOCK'!L267</f>
        <v>11000</v>
      </c>
      <c r="AN270" s="27">
        <f t="shared" si="7"/>
        <v>0</v>
      </c>
      <c r="AO270" s="26">
        <f t="shared" si="8"/>
        <v>0</v>
      </c>
      <c r="AP270" s="10"/>
    </row>
    <row r="271">
      <c r="A271" s="29" t="str">
        <f>'MASTER STOCK'!F268</f>
        <v>waterpres magnet (alat ukur)</v>
      </c>
      <c r="B271" s="30">
        <f>'MASTER STOCK'!G268</f>
        <v>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23">
        <f t="shared" si="3"/>
        <v>0</v>
      </c>
      <c r="AI271" s="31">
        <f t="shared" si="4"/>
        <v>1</v>
      </c>
      <c r="AJ271" s="32">
        <f t="shared" si="5"/>
        <v>1</v>
      </c>
      <c r="AK271" s="32">
        <f t="shared" si="6"/>
        <v>0</v>
      </c>
      <c r="AL271" s="25">
        <f>'MASTER STOCK'!I268</f>
        <v>33000</v>
      </c>
      <c r="AM271" s="26">
        <f>'MASTER STOCK'!L268</f>
        <v>33000</v>
      </c>
      <c r="AN271" s="27">
        <f t="shared" si="7"/>
        <v>0</v>
      </c>
      <c r="AO271" s="26">
        <f t="shared" si="8"/>
        <v>0</v>
      </c>
      <c r="AP271" s="10"/>
    </row>
    <row r="272">
      <c r="A272" s="29" t="str">
        <f>'MASTER STOCK'!F269</f>
        <v>round kabel klip 6 mm</v>
      </c>
      <c r="B272" s="30">
        <f>'MASTER STOCK'!G269</f>
        <v>15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23">
        <f t="shared" si="3"/>
        <v>0</v>
      </c>
      <c r="AI272" s="31">
        <f t="shared" si="4"/>
        <v>15</v>
      </c>
      <c r="AJ272" s="32">
        <f t="shared" si="5"/>
        <v>15</v>
      </c>
      <c r="AK272" s="32">
        <f t="shared" si="6"/>
        <v>0</v>
      </c>
      <c r="AL272" s="25">
        <f>'MASTER STOCK'!I269</f>
        <v>2000</v>
      </c>
      <c r="AM272" s="26">
        <f>'MASTER STOCK'!L269</f>
        <v>2000</v>
      </c>
      <c r="AN272" s="27">
        <f t="shared" si="7"/>
        <v>0</v>
      </c>
      <c r="AO272" s="26">
        <f t="shared" si="8"/>
        <v>0</v>
      </c>
      <c r="AP272" s="10"/>
    </row>
    <row r="273">
      <c r="A273" s="29" t="str">
        <f>'MASTER STOCK'!F270</f>
        <v>round kabel klip 7 mm</v>
      </c>
      <c r="B273" s="30">
        <f>'MASTER STOCK'!G270</f>
        <v>6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23">
        <f t="shared" si="3"/>
        <v>0</v>
      </c>
      <c r="AI273" s="31">
        <f t="shared" si="4"/>
        <v>6</v>
      </c>
      <c r="AJ273" s="32">
        <f t="shared" si="5"/>
        <v>6</v>
      </c>
      <c r="AK273" s="32">
        <f t="shared" si="6"/>
        <v>0</v>
      </c>
      <c r="AL273" s="25">
        <f>'MASTER STOCK'!I270</f>
        <v>2000</v>
      </c>
      <c r="AM273" s="26">
        <f>'MASTER STOCK'!L270</f>
        <v>2000</v>
      </c>
      <c r="AN273" s="27">
        <f t="shared" si="7"/>
        <v>0</v>
      </c>
      <c r="AO273" s="26">
        <f t="shared" si="8"/>
        <v>0</v>
      </c>
      <c r="AP273" s="10"/>
    </row>
    <row r="274">
      <c r="A274" s="29" t="str">
        <f>'MASTER STOCK'!F271</f>
        <v>round kabel klip 9 mm</v>
      </c>
      <c r="B274" s="30">
        <f>'MASTER STOCK'!G271</f>
        <v>12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23">
        <f t="shared" si="3"/>
        <v>0</v>
      </c>
      <c r="AI274" s="31">
        <f t="shared" si="4"/>
        <v>12</v>
      </c>
      <c r="AJ274" s="32">
        <f t="shared" si="5"/>
        <v>12</v>
      </c>
      <c r="AK274" s="32">
        <f t="shared" si="6"/>
        <v>0</v>
      </c>
      <c r="AL274" s="25">
        <f>'MASTER STOCK'!I271</f>
        <v>2500</v>
      </c>
      <c r="AM274" s="26">
        <f>'MASTER STOCK'!L271</f>
        <v>2500</v>
      </c>
      <c r="AN274" s="27">
        <f t="shared" si="7"/>
        <v>0</v>
      </c>
      <c r="AO274" s="26">
        <f t="shared" si="8"/>
        <v>0</v>
      </c>
      <c r="AP274" s="10"/>
    </row>
    <row r="275">
      <c r="A275" s="29" t="str">
        <f>'MASTER STOCK'!F272</f>
        <v>round kabel klip 10 mm</v>
      </c>
      <c r="B275" s="30">
        <f>'MASTER STOCK'!G272</f>
        <v>16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23">
        <f t="shared" si="3"/>
        <v>0</v>
      </c>
      <c r="AI275" s="31">
        <f t="shared" si="4"/>
        <v>16</v>
      </c>
      <c r="AJ275" s="32">
        <f t="shared" si="5"/>
        <v>16</v>
      </c>
      <c r="AK275" s="32">
        <f t="shared" si="6"/>
        <v>0</v>
      </c>
      <c r="AL275" s="25">
        <f>'MASTER STOCK'!I272</f>
        <v>2500</v>
      </c>
      <c r="AM275" s="26">
        <f>'MASTER STOCK'!L272</f>
        <v>2500</v>
      </c>
      <c r="AN275" s="27">
        <f t="shared" si="7"/>
        <v>0</v>
      </c>
      <c r="AO275" s="26">
        <f t="shared" si="8"/>
        <v>0</v>
      </c>
      <c r="AP275" s="10"/>
    </row>
    <row r="276">
      <c r="A276" s="29" t="str">
        <f>'MASTER STOCK'!F273</f>
        <v>floor stainer stainless</v>
      </c>
      <c r="B276" s="30">
        <f>'MASTER STOCK'!G273</f>
        <v>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23">
        <f t="shared" si="3"/>
        <v>0</v>
      </c>
      <c r="AI276" s="31">
        <f t="shared" si="4"/>
        <v>1</v>
      </c>
      <c r="AJ276" s="32">
        <f t="shared" si="5"/>
        <v>1</v>
      </c>
      <c r="AK276" s="32">
        <f t="shared" si="6"/>
        <v>0</v>
      </c>
      <c r="AL276" s="25">
        <f>'MASTER STOCK'!I273</f>
        <v>24000</v>
      </c>
      <c r="AM276" s="26">
        <f>'MASTER STOCK'!L273</f>
        <v>24000</v>
      </c>
      <c r="AN276" s="27">
        <f t="shared" si="7"/>
        <v>0</v>
      </c>
      <c r="AO276" s="26">
        <f t="shared" si="8"/>
        <v>0</v>
      </c>
      <c r="AP276" s="10"/>
    </row>
    <row r="277">
      <c r="A277" s="29" t="str">
        <f>'MASTER STOCK'!F274</f>
        <v>amplass bunder</v>
      </c>
      <c r="B277" s="30">
        <f>'MASTER STOCK'!G274</f>
        <v>8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23">
        <f t="shared" si="3"/>
        <v>0</v>
      </c>
      <c r="AI277" s="31">
        <f t="shared" si="4"/>
        <v>8</v>
      </c>
      <c r="AJ277" s="32">
        <f t="shared" si="5"/>
        <v>8</v>
      </c>
      <c r="AK277" s="32">
        <f t="shared" si="6"/>
        <v>0</v>
      </c>
      <c r="AL277" s="25">
        <f>'MASTER STOCK'!I274</f>
        <v>2500</v>
      </c>
      <c r="AM277" s="26">
        <f>'MASTER STOCK'!L274</f>
        <v>2500</v>
      </c>
      <c r="AN277" s="27">
        <f t="shared" si="7"/>
        <v>0</v>
      </c>
      <c r="AO277" s="26">
        <f t="shared" si="8"/>
        <v>0</v>
      </c>
      <c r="AP277" s="10"/>
    </row>
    <row r="278">
      <c r="A278" s="29" t="str">
        <f>'MASTER STOCK'!F275</f>
        <v>paku beton 1 1/2</v>
      </c>
      <c r="B278" s="30">
        <f>'MASTER STOCK'!G275</f>
        <v>2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23">
        <f t="shared" si="3"/>
        <v>0</v>
      </c>
      <c r="AI278" s="31">
        <f t="shared" si="4"/>
        <v>2</v>
      </c>
      <c r="AJ278" s="32">
        <f t="shared" si="5"/>
        <v>2</v>
      </c>
      <c r="AK278" s="32">
        <f t="shared" si="6"/>
        <v>0</v>
      </c>
      <c r="AL278" s="25">
        <f>'MASTER STOCK'!I275</f>
        <v>14000</v>
      </c>
      <c r="AM278" s="26">
        <f>'MASTER STOCK'!L275</f>
        <v>14000</v>
      </c>
      <c r="AN278" s="27">
        <f t="shared" si="7"/>
        <v>0</v>
      </c>
      <c r="AO278" s="26">
        <f t="shared" si="8"/>
        <v>0</v>
      </c>
      <c r="AP278" s="10"/>
    </row>
    <row r="279">
      <c r="A279" s="29" t="str">
        <f>'MASTER STOCK'!F276</f>
        <v>tusen klep air</v>
      </c>
      <c r="B279" s="30">
        <f>'MASTER STOCK'!G276</f>
        <v>4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23">
        <f t="shared" si="3"/>
        <v>0</v>
      </c>
      <c r="AI279" s="31">
        <f t="shared" si="4"/>
        <v>4</v>
      </c>
      <c r="AJ279" s="32">
        <f t="shared" si="5"/>
        <v>4</v>
      </c>
      <c r="AK279" s="32">
        <f t="shared" si="6"/>
        <v>0</v>
      </c>
      <c r="AL279" s="25">
        <f>'MASTER STOCK'!I276</f>
        <v>0</v>
      </c>
      <c r="AM279" s="26">
        <f>'MASTER STOCK'!L276</f>
        <v>0</v>
      </c>
      <c r="AN279" s="27">
        <f t="shared" si="7"/>
        <v>0</v>
      </c>
      <c r="AO279" s="26">
        <f t="shared" si="8"/>
        <v>0</v>
      </c>
      <c r="AP279" s="10"/>
    </row>
    <row r="280">
      <c r="A280" s="29" t="str">
        <f>'MASTER STOCK'!F277</f>
        <v>saringan plastik biasa</v>
      </c>
      <c r="B280" s="30">
        <f>'MASTER STOCK'!G277</f>
        <v>3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23">
        <f t="shared" si="3"/>
        <v>0</v>
      </c>
      <c r="AI280" s="31">
        <f t="shared" si="4"/>
        <v>3</v>
      </c>
      <c r="AJ280" s="32">
        <f t="shared" si="5"/>
        <v>3</v>
      </c>
      <c r="AK280" s="32">
        <f t="shared" si="6"/>
        <v>0</v>
      </c>
      <c r="AL280" s="25">
        <f>'MASTER STOCK'!I277</f>
        <v>12000</v>
      </c>
      <c r="AM280" s="26">
        <f>'MASTER STOCK'!L277</f>
        <v>12000</v>
      </c>
      <c r="AN280" s="27">
        <f t="shared" si="7"/>
        <v>0</v>
      </c>
      <c r="AO280" s="26">
        <f t="shared" si="8"/>
        <v>0</v>
      </c>
      <c r="AP280" s="10"/>
    </row>
    <row r="281">
      <c r="A281" s="29" t="str">
        <f>'MASTER STOCK'!F278</f>
        <v>kuas  2</v>
      </c>
      <c r="B281" s="30">
        <f>'MASTER STOCK'!G278</f>
        <v>2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23">
        <f t="shared" si="3"/>
        <v>0</v>
      </c>
      <c r="AI281" s="31">
        <f t="shared" si="4"/>
        <v>2</v>
      </c>
      <c r="AJ281" s="32">
        <f t="shared" si="5"/>
        <v>2</v>
      </c>
      <c r="AK281" s="32">
        <f t="shared" si="6"/>
        <v>0</v>
      </c>
      <c r="AL281" s="25">
        <f>'MASTER STOCK'!I278</f>
        <v>8000</v>
      </c>
      <c r="AM281" s="26">
        <f>'MASTER STOCK'!L278</f>
        <v>8000</v>
      </c>
      <c r="AN281" s="27">
        <f t="shared" si="7"/>
        <v>0</v>
      </c>
      <c r="AO281" s="26">
        <f t="shared" si="8"/>
        <v>0</v>
      </c>
      <c r="AP281" s="10"/>
    </row>
    <row r="282">
      <c r="A282" s="29" t="str">
        <f>'MASTER STOCK'!F279</f>
        <v>afur hpp</v>
      </c>
      <c r="B282" s="30">
        <f>'MASTER STOCK'!G279</f>
        <v>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23">
        <f t="shared" si="3"/>
        <v>0</v>
      </c>
      <c r="AI282" s="31">
        <f t="shared" si="4"/>
        <v>1</v>
      </c>
      <c r="AJ282" s="32">
        <f t="shared" si="5"/>
        <v>1</v>
      </c>
      <c r="AK282" s="32">
        <f t="shared" si="6"/>
        <v>0</v>
      </c>
      <c r="AL282" s="25">
        <f>'MASTER STOCK'!I279</f>
        <v>27000</v>
      </c>
      <c r="AM282" s="26">
        <f>'MASTER STOCK'!L279</f>
        <v>27000</v>
      </c>
      <c r="AN282" s="27">
        <f t="shared" si="7"/>
        <v>0</v>
      </c>
      <c r="AO282" s="26">
        <f t="shared" si="8"/>
        <v>0</v>
      </c>
      <c r="AP282" s="10"/>
    </row>
    <row r="283">
      <c r="A283" s="29" t="str">
        <f>'MASTER STOCK'!F280</f>
        <v>afur klasik</v>
      </c>
      <c r="B283" s="30">
        <f>'MASTER STOCK'!G280</f>
        <v>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23">
        <f t="shared" si="3"/>
        <v>0</v>
      </c>
      <c r="AI283" s="31">
        <f t="shared" si="4"/>
        <v>1</v>
      </c>
      <c r="AJ283" s="32">
        <f t="shared" si="5"/>
        <v>1</v>
      </c>
      <c r="AK283" s="32">
        <f t="shared" si="6"/>
        <v>0</v>
      </c>
      <c r="AL283" s="25">
        <f>'MASTER STOCK'!I280</f>
        <v>32000</v>
      </c>
      <c r="AM283" s="26">
        <f>'MASTER STOCK'!L280</f>
        <v>32000</v>
      </c>
      <c r="AN283" s="27">
        <f t="shared" si="7"/>
        <v>0</v>
      </c>
      <c r="AO283" s="26">
        <f t="shared" si="8"/>
        <v>0</v>
      </c>
      <c r="AP283" s="10"/>
    </row>
    <row r="284">
      <c r="A284" s="29" t="str">
        <f>'MASTER STOCK'!F281</f>
        <v>kuas cat garis</v>
      </c>
      <c r="B284" s="30">
        <f>'MASTER STOCK'!G281</f>
        <v>4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23">
        <f t="shared" si="3"/>
        <v>0</v>
      </c>
      <c r="AI284" s="31">
        <f t="shared" si="4"/>
        <v>4</v>
      </c>
      <c r="AJ284" s="32">
        <f t="shared" si="5"/>
        <v>4</v>
      </c>
      <c r="AK284" s="32">
        <f t="shared" si="6"/>
        <v>0</v>
      </c>
      <c r="AL284" s="25">
        <f>'MASTER STOCK'!I281</f>
        <v>9000</v>
      </c>
      <c r="AM284" s="26">
        <f>'MASTER STOCK'!L281</f>
        <v>9000</v>
      </c>
      <c r="AN284" s="27">
        <f t="shared" si="7"/>
        <v>0</v>
      </c>
      <c r="AO284" s="26">
        <f t="shared" si="8"/>
        <v>0</v>
      </c>
      <c r="AP284" s="10"/>
    </row>
    <row r="285">
      <c r="A285" s="29" t="str">
        <f>'MASTER STOCK'!F282</f>
        <v>pilox</v>
      </c>
      <c r="B285" s="30">
        <f>'MASTER STOCK'!G282</f>
        <v>4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23">
        <f t="shared" si="3"/>
        <v>0</v>
      </c>
      <c r="AI285" s="31">
        <f t="shared" si="4"/>
        <v>4</v>
      </c>
      <c r="AJ285" s="32">
        <f t="shared" si="5"/>
        <v>4</v>
      </c>
      <c r="AK285" s="32">
        <f t="shared" si="6"/>
        <v>0</v>
      </c>
      <c r="AL285" s="25">
        <f>'MASTER STOCK'!I282</f>
        <v>29000</v>
      </c>
      <c r="AM285" s="26">
        <f>'MASTER STOCK'!L282</f>
        <v>29000</v>
      </c>
      <c r="AN285" s="27">
        <f t="shared" si="7"/>
        <v>0</v>
      </c>
      <c r="AO285" s="26">
        <f t="shared" si="8"/>
        <v>0</v>
      </c>
      <c r="AP285" s="10"/>
    </row>
    <row r="286">
      <c r="A286" s="29" t="str">
        <f>'MASTER STOCK'!F283</f>
        <v>sikring</v>
      </c>
      <c r="B286" s="30">
        <f>'MASTER STOCK'!G283</f>
        <v>5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23">
        <f t="shared" si="3"/>
        <v>0</v>
      </c>
      <c r="AI286" s="31">
        <f t="shared" si="4"/>
        <v>5</v>
      </c>
      <c r="AJ286" s="32">
        <f t="shared" si="5"/>
        <v>5</v>
      </c>
      <c r="AK286" s="32">
        <f t="shared" si="6"/>
        <v>0</v>
      </c>
      <c r="AL286" s="25">
        <f>'MASTER STOCK'!I283</f>
        <v>3500</v>
      </c>
      <c r="AM286" s="26">
        <f>'MASTER STOCK'!L283</f>
        <v>3500</v>
      </c>
      <c r="AN286" s="27">
        <f t="shared" si="7"/>
        <v>0</v>
      </c>
      <c r="AO286" s="26">
        <f t="shared" si="8"/>
        <v>0</v>
      </c>
      <c r="AP286" s="10"/>
    </row>
    <row r="287">
      <c r="A287" s="29" t="str">
        <f>'MASTER STOCK'!F284</f>
        <v>Tutup  skring</v>
      </c>
      <c r="B287" s="30">
        <f>'MASTER STOCK'!G284</f>
        <v>14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23">
        <f t="shared" si="3"/>
        <v>0</v>
      </c>
      <c r="AI287" s="31">
        <f t="shared" si="4"/>
        <v>14</v>
      </c>
      <c r="AJ287" s="32">
        <f t="shared" si="5"/>
        <v>14</v>
      </c>
      <c r="AK287" s="32">
        <f t="shared" si="6"/>
        <v>0</v>
      </c>
      <c r="AL287" s="25">
        <f>'MASTER STOCK'!I284</f>
        <v>3500</v>
      </c>
      <c r="AM287" s="26">
        <f>'MASTER STOCK'!L284</f>
        <v>3500</v>
      </c>
      <c r="AN287" s="27">
        <f t="shared" si="7"/>
        <v>0</v>
      </c>
      <c r="AO287" s="26">
        <f t="shared" si="8"/>
        <v>0</v>
      </c>
      <c r="AP287" s="10"/>
    </row>
    <row r="288">
      <c r="A288" s="29" t="str">
        <f>'MASTER STOCK'!F285</f>
        <v>kabel serabut 0.75 mm</v>
      </c>
      <c r="B288" s="30">
        <f>'MASTER STOCK'!G285</f>
        <v>0.5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23">
        <f t="shared" si="3"/>
        <v>0</v>
      </c>
      <c r="AI288" s="31">
        <f t="shared" si="4"/>
        <v>0.5</v>
      </c>
      <c r="AJ288" s="32">
        <f t="shared" si="5"/>
        <v>0.5</v>
      </c>
      <c r="AK288" s="32">
        <f t="shared" si="6"/>
        <v>0</v>
      </c>
      <c r="AL288" s="25">
        <f>'MASTER STOCK'!I285</f>
        <v>2000</v>
      </c>
      <c r="AM288" s="26">
        <f>'MASTER STOCK'!L285</f>
        <v>2000</v>
      </c>
      <c r="AN288" s="27">
        <f t="shared" si="7"/>
        <v>0</v>
      </c>
      <c r="AO288" s="26">
        <f t="shared" si="8"/>
        <v>0</v>
      </c>
      <c r="AP288" s="10"/>
    </row>
    <row r="289">
      <c r="A289" s="29" t="str">
        <f>'MASTER STOCK'!F286</f>
        <v>Steker Gepeng</v>
      </c>
      <c r="B289" s="30">
        <f>'MASTER STOCK'!G286</f>
        <v>6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23">
        <f t="shared" si="3"/>
        <v>0</v>
      </c>
      <c r="AI289" s="31">
        <f t="shared" si="4"/>
        <v>6</v>
      </c>
      <c r="AJ289" s="32">
        <f t="shared" si="5"/>
        <v>6</v>
      </c>
      <c r="AK289" s="32">
        <f t="shared" si="6"/>
        <v>0</v>
      </c>
      <c r="AL289" s="25">
        <f>'MASTER STOCK'!I286</f>
        <v>4000</v>
      </c>
      <c r="AM289" s="26">
        <f>'MASTER STOCK'!L286</f>
        <v>4000</v>
      </c>
      <c r="AN289" s="27">
        <f t="shared" si="7"/>
        <v>0</v>
      </c>
      <c r="AO289" s="26">
        <f t="shared" si="8"/>
        <v>0</v>
      </c>
      <c r="AP289" s="10"/>
    </row>
    <row r="290">
      <c r="A290" s="29" t="str">
        <f>'MASTER STOCK'!F287</f>
        <v>Skalar Tunggal</v>
      </c>
      <c r="B290" s="30">
        <f>'MASTER STOCK'!G287</f>
        <v>3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23">
        <f t="shared" si="3"/>
        <v>0</v>
      </c>
      <c r="AI290" s="31">
        <f t="shared" si="4"/>
        <v>3</v>
      </c>
      <c r="AJ290" s="32">
        <f t="shared" si="5"/>
        <v>3</v>
      </c>
      <c r="AK290" s="32">
        <f t="shared" si="6"/>
        <v>0</v>
      </c>
      <c r="AL290" s="25">
        <f>'MASTER STOCK'!I287</f>
        <v>6500</v>
      </c>
      <c r="AM290" s="26">
        <f>'MASTER STOCK'!L287</f>
        <v>6500</v>
      </c>
      <c r="AN290" s="27">
        <f t="shared" si="7"/>
        <v>0</v>
      </c>
      <c r="AO290" s="26">
        <f t="shared" si="8"/>
        <v>0</v>
      </c>
      <c r="AP290" s="10"/>
    </row>
    <row r="291">
      <c r="A291" s="29" t="str">
        <f>'MASTER STOCK'!F288</f>
        <v>Saklar Ganda</v>
      </c>
      <c r="B291" s="30">
        <f>'MASTER STOCK'!G288</f>
        <v>3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23">
        <f t="shared" si="3"/>
        <v>0</v>
      </c>
      <c r="AI291" s="31">
        <f t="shared" si="4"/>
        <v>3</v>
      </c>
      <c r="AJ291" s="32">
        <f t="shared" si="5"/>
        <v>3</v>
      </c>
      <c r="AK291" s="32">
        <f t="shared" si="6"/>
        <v>0</v>
      </c>
      <c r="AL291" s="25">
        <f>'MASTER STOCK'!I288</f>
        <v>8000</v>
      </c>
      <c r="AM291" s="26">
        <f>'MASTER STOCK'!L288</f>
        <v>8000</v>
      </c>
      <c r="AN291" s="27">
        <f t="shared" si="7"/>
        <v>0</v>
      </c>
      <c r="AO291" s="26">
        <f t="shared" si="8"/>
        <v>0</v>
      </c>
      <c r="AP291" s="10"/>
    </row>
    <row r="292">
      <c r="A292" s="29" t="str">
        <f>'MASTER STOCK'!F289</f>
        <v>Kabel audio 2 x 1 1/2</v>
      </c>
      <c r="B292" s="30">
        <f>'MASTER STOCK'!G289</f>
        <v>100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23">
        <f t="shared" si="3"/>
        <v>0</v>
      </c>
      <c r="AI292" s="31">
        <f t="shared" si="4"/>
        <v>100</v>
      </c>
      <c r="AJ292" s="32">
        <f t="shared" si="5"/>
        <v>100</v>
      </c>
      <c r="AK292" s="32">
        <f t="shared" si="6"/>
        <v>0</v>
      </c>
      <c r="AL292" s="25">
        <f>'MASTER STOCK'!I289</f>
        <v>3000</v>
      </c>
      <c r="AM292" s="26">
        <f>'MASTER STOCK'!L289</f>
        <v>3000</v>
      </c>
      <c r="AN292" s="27">
        <f t="shared" si="7"/>
        <v>0</v>
      </c>
      <c r="AO292" s="26">
        <f t="shared" si="8"/>
        <v>0</v>
      </c>
      <c r="AP292" s="10"/>
    </row>
    <row r="293">
      <c r="A293" s="29" t="str">
        <f>'MASTER STOCK'!F290</f>
        <v>Skalar Triple</v>
      </c>
      <c r="B293" s="30">
        <f>'MASTER STOCK'!G290</f>
        <v>2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23">
        <f t="shared" si="3"/>
        <v>0</v>
      </c>
      <c r="AI293" s="31">
        <f t="shared" si="4"/>
        <v>2</v>
      </c>
      <c r="AJ293" s="32">
        <f t="shared" si="5"/>
        <v>2</v>
      </c>
      <c r="AK293" s="32">
        <f t="shared" si="6"/>
        <v>0</v>
      </c>
      <c r="AL293" s="25">
        <f>'MASTER STOCK'!I290</f>
        <v>35000</v>
      </c>
      <c r="AM293" s="26">
        <f>'MASTER STOCK'!L290</f>
        <v>35000</v>
      </c>
      <c r="AN293" s="27">
        <f t="shared" si="7"/>
        <v>0</v>
      </c>
      <c r="AO293" s="26">
        <f t="shared" si="8"/>
        <v>0</v>
      </c>
      <c r="AP293" s="10"/>
    </row>
    <row r="294">
      <c r="A294" s="29" t="str">
        <f>'MASTER STOCK'!F291</f>
        <v>Senter</v>
      </c>
      <c r="B294" s="30">
        <f>'MASTER STOCK'!G291</f>
        <v>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23">
        <f t="shared" si="3"/>
        <v>0</v>
      </c>
      <c r="AI294" s="31">
        <f t="shared" si="4"/>
        <v>1</v>
      </c>
      <c r="AJ294" s="32">
        <f t="shared" si="5"/>
        <v>1</v>
      </c>
      <c r="AK294" s="32">
        <f t="shared" si="6"/>
        <v>0</v>
      </c>
      <c r="AL294" s="25">
        <f>'MASTER STOCK'!I291</f>
        <v>25000</v>
      </c>
      <c r="AM294" s="26">
        <f>'MASTER STOCK'!L291</f>
        <v>25000</v>
      </c>
      <c r="AN294" s="27">
        <f t="shared" si="7"/>
        <v>0</v>
      </c>
      <c r="AO294" s="26">
        <f t="shared" si="8"/>
        <v>0</v>
      </c>
      <c r="AP294" s="10"/>
    </row>
    <row r="295">
      <c r="A295" s="29" t="str">
        <f>'MASTER STOCK'!F292</f>
        <v>Fittingan</v>
      </c>
      <c r="B295" s="30">
        <f>'MASTER STOCK'!G292</f>
        <v>7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23">
        <f t="shared" si="3"/>
        <v>0</v>
      </c>
      <c r="AI295" s="31">
        <f t="shared" si="4"/>
        <v>7</v>
      </c>
      <c r="AJ295" s="32">
        <f t="shared" si="5"/>
        <v>7</v>
      </c>
      <c r="AK295" s="32">
        <f t="shared" si="6"/>
        <v>0</v>
      </c>
      <c r="AL295" s="25">
        <f>'MASTER STOCK'!I292</f>
        <v>5000</v>
      </c>
      <c r="AM295" s="26">
        <f>'MASTER STOCK'!L292</f>
        <v>5000</v>
      </c>
      <c r="AN295" s="27">
        <f t="shared" si="7"/>
        <v>0</v>
      </c>
      <c r="AO295" s="26">
        <f t="shared" si="8"/>
        <v>0</v>
      </c>
      <c r="AP295" s="10"/>
    </row>
    <row r="296">
      <c r="A296" s="29" t="str">
        <f>'MASTER STOCK'!F293</f>
        <v>Fittingan bagus</v>
      </c>
      <c r="B296" s="30">
        <f>'MASTER STOCK'!G293</f>
        <v>2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23">
        <f t="shared" si="3"/>
        <v>0</v>
      </c>
      <c r="AI296" s="31">
        <f t="shared" si="4"/>
        <v>2</v>
      </c>
      <c r="AJ296" s="32">
        <f t="shared" si="5"/>
        <v>2</v>
      </c>
      <c r="AK296" s="32">
        <f t="shared" si="6"/>
        <v>0</v>
      </c>
      <c r="AL296" s="25">
        <f>'MASTER STOCK'!I293</f>
        <v>9000</v>
      </c>
      <c r="AM296" s="26">
        <f>'MASTER STOCK'!L293</f>
        <v>9000</v>
      </c>
      <c r="AN296" s="27">
        <f t="shared" si="7"/>
        <v>0</v>
      </c>
      <c r="AO296" s="26">
        <f t="shared" si="8"/>
        <v>0</v>
      </c>
      <c r="AP296" s="10"/>
    </row>
    <row r="297">
      <c r="A297" s="29" t="str">
        <f>'MASTER STOCK'!F294</f>
        <v>Kassa gibsum</v>
      </c>
      <c r="B297" s="30">
        <f>'MASTER STOCK'!G294</f>
        <v>3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23">
        <f t="shared" si="3"/>
        <v>0</v>
      </c>
      <c r="AI297" s="31">
        <f t="shared" si="4"/>
        <v>3</v>
      </c>
      <c r="AJ297" s="32">
        <f t="shared" si="5"/>
        <v>3</v>
      </c>
      <c r="AK297" s="32">
        <f t="shared" si="6"/>
        <v>0</v>
      </c>
      <c r="AL297" s="25">
        <f>'MASTER STOCK'!I294</f>
        <v>7000</v>
      </c>
      <c r="AM297" s="26">
        <f>'MASTER STOCK'!L294</f>
        <v>7000</v>
      </c>
      <c r="AN297" s="27">
        <f t="shared" si="7"/>
        <v>0</v>
      </c>
      <c r="AO297" s="26">
        <f t="shared" si="8"/>
        <v>0</v>
      </c>
      <c r="AP297" s="10"/>
    </row>
    <row r="298">
      <c r="A298" s="29" t="str">
        <f>'MASTER STOCK'!F295</f>
        <v>Lampu Tidur</v>
      </c>
      <c r="B298" s="30">
        <f>'MASTER STOCK'!G295</f>
        <v>2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23">
        <f t="shared" si="3"/>
        <v>0</v>
      </c>
      <c r="AI298" s="31">
        <f t="shared" si="4"/>
        <v>2</v>
      </c>
      <c r="AJ298" s="32">
        <f t="shared" si="5"/>
        <v>2</v>
      </c>
      <c r="AK298" s="32">
        <f t="shared" si="6"/>
        <v>0</v>
      </c>
      <c r="AL298" s="25">
        <f>'MASTER STOCK'!I295</f>
        <v>8000</v>
      </c>
      <c r="AM298" s="26">
        <f>'MASTER STOCK'!L295</f>
        <v>8000</v>
      </c>
      <c r="AN298" s="27">
        <f t="shared" si="7"/>
        <v>0</v>
      </c>
      <c r="AO298" s="26">
        <f t="shared" si="8"/>
        <v>0</v>
      </c>
      <c r="AP298" s="10"/>
    </row>
    <row r="299">
      <c r="A299" s="29" t="str">
        <f>'MASTER STOCK'!F296</f>
        <v>Steker Bulat</v>
      </c>
      <c r="B299" s="30">
        <f>'MASTER STOCK'!G296</f>
        <v>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23">
        <f t="shared" si="3"/>
        <v>0</v>
      </c>
      <c r="AI299" s="31">
        <f t="shared" si="4"/>
        <v>1</v>
      </c>
      <c r="AJ299" s="32">
        <f t="shared" si="5"/>
        <v>1</v>
      </c>
      <c r="AK299" s="32">
        <f t="shared" si="6"/>
        <v>0</v>
      </c>
      <c r="AL299" s="25">
        <f>'MASTER STOCK'!I296</f>
        <v>6000</v>
      </c>
      <c r="AM299" s="26">
        <f>'MASTER STOCK'!L296</f>
        <v>6000</v>
      </c>
      <c r="AN299" s="27">
        <f t="shared" si="7"/>
        <v>0</v>
      </c>
      <c r="AO299" s="26">
        <f t="shared" si="8"/>
        <v>0</v>
      </c>
      <c r="AP299" s="10"/>
    </row>
    <row r="300">
      <c r="A300" s="29" t="str">
        <f>'MASTER STOCK'!F297</f>
        <v>Soket Lampu</v>
      </c>
      <c r="B300" s="30">
        <f>'MASTER STOCK'!G297</f>
        <v>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23">
        <f t="shared" si="3"/>
        <v>0</v>
      </c>
      <c r="AI300" s="31">
        <f t="shared" si="4"/>
        <v>1</v>
      </c>
      <c r="AJ300" s="32">
        <f t="shared" si="5"/>
        <v>1</v>
      </c>
      <c r="AK300" s="32">
        <f t="shared" si="6"/>
        <v>0</v>
      </c>
      <c r="AL300" s="25">
        <f>'MASTER STOCK'!I297</f>
        <v>11000</v>
      </c>
      <c r="AM300" s="26">
        <f>'MASTER STOCK'!L297</f>
        <v>11000</v>
      </c>
      <c r="AN300" s="27">
        <f t="shared" si="7"/>
        <v>0</v>
      </c>
      <c r="AO300" s="26">
        <f t="shared" si="8"/>
        <v>0</v>
      </c>
      <c r="AP300" s="10"/>
    </row>
    <row r="301">
      <c r="A301" s="29" t="str">
        <f>'MASTER STOCK'!F298</f>
        <v>Sarung tangan kain</v>
      </c>
      <c r="B301" s="30">
        <f>'MASTER STOCK'!G298</f>
        <v>16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23">
        <f t="shared" si="3"/>
        <v>0</v>
      </c>
      <c r="AI301" s="31">
        <f t="shared" si="4"/>
        <v>16</v>
      </c>
      <c r="AJ301" s="32">
        <f t="shared" si="5"/>
        <v>16</v>
      </c>
      <c r="AK301" s="32">
        <f t="shared" si="6"/>
        <v>0</v>
      </c>
      <c r="AL301" s="25">
        <f>'MASTER STOCK'!I298</f>
        <v>6000</v>
      </c>
      <c r="AM301" s="26">
        <f>'MASTER STOCK'!L298</f>
        <v>6000</v>
      </c>
      <c r="AN301" s="27">
        <f t="shared" si="7"/>
        <v>0</v>
      </c>
      <c r="AO301" s="26">
        <f t="shared" si="8"/>
        <v>0</v>
      </c>
      <c r="AP301" s="10"/>
    </row>
    <row r="302">
      <c r="A302" s="29" t="str">
        <f>'MASTER STOCK'!F299</f>
        <v>Grendel Double</v>
      </c>
      <c r="B302" s="30">
        <f>'MASTER STOCK'!G299</f>
        <v>2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23">
        <f t="shared" si="3"/>
        <v>0</v>
      </c>
      <c r="AI302" s="31">
        <f t="shared" si="4"/>
        <v>2</v>
      </c>
      <c r="AJ302" s="32">
        <f t="shared" si="5"/>
        <v>2</v>
      </c>
      <c r="AK302" s="32">
        <f t="shared" si="6"/>
        <v>0</v>
      </c>
      <c r="AL302" s="25">
        <f>'MASTER STOCK'!I299</f>
        <v>0</v>
      </c>
      <c r="AM302" s="26">
        <f>'MASTER STOCK'!L299</f>
        <v>0</v>
      </c>
      <c r="AN302" s="27">
        <f t="shared" si="7"/>
        <v>0</v>
      </c>
      <c r="AO302" s="26">
        <f t="shared" si="8"/>
        <v>0</v>
      </c>
      <c r="AP302" s="10"/>
    </row>
    <row r="303">
      <c r="A303" s="29" t="str">
        <f>'MASTER STOCK'!F300</f>
        <v>Kunci Oval pintu</v>
      </c>
      <c r="B303" s="30">
        <f>'MASTER STOCK'!G300</f>
        <v>2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23">
        <f t="shared" si="3"/>
        <v>0</v>
      </c>
      <c r="AI303" s="31">
        <f t="shared" si="4"/>
        <v>2</v>
      </c>
      <c r="AJ303" s="32">
        <f t="shared" si="5"/>
        <v>2</v>
      </c>
      <c r="AK303" s="32">
        <f t="shared" si="6"/>
        <v>0</v>
      </c>
      <c r="AL303" s="25">
        <f>'MASTER STOCK'!I300</f>
        <v>0</v>
      </c>
      <c r="AM303" s="26">
        <f>'MASTER STOCK'!L300</f>
        <v>0</v>
      </c>
      <c r="AN303" s="27">
        <f t="shared" si="7"/>
        <v>0</v>
      </c>
      <c r="AO303" s="26">
        <f t="shared" si="8"/>
        <v>0</v>
      </c>
      <c r="AP303" s="10"/>
    </row>
    <row r="304">
      <c r="A304" s="29" t="str">
        <f>'MASTER STOCK'!F301</f>
        <v>Benang ris  sedang</v>
      </c>
      <c r="B304" s="30">
        <f>'MASTER STOCK'!G301</f>
        <v>4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23">
        <f t="shared" si="3"/>
        <v>0</v>
      </c>
      <c r="AI304" s="31">
        <f t="shared" si="4"/>
        <v>4</v>
      </c>
      <c r="AJ304" s="32">
        <f t="shared" si="5"/>
        <v>4</v>
      </c>
      <c r="AK304" s="32">
        <f t="shared" si="6"/>
        <v>0</v>
      </c>
      <c r="AL304" s="25">
        <f>'MASTER STOCK'!I301</f>
        <v>5000</v>
      </c>
      <c r="AM304" s="26">
        <f>'MASTER STOCK'!L301</f>
        <v>5000</v>
      </c>
      <c r="AN304" s="27">
        <f t="shared" si="7"/>
        <v>0</v>
      </c>
      <c r="AO304" s="26">
        <f t="shared" si="8"/>
        <v>0</v>
      </c>
      <c r="AP304" s="10"/>
    </row>
    <row r="305">
      <c r="A305" s="29" t="str">
        <f>'MASTER STOCK'!F302</f>
        <v>Jepitan Udang grendel</v>
      </c>
      <c r="B305" s="30">
        <f>'MASTER STOCK'!G302</f>
        <v>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23">
        <f t="shared" si="3"/>
        <v>0</v>
      </c>
      <c r="AI305" s="31">
        <f t="shared" si="4"/>
        <v>1</v>
      </c>
      <c r="AJ305" s="32">
        <f t="shared" si="5"/>
        <v>1</v>
      </c>
      <c r="AK305" s="32">
        <f t="shared" si="6"/>
        <v>0</v>
      </c>
      <c r="AL305" s="25">
        <f>'MASTER STOCK'!I302</f>
        <v>0</v>
      </c>
      <c r="AM305" s="26">
        <f>'MASTER STOCK'!L302</f>
        <v>0</v>
      </c>
      <c r="AN305" s="27">
        <f t="shared" si="7"/>
        <v>0</v>
      </c>
      <c r="AO305" s="26">
        <f t="shared" si="8"/>
        <v>0</v>
      </c>
      <c r="AP305" s="10"/>
    </row>
    <row r="306">
      <c r="A306" s="29" t="str">
        <f>'MASTER STOCK'!F303</f>
        <v>Cengkal jendela panjang lurus</v>
      </c>
      <c r="B306" s="30">
        <f>'MASTER STOCK'!G303</f>
        <v>4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23">
        <f t="shared" si="3"/>
        <v>0</v>
      </c>
      <c r="AI306" s="31">
        <f t="shared" si="4"/>
        <v>4</v>
      </c>
      <c r="AJ306" s="32">
        <f t="shared" si="5"/>
        <v>4</v>
      </c>
      <c r="AK306" s="32">
        <f t="shared" si="6"/>
        <v>0</v>
      </c>
      <c r="AL306" s="25">
        <f>'MASTER STOCK'!I303</f>
        <v>11000</v>
      </c>
      <c r="AM306" s="26">
        <f>'MASTER STOCK'!L303</f>
        <v>11000</v>
      </c>
      <c r="AN306" s="27">
        <f t="shared" si="7"/>
        <v>0</v>
      </c>
      <c r="AO306" s="26">
        <f t="shared" si="8"/>
        <v>0</v>
      </c>
      <c r="AP306" s="10"/>
    </row>
    <row r="307">
      <c r="A307" s="29" t="str">
        <f>'MASTER STOCK'!F304</f>
        <v>Gagang Pintu</v>
      </c>
      <c r="B307" s="30">
        <f>'MASTER STOCK'!G304</f>
        <v>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23">
        <f t="shared" si="3"/>
        <v>0</v>
      </c>
      <c r="AI307" s="31">
        <f t="shared" si="4"/>
        <v>1</v>
      </c>
      <c r="AJ307" s="32">
        <f t="shared" si="5"/>
        <v>1</v>
      </c>
      <c r="AK307" s="32">
        <f t="shared" si="6"/>
        <v>0</v>
      </c>
      <c r="AL307" s="25">
        <f>'MASTER STOCK'!I304</f>
        <v>18000</v>
      </c>
      <c r="AM307" s="26">
        <f>'MASTER STOCK'!L304</f>
        <v>18000</v>
      </c>
      <c r="AN307" s="27">
        <f t="shared" si="7"/>
        <v>0</v>
      </c>
      <c r="AO307" s="26">
        <f t="shared" si="8"/>
        <v>0</v>
      </c>
      <c r="AP307" s="10"/>
    </row>
    <row r="308">
      <c r="A308" s="29" t="str">
        <f>'MASTER STOCK'!F305</f>
        <v>Sekrup  3cm</v>
      </c>
      <c r="B308" s="30">
        <f>'MASTER STOCK'!G305</f>
        <v>20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23">
        <f t="shared" si="3"/>
        <v>0</v>
      </c>
      <c r="AI308" s="31">
        <f t="shared" si="4"/>
        <v>20</v>
      </c>
      <c r="AJ308" s="32">
        <f t="shared" si="5"/>
        <v>20</v>
      </c>
      <c r="AK308" s="32">
        <f t="shared" si="6"/>
        <v>0</v>
      </c>
      <c r="AL308" s="25">
        <f>'MASTER STOCK'!I305</f>
        <v>0</v>
      </c>
      <c r="AM308" s="26">
        <f>'MASTER STOCK'!L305</f>
        <v>0</v>
      </c>
      <c r="AN308" s="27">
        <f t="shared" si="7"/>
        <v>0</v>
      </c>
      <c r="AO308" s="26">
        <f t="shared" si="8"/>
        <v>0</v>
      </c>
      <c r="AP308" s="10"/>
    </row>
    <row r="309">
      <c r="A309" s="29" t="str">
        <f>'MASTER STOCK'!F306</f>
        <v>Sekrup  2.5</v>
      </c>
      <c r="B309" s="30">
        <f>'MASTER STOCK'!G306</f>
        <v>10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23">
        <f t="shared" si="3"/>
        <v>0</v>
      </c>
      <c r="AI309" s="31">
        <f t="shared" si="4"/>
        <v>10</v>
      </c>
      <c r="AJ309" s="32">
        <f t="shared" si="5"/>
        <v>10</v>
      </c>
      <c r="AK309" s="32">
        <f t="shared" si="6"/>
        <v>0</v>
      </c>
      <c r="AL309" s="25">
        <f>'MASTER STOCK'!I306</f>
        <v>0</v>
      </c>
      <c r="AM309" s="26">
        <f>'MASTER STOCK'!L306</f>
        <v>0</v>
      </c>
      <c r="AN309" s="27">
        <f t="shared" si="7"/>
        <v>0</v>
      </c>
      <c r="AO309" s="26">
        <f t="shared" si="8"/>
        <v>0</v>
      </c>
      <c r="AP309" s="10"/>
    </row>
    <row r="310">
      <c r="A310" s="29" t="str">
        <f>'MASTER STOCK'!F307</f>
        <v>Roda etalase</v>
      </c>
      <c r="B310" s="30">
        <f>'MASTER STOCK'!G307</f>
        <v>4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23">
        <f t="shared" si="3"/>
        <v>0</v>
      </c>
      <c r="AI310" s="31">
        <f t="shared" si="4"/>
        <v>4</v>
      </c>
      <c r="AJ310" s="32">
        <f t="shared" si="5"/>
        <v>4</v>
      </c>
      <c r="AK310" s="32">
        <f t="shared" si="6"/>
        <v>0</v>
      </c>
      <c r="AL310" s="25">
        <f>'MASTER STOCK'!I307</f>
        <v>35000</v>
      </c>
      <c r="AM310" s="26">
        <f>'MASTER STOCK'!L307</f>
        <v>35000</v>
      </c>
      <c r="AN310" s="27">
        <f t="shared" si="7"/>
        <v>0</v>
      </c>
      <c r="AO310" s="26">
        <f t="shared" si="8"/>
        <v>0</v>
      </c>
      <c r="AP310" s="10"/>
    </row>
    <row r="311">
      <c r="A311" s="29" t="str">
        <f>'MASTER STOCK'!F308</f>
        <v>Gagang pintu besi  besar</v>
      </c>
      <c r="B311" s="30">
        <f>'MASTER STOCK'!G308</f>
        <v>7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23">
        <f t="shared" si="3"/>
        <v>0</v>
      </c>
      <c r="AI311" s="31">
        <f t="shared" si="4"/>
        <v>7</v>
      </c>
      <c r="AJ311" s="32">
        <f t="shared" si="5"/>
        <v>7</v>
      </c>
      <c r="AK311" s="32">
        <f t="shared" si="6"/>
        <v>0</v>
      </c>
      <c r="AL311" s="25">
        <f>'MASTER STOCK'!I308</f>
        <v>4500</v>
      </c>
      <c r="AM311" s="26">
        <f>'MASTER STOCK'!L308</f>
        <v>4500</v>
      </c>
      <c r="AN311" s="27">
        <f t="shared" si="7"/>
        <v>0</v>
      </c>
      <c r="AO311" s="26">
        <f t="shared" si="8"/>
        <v>0</v>
      </c>
      <c r="AP311" s="10"/>
    </row>
    <row r="312">
      <c r="A312" s="29" t="str">
        <f>'MASTER STOCK'!F309</f>
        <v>Gagang pintu besi  Kecil</v>
      </c>
      <c r="B312" s="30">
        <f>'MASTER STOCK'!G309</f>
        <v>2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23">
        <f t="shared" si="3"/>
        <v>0</v>
      </c>
      <c r="AI312" s="31">
        <f t="shared" si="4"/>
        <v>2</v>
      </c>
      <c r="AJ312" s="32">
        <f t="shared" si="5"/>
        <v>2</v>
      </c>
      <c r="AK312" s="32">
        <f t="shared" si="6"/>
        <v>0</v>
      </c>
      <c r="AL312" s="25">
        <f>'MASTER STOCK'!I309</f>
        <v>2000</v>
      </c>
      <c r="AM312" s="26">
        <f>'MASTER STOCK'!L309</f>
        <v>2000</v>
      </c>
      <c r="AN312" s="27">
        <f t="shared" si="7"/>
        <v>0</v>
      </c>
      <c r="AO312" s="26">
        <f t="shared" si="8"/>
        <v>0</v>
      </c>
      <c r="AP312" s="10"/>
    </row>
    <row r="313">
      <c r="A313" s="29" t="str">
        <f>'MASTER STOCK'!F310</f>
        <v>Sekrup  6 x 1</v>
      </c>
      <c r="B313" s="30">
        <f>'MASTER STOCK'!G310</f>
        <v>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23">
        <f t="shared" si="3"/>
        <v>0</v>
      </c>
      <c r="AI313" s="31">
        <f t="shared" si="4"/>
        <v>1</v>
      </c>
      <c r="AJ313" s="32">
        <f t="shared" si="5"/>
        <v>1</v>
      </c>
      <c r="AK313" s="32">
        <f t="shared" si="6"/>
        <v>0</v>
      </c>
      <c r="AL313" s="25">
        <f>'MASTER STOCK'!I310</f>
        <v>0</v>
      </c>
      <c r="AM313" s="26">
        <f>'MASTER STOCK'!L310</f>
        <v>0</v>
      </c>
      <c r="AN313" s="27">
        <f t="shared" si="7"/>
        <v>0</v>
      </c>
      <c r="AO313" s="26">
        <f t="shared" si="8"/>
        <v>0</v>
      </c>
      <c r="AP313" s="10"/>
    </row>
    <row r="314">
      <c r="A314" s="29" t="str">
        <f>'MASTER STOCK'!F311</f>
        <v>Klem kabel  8 mm</v>
      </c>
      <c r="B314" s="30">
        <f>'MASTER STOCK'!G311</f>
        <v>4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23">
        <f t="shared" si="3"/>
        <v>0</v>
      </c>
      <c r="AI314" s="31">
        <f t="shared" si="4"/>
        <v>4</v>
      </c>
      <c r="AJ314" s="32">
        <f t="shared" si="5"/>
        <v>4</v>
      </c>
      <c r="AK314" s="32">
        <f t="shared" si="6"/>
        <v>0</v>
      </c>
      <c r="AL314" s="25">
        <f>'MASTER STOCK'!I311</f>
        <v>14000</v>
      </c>
      <c r="AM314" s="26">
        <f>'MASTER STOCK'!L311</f>
        <v>14000</v>
      </c>
      <c r="AN314" s="27">
        <f t="shared" si="7"/>
        <v>0</v>
      </c>
      <c r="AO314" s="26">
        <f t="shared" si="8"/>
        <v>0</v>
      </c>
      <c r="AP314" s="10"/>
    </row>
    <row r="315">
      <c r="A315" s="29" t="str">
        <f>'MASTER STOCK'!F312</f>
        <v>Klem kabel  9 mm</v>
      </c>
      <c r="B315" s="30">
        <f>'MASTER STOCK'!G312</f>
        <v>2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23">
        <f t="shared" si="3"/>
        <v>0</v>
      </c>
      <c r="AI315" s="31">
        <f t="shared" si="4"/>
        <v>2</v>
      </c>
      <c r="AJ315" s="32">
        <f t="shared" si="5"/>
        <v>2</v>
      </c>
      <c r="AK315" s="32">
        <f t="shared" si="6"/>
        <v>0</v>
      </c>
      <c r="AL315" s="25">
        <f>'MASTER STOCK'!I312</f>
        <v>14000</v>
      </c>
      <c r="AM315" s="26">
        <f>'MASTER STOCK'!L312</f>
        <v>14000</v>
      </c>
      <c r="AN315" s="27">
        <f t="shared" si="7"/>
        <v>0</v>
      </c>
      <c r="AO315" s="26">
        <f t="shared" si="8"/>
        <v>0</v>
      </c>
      <c r="AP315" s="10"/>
    </row>
    <row r="316">
      <c r="A316" s="29" t="str">
        <f>'MASTER STOCK'!F313</f>
        <v>Fishcer 8 mm</v>
      </c>
      <c r="B316" s="30">
        <f>'MASTER STOCK'!G313</f>
        <v>4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23">
        <f t="shared" si="3"/>
        <v>0</v>
      </c>
      <c r="AI316" s="31">
        <f t="shared" si="4"/>
        <v>4</v>
      </c>
      <c r="AJ316" s="32">
        <f t="shared" si="5"/>
        <v>4</v>
      </c>
      <c r="AK316" s="32">
        <f t="shared" si="6"/>
        <v>0</v>
      </c>
      <c r="AL316" s="25">
        <f>'MASTER STOCK'!I313</f>
        <v>15000</v>
      </c>
      <c r="AM316" s="26">
        <f>'MASTER STOCK'!L313</f>
        <v>15000</v>
      </c>
      <c r="AN316" s="27">
        <f t="shared" si="7"/>
        <v>0</v>
      </c>
      <c r="AO316" s="26">
        <f t="shared" si="8"/>
        <v>0</v>
      </c>
      <c r="AP316" s="10"/>
    </row>
    <row r="317">
      <c r="A317" s="29" t="str">
        <f>'MASTER STOCK'!F314</f>
        <v>Fishcer 5 mm</v>
      </c>
      <c r="B317" s="30">
        <f>'MASTER STOCK'!G314</f>
        <v>3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23">
        <f t="shared" si="3"/>
        <v>0</v>
      </c>
      <c r="AI317" s="31">
        <f t="shared" si="4"/>
        <v>3</v>
      </c>
      <c r="AJ317" s="32">
        <f t="shared" si="5"/>
        <v>3</v>
      </c>
      <c r="AK317" s="32">
        <f t="shared" si="6"/>
        <v>0</v>
      </c>
      <c r="AL317" s="25">
        <f>'MASTER STOCK'!I314</f>
        <v>10000</v>
      </c>
      <c r="AM317" s="26">
        <f>'MASTER STOCK'!L314</f>
        <v>10000</v>
      </c>
      <c r="AN317" s="27">
        <f t="shared" si="7"/>
        <v>0</v>
      </c>
      <c r="AO317" s="26">
        <f t="shared" si="8"/>
        <v>0</v>
      </c>
      <c r="AP317" s="10"/>
    </row>
    <row r="318">
      <c r="A318" s="29" t="str">
        <f>'MASTER STOCK'!F315</f>
        <v>Kran besi 3/4</v>
      </c>
      <c r="B318" s="30">
        <f>'MASTER STOCK'!G315</f>
        <v>2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23">
        <f t="shared" si="3"/>
        <v>0</v>
      </c>
      <c r="AI318" s="31">
        <f t="shared" si="4"/>
        <v>2</v>
      </c>
      <c r="AJ318" s="32">
        <f t="shared" si="5"/>
        <v>2</v>
      </c>
      <c r="AK318" s="32">
        <f t="shared" si="6"/>
        <v>0</v>
      </c>
      <c r="AL318" s="25">
        <f>'MASTER STOCK'!I315</f>
        <v>27500</v>
      </c>
      <c r="AM318" s="26">
        <f>'MASTER STOCK'!L315</f>
        <v>27500</v>
      </c>
      <c r="AN318" s="27">
        <f t="shared" si="7"/>
        <v>0</v>
      </c>
      <c r="AO318" s="26">
        <f t="shared" si="8"/>
        <v>0</v>
      </c>
      <c r="AP318" s="10"/>
    </row>
    <row r="319">
      <c r="A319" s="29" t="str">
        <f>'MASTER STOCK'!F316</f>
        <v>Gunting tanggung</v>
      </c>
      <c r="B319" s="30">
        <f>'MASTER STOCK'!G316</f>
        <v>2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23">
        <f t="shared" si="3"/>
        <v>0</v>
      </c>
      <c r="AI319" s="31">
        <f t="shared" si="4"/>
        <v>2</v>
      </c>
      <c r="AJ319" s="32">
        <f t="shared" si="5"/>
        <v>2</v>
      </c>
      <c r="AK319" s="32">
        <f t="shared" si="6"/>
        <v>0</v>
      </c>
      <c r="AL319" s="25">
        <f>'MASTER STOCK'!I316</f>
        <v>10000</v>
      </c>
      <c r="AM319" s="26">
        <f>'MASTER STOCK'!L316</f>
        <v>10000</v>
      </c>
      <c r="AN319" s="27">
        <f t="shared" si="7"/>
        <v>0</v>
      </c>
      <c r="AO319" s="26">
        <f t="shared" si="8"/>
        <v>0</v>
      </c>
      <c r="AP319" s="10"/>
    </row>
    <row r="320">
      <c r="A320" s="29" t="str">
        <f>'MASTER STOCK'!F317</f>
        <v>Stop kran PVC onda 3/4</v>
      </c>
      <c r="B320" s="30">
        <f>'MASTER STOCK'!G317</f>
        <v>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23">
        <f t="shared" si="3"/>
        <v>0</v>
      </c>
      <c r="AI320" s="31">
        <f t="shared" si="4"/>
        <v>1</v>
      </c>
      <c r="AJ320" s="32">
        <f t="shared" si="5"/>
        <v>1</v>
      </c>
      <c r="AK320" s="32">
        <f t="shared" si="6"/>
        <v>0</v>
      </c>
      <c r="AL320" s="25">
        <f>'MASTER STOCK'!I317</f>
        <v>31000</v>
      </c>
      <c r="AM320" s="26">
        <f>'MASTER STOCK'!L317</f>
        <v>31000</v>
      </c>
      <c r="AN320" s="27">
        <f t="shared" si="7"/>
        <v>0</v>
      </c>
      <c r="AO320" s="26">
        <f t="shared" si="8"/>
        <v>0</v>
      </c>
      <c r="AP320" s="10"/>
    </row>
    <row r="321">
      <c r="A321" s="29" t="str">
        <f>'MASTER STOCK'!F318</f>
        <v>Stop kran PVC move 1/2</v>
      </c>
      <c r="B321" s="30">
        <f>'MASTER STOCK'!G318</f>
        <v>3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23">
        <f t="shared" si="3"/>
        <v>0</v>
      </c>
      <c r="AI321" s="31">
        <f t="shared" si="4"/>
        <v>3</v>
      </c>
      <c r="AJ321" s="32">
        <f t="shared" si="5"/>
        <v>3</v>
      </c>
      <c r="AK321" s="32">
        <f t="shared" si="6"/>
        <v>0</v>
      </c>
      <c r="AL321" s="25">
        <f>'MASTER STOCK'!I318</f>
        <v>21000</v>
      </c>
      <c r="AM321" s="26">
        <f>'MASTER STOCK'!L318</f>
        <v>21000</v>
      </c>
      <c r="AN321" s="27">
        <f t="shared" si="7"/>
        <v>0</v>
      </c>
      <c r="AO321" s="26">
        <f t="shared" si="8"/>
        <v>0</v>
      </c>
      <c r="AP321" s="10"/>
    </row>
    <row r="322">
      <c r="A322" s="29" t="str">
        <f>'MASTER STOCK'!F319</f>
        <v>Ungkal</v>
      </c>
      <c r="B322" s="30">
        <f>'MASTER STOCK'!G319</f>
        <v>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23">
        <f t="shared" si="3"/>
        <v>0</v>
      </c>
      <c r="AI322" s="31">
        <f t="shared" si="4"/>
        <v>1</v>
      </c>
      <c r="AJ322" s="32">
        <f t="shared" si="5"/>
        <v>1</v>
      </c>
      <c r="AK322" s="32">
        <f t="shared" si="6"/>
        <v>0</v>
      </c>
      <c r="AL322" s="25">
        <f>'MASTER STOCK'!I319</f>
        <v>22500</v>
      </c>
      <c r="AM322" s="26">
        <f>'MASTER STOCK'!L319</f>
        <v>22500</v>
      </c>
      <c r="AN322" s="27">
        <f t="shared" si="7"/>
        <v>0</v>
      </c>
      <c r="AO322" s="26">
        <f t="shared" si="8"/>
        <v>0</v>
      </c>
      <c r="AP322" s="10"/>
    </row>
    <row r="323">
      <c r="A323" s="29" t="str">
        <f>'MASTER STOCK'!F320</f>
        <v>Stop kran PVC jia rong 1</v>
      </c>
      <c r="B323" s="30">
        <f>'MASTER STOCK'!G320</f>
        <v>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23">
        <f t="shared" si="3"/>
        <v>0</v>
      </c>
      <c r="AI323" s="31">
        <f t="shared" si="4"/>
        <v>1</v>
      </c>
      <c r="AJ323" s="32">
        <f t="shared" si="5"/>
        <v>1</v>
      </c>
      <c r="AK323" s="32">
        <f t="shared" si="6"/>
        <v>0</v>
      </c>
      <c r="AL323" s="25">
        <f>'MASTER STOCK'!I320</f>
        <v>28500</v>
      </c>
      <c r="AM323" s="26">
        <f>'MASTER STOCK'!L320</f>
        <v>28500</v>
      </c>
      <c r="AN323" s="27">
        <f t="shared" si="7"/>
        <v>0</v>
      </c>
      <c r="AO323" s="26">
        <f t="shared" si="8"/>
        <v>0</v>
      </c>
      <c r="AP323" s="10"/>
    </row>
    <row r="324">
      <c r="A324" s="29" t="str">
        <f>'MASTER STOCK'!F321</f>
        <v>Stop kran move 1</v>
      </c>
      <c r="B324" s="30">
        <f>'MASTER STOCK'!G321</f>
        <v>2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23">
        <f t="shared" si="3"/>
        <v>0</v>
      </c>
      <c r="AI324" s="31">
        <f t="shared" si="4"/>
        <v>2</v>
      </c>
      <c r="AJ324" s="32">
        <f t="shared" si="5"/>
        <v>2</v>
      </c>
      <c r="AK324" s="32">
        <f t="shared" si="6"/>
        <v>0</v>
      </c>
      <c r="AL324" s="25">
        <f>'MASTER STOCK'!I321</f>
        <v>21000</v>
      </c>
      <c r="AM324" s="26">
        <f>'MASTER STOCK'!L321</f>
        <v>21000</v>
      </c>
      <c r="AN324" s="27">
        <f t="shared" si="7"/>
        <v>0</v>
      </c>
      <c r="AO324" s="26">
        <f t="shared" si="8"/>
        <v>0</v>
      </c>
      <c r="AP324" s="10"/>
    </row>
    <row r="325">
      <c r="A325" s="29" t="str">
        <f>'MASTER STOCK'!F322</f>
        <v>Pegangan laci/ lemari  3</v>
      </c>
      <c r="B325" s="30">
        <f>'MASTER STOCK'!G322</f>
        <v>21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23">
        <f t="shared" si="3"/>
        <v>0</v>
      </c>
      <c r="AI325" s="31">
        <f t="shared" si="4"/>
        <v>21</v>
      </c>
      <c r="AJ325" s="32">
        <f t="shared" si="5"/>
        <v>21</v>
      </c>
      <c r="AK325" s="32">
        <f t="shared" si="6"/>
        <v>0</v>
      </c>
      <c r="AL325" s="25">
        <f>'MASTER STOCK'!I322</f>
        <v>1500</v>
      </c>
      <c r="AM325" s="26">
        <f>'MASTER STOCK'!L322</f>
        <v>1500</v>
      </c>
      <c r="AN325" s="27">
        <f t="shared" si="7"/>
        <v>0</v>
      </c>
      <c r="AO325" s="26">
        <f t="shared" si="8"/>
        <v>0</v>
      </c>
      <c r="AP325" s="10"/>
    </row>
    <row r="326">
      <c r="A326" s="29" t="str">
        <f>'MASTER STOCK'!F323</f>
        <v>Pegangan laci/ lemari  4</v>
      </c>
      <c r="B326" s="30">
        <f>'MASTER STOCK'!G323</f>
        <v>5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23">
        <f t="shared" si="3"/>
        <v>0</v>
      </c>
      <c r="AI326" s="31">
        <f t="shared" si="4"/>
        <v>5</v>
      </c>
      <c r="AJ326" s="32">
        <f t="shared" si="5"/>
        <v>5</v>
      </c>
      <c r="AK326" s="32">
        <f t="shared" si="6"/>
        <v>0</v>
      </c>
      <c r="AL326" s="25">
        <f>'MASTER STOCK'!I323</f>
        <v>2000</v>
      </c>
      <c r="AM326" s="26">
        <f>'MASTER STOCK'!L323</f>
        <v>2000</v>
      </c>
      <c r="AN326" s="27">
        <f t="shared" si="7"/>
        <v>0</v>
      </c>
      <c r="AO326" s="26">
        <f t="shared" si="8"/>
        <v>0</v>
      </c>
      <c r="AP326" s="10"/>
    </row>
    <row r="327">
      <c r="A327" s="29" t="str">
        <f>'MASTER STOCK'!F324</f>
        <v>cutter besar</v>
      </c>
      <c r="B327" s="30">
        <f>'MASTER STOCK'!G324</f>
        <v>3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23">
        <f t="shared" si="3"/>
        <v>0</v>
      </c>
      <c r="AI327" s="31">
        <f t="shared" si="4"/>
        <v>3</v>
      </c>
      <c r="AJ327" s="32">
        <f t="shared" si="5"/>
        <v>3</v>
      </c>
      <c r="AK327" s="32">
        <f t="shared" si="6"/>
        <v>0</v>
      </c>
      <c r="AL327" s="25">
        <f>'MASTER STOCK'!I324</f>
        <v>5000</v>
      </c>
      <c r="AM327" s="26">
        <f>'MASTER STOCK'!L324</f>
        <v>5000</v>
      </c>
      <c r="AN327" s="27">
        <f t="shared" si="7"/>
        <v>0</v>
      </c>
      <c r="AO327" s="26">
        <f t="shared" si="8"/>
        <v>0</v>
      </c>
      <c r="AP327" s="10"/>
    </row>
    <row r="328">
      <c r="A328" s="29" t="str">
        <f>'MASTER STOCK'!F325</f>
        <v>Paku beton 1</v>
      </c>
      <c r="B328" s="30">
        <f>'MASTER STOCK'!G325</f>
        <v>2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23">
        <f t="shared" si="3"/>
        <v>0</v>
      </c>
      <c r="AI328" s="31">
        <f t="shared" si="4"/>
        <v>2</v>
      </c>
      <c r="AJ328" s="32">
        <f t="shared" si="5"/>
        <v>2</v>
      </c>
      <c r="AK328" s="32">
        <f t="shared" si="6"/>
        <v>0</v>
      </c>
      <c r="AL328" s="25">
        <f>'MASTER STOCK'!I325</f>
        <v>14000</v>
      </c>
      <c r="AM328" s="26">
        <f>'MASTER STOCK'!L325</f>
        <v>14000</v>
      </c>
      <c r="AN328" s="27">
        <f t="shared" si="7"/>
        <v>0</v>
      </c>
      <c r="AO328" s="26">
        <f t="shared" si="8"/>
        <v>0</v>
      </c>
      <c r="AP328" s="10"/>
    </row>
    <row r="329">
      <c r="A329" s="29" t="str">
        <f>'MASTER STOCK'!F326</f>
        <v>Footklem PVC 1 royal 3/4</v>
      </c>
      <c r="B329" s="30">
        <f>'MASTER STOCK'!G326</f>
        <v>2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23">
        <f t="shared" si="3"/>
        <v>0</v>
      </c>
      <c r="AI329" s="31">
        <f t="shared" si="4"/>
        <v>2</v>
      </c>
      <c r="AJ329" s="32">
        <f t="shared" si="5"/>
        <v>2</v>
      </c>
      <c r="AK329" s="32">
        <f t="shared" si="6"/>
        <v>0</v>
      </c>
      <c r="AL329" s="25">
        <f>'MASTER STOCK'!I326</f>
        <v>16500</v>
      </c>
      <c r="AM329" s="26">
        <f>'MASTER STOCK'!L326</f>
        <v>16500</v>
      </c>
      <c r="AN329" s="27">
        <f t="shared" si="7"/>
        <v>0</v>
      </c>
      <c r="AO329" s="26">
        <f t="shared" si="8"/>
        <v>0</v>
      </c>
      <c r="AP329" s="10"/>
    </row>
    <row r="330">
      <c r="A330" s="29" t="str">
        <f>'MASTER STOCK'!F327</f>
        <v>Footklem PVC 1 royal 1</v>
      </c>
      <c r="B330" s="30">
        <f>'MASTER STOCK'!G327</f>
        <v>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23">
        <f t="shared" si="3"/>
        <v>0</v>
      </c>
      <c r="AI330" s="31">
        <f t="shared" si="4"/>
        <v>1</v>
      </c>
      <c r="AJ330" s="32">
        <f t="shared" si="5"/>
        <v>1</v>
      </c>
      <c r="AK330" s="32">
        <f t="shared" si="6"/>
        <v>0</v>
      </c>
      <c r="AL330" s="25">
        <f>'MASTER STOCK'!I327</f>
        <v>17000</v>
      </c>
      <c r="AM330" s="26">
        <f>'MASTER STOCK'!L327</f>
        <v>17000</v>
      </c>
      <c r="AN330" s="27">
        <f t="shared" si="7"/>
        <v>0</v>
      </c>
      <c r="AO330" s="26">
        <f t="shared" si="8"/>
        <v>0</v>
      </c>
      <c r="AP330" s="10"/>
    </row>
    <row r="331">
      <c r="A331" s="29" t="str">
        <f>'MASTER STOCK'!F328</f>
        <v>Tinner 1/2liter</v>
      </c>
      <c r="B331" s="30">
        <f>'MASTER STOCK'!G328</f>
        <v>3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23">
        <f t="shared" si="3"/>
        <v>0</v>
      </c>
      <c r="AI331" s="31">
        <f t="shared" si="4"/>
        <v>3</v>
      </c>
      <c r="AJ331" s="32">
        <f t="shared" si="5"/>
        <v>3</v>
      </c>
      <c r="AK331" s="32">
        <f t="shared" si="6"/>
        <v>0</v>
      </c>
      <c r="AL331" s="25">
        <f>'MASTER STOCK'!I328</f>
        <v>20000</v>
      </c>
      <c r="AM331" s="26">
        <f>'MASTER STOCK'!L328</f>
        <v>20000</v>
      </c>
      <c r="AN331" s="27">
        <f t="shared" si="7"/>
        <v>0</v>
      </c>
      <c r="AO331" s="26">
        <f t="shared" si="8"/>
        <v>0</v>
      </c>
      <c r="AP331" s="10"/>
    </row>
    <row r="332">
      <c r="A332" s="29" t="str">
        <f>'MASTER STOCK'!F329</f>
        <v>Cat emco</v>
      </c>
      <c r="B332" s="30">
        <f>'MASTER STOCK'!G329</f>
        <v>3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23">
        <f t="shared" si="3"/>
        <v>0</v>
      </c>
      <c r="AI332" s="31">
        <f t="shared" si="4"/>
        <v>3</v>
      </c>
      <c r="AJ332" s="32">
        <f t="shared" si="5"/>
        <v>3</v>
      </c>
      <c r="AK332" s="32">
        <f t="shared" si="6"/>
        <v>0</v>
      </c>
      <c r="AL332" s="25">
        <f>'MASTER STOCK'!I329</f>
        <v>22000</v>
      </c>
      <c r="AM332" s="26">
        <f>'MASTER STOCK'!L329</f>
        <v>22000</v>
      </c>
      <c r="AN332" s="27">
        <f t="shared" si="7"/>
        <v>0</v>
      </c>
      <c r="AO332" s="26">
        <f t="shared" si="8"/>
        <v>0</v>
      </c>
      <c r="AP332" s="10"/>
    </row>
    <row r="333">
      <c r="A333" s="29" t="str">
        <f>'MASTER STOCK'!F330</f>
        <v>Cat kayu avian 25cc</v>
      </c>
      <c r="B333" s="30">
        <f>'MASTER STOCK'!G330</f>
        <v>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23">
        <f t="shared" si="3"/>
        <v>0</v>
      </c>
      <c r="AI333" s="31">
        <f t="shared" si="4"/>
        <v>1</v>
      </c>
      <c r="AJ333" s="32">
        <f t="shared" si="5"/>
        <v>1</v>
      </c>
      <c r="AK333" s="32">
        <f t="shared" si="6"/>
        <v>0</v>
      </c>
      <c r="AL333" s="25">
        <f>'MASTER STOCK'!I330</f>
        <v>5500</v>
      </c>
      <c r="AM333" s="26">
        <f>'MASTER STOCK'!L330</f>
        <v>5500</v>
      </c>
      <c r="AN333" s="27">
        <f t="shared" si="7"/>
        <v>0</v>
      </c>
      <c r="AO333" s="26">
        <f t="shared" si="8"/>
        <v>0</v>
      </c>
      <c r="AP333" s="10"/>
    </row>
    <row r="334">
      <c r="A334" s="29" t="str">
        <f>'MASTER STOCK'!F331</f>
        <v>Engsel Pintu</v>
      </c>
      <c r="B334" s="30">
        <f>'MASTER STOCK'!G331</f>
        <v>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23">
        <f t="shared" si="3"/>
        <v>0</v>
      </c>
      <c r="AI334" s="31">
        <f t="shared" si="4"/>
        <v>1</v>
      </c>
      <c r="AJ334" s="32">
        <f t="shared" si="5"/>
        <v>1</v>
      </c>
      <c r="AK334" s="32">
        <f t="shared" si="6"/>
        <v>0</v>
      </c>
      <c r="AL334" s="25">
        <f>'MASTER STOCK'!I331</f>
        <v>23000</v>
      </c>
      <c r="AM334" s="26">
        <f>'MASTER STOCK'!L331</f>
        <v>23000</v>
      </c>
      <c r="AN334" s="27">
        <f t="shared" si="7"/>
        <v>0</v>
      </c>
      <c r="AO334" s="26">
        <f t="shared" si="8"/>
        <v>0</v>
      </c>
      <c r="AP334" s="10"/>
    </row>
    <row r="335">
      <c r="A335" s="29" t="str">
        <f>'MASTER STOCK'!F332</f>
        <v>Lem tikus</v>
      </c>
      <c r="B335" s="30">
        <f>'MASTER STOCK'!G332</f>
        <v>2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23">
        <f t="shared" si="3"/>
        <v>0</v>
      </c>
      <c r="AI335" s="31">
        <f t="shared" si="4"/>
        <v>2</v>
      </c>
      <c r="AJ335" s="32">
        <f t="shared" si="5"/>
        <v>2</v>
      </c>
      <c r="AK335" s="32">
        <f t="shared" si="6"/>
        <v>0</v>
      </c>
      <c r="AL335" s="25">
        <f>'MASTER STOCK'!I332</f>
        <v>21000</v>
      </c>
      <c r="AM335" s="26">
        <f>'MASTER STOCK'!L332</f>
        <v>21000</v>
      </c>
      <c r="AN335" s="27">
        <f t="shared" si="7"/>
        <v>0</v>
      </c>
      <c r="AO335" s="26">
        <f t="shared" si="8"/>
        <v>0</v>
      </c>
      <c r="AP335" s="10"/>
    </row>
    <row r="336">
      <c r="A336" s="29" t="str">
        <f>'MASTER STOCK'!F333</f>
        <v>Catut 6"</v>
      </c>
      <c r="B336" s="30">
        <f>'MASTER STOCK'!G333</f>
        <v>6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23">
        <f t="shared" si="3"/>
        <v>0</v>
      </c>
      <c r="AI336" s="31">
        <f t="shared" si="4"/>
        <v>6</v>
      </c>
      <c r="AJ336" s="32">
        <f t="shared" si="5"/>
        <v>6</v>
      </c>
      <c r="AK336" s="32">
        <f t="shared" si="6"/>
        <v>0</v>
      </c>
      <c r="AL336" s="25">
        <f>'MASTER STOCK'!I333</f>
        <v>15000</v>
      </c>
      <c r="AM336" s="26">
        <f>'MASTER STOCK'!L333</f>
        <v>15000</v>
      </c>
      <c r="AN336" s="27">
        <f t="shared" si="7"/>
        <v>0</v>
      </c>
      <c r="AO336" s="26">
        <f t="shared" si="8"/>
        <v>0</v>
      </c>
      <c r="AP336" s="10"/>
    </row>
    <row r="337">
      <c r="A337" s="29" t="str">
        <f>'MASTER STOCK'!F334</f>
        <v>Catut 9"</v>
      </c>
      <c r="B337" s="30">
        <f>'MASTER STOCK'!G334</f>
        <v>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23">
        <f t="shared" si="3"/>
        <v>0</v>
      </c>
      <c r="AI337" s="31">
        <f t="shared" si="4"/>
        <v>1</v>
      </c>
      <c r="AJ337" s="32">
        <f t="shared" si="5"/>
        <v>1</v>
      </c>
      <c r="AK337" s="32">
        <f t="shared" si="6"/>
        <v>0</v>
      </c>
      <c r="AL337" s="25">
        <f>'MASTER STOCK'!I334</f>
        <v>17000</v>
      </c>
      <c r="AM337" s="26">
        <f>'MASTER STOCK'!L334</f>
        <v>17000</v>
      </c>
      <c r="AN337" s="27">
        <f t="shared" si="7"/>
        <v>0</v>
      </c>
      <c r="AO337" s="26">
        <f t="shared" si="8"/>
        <v>0</v>
      </c>
      <c r="AP337" s="10"/>
    </row>
    <row r="338">
      <c r="A338" s="29" t="str">
        <f>'MASTER STOCK'!F335</f>
        <v>Kunci  lemari/laci</v>
      </c>
      <c r="B338" s="30">
        <f>'MASTER STOCK'!G335</f>
        <v>10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23">
        <f t="shared" si="3"/>
        <v>0</v>
      </c>
      <c r="AI338" s="31">
        <f t="shared" si="4"/>
        <v>10</v>
      </c>
      <c r="AJ338" s="32">
        <f t="shared" si="5"/>
        <v>10</v>
      </c>
      <c r="AK338" s="32">
        <f t="shared" si="6"/>
        <v>0</v>
      </c>
      <c r="AL338" s="25">
        <f>'MASTER STOCK'!I335</f>
        <v>20000</v>
      </c>
      <c r="AM338" s="26">
        <f>'MASTER STOCK'!L335</f>
        <v>20000</v>
      </c>
      <c r="AN338" s="27">
        <f t="shared" si="7"/>
        <v>0</v>
      </c>
      <c r="AO338" s="26">
        <f t="shared" si="8"/>
        <v>0</v>
      </c>
      <c r="AP338" s="10"/>
    </row>
    <row r="339">
      <c r="A339" s="29" t="str">
        <f>'MASTER STOCK'!F336</f>
        <v>Microphone</v>
      </c>
      <c r="B339" s="30">
        <f>'MASTER STOCK'!G336</f>
        <v>3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23">
        <f t="shared" si="3"/>
        <v>0</v>
      </c>
      <c r="AI339" s="31">
        <f t="shared" si="4"/>
        <v>3</v>
      </c>
      <c r="AJ339" s="32">
        <f t="shared" si="5"/>
        <v>3</v>
      </c>
      <c r="AK339" s="32">
        <f t="shared" si="6"/>
        <v>0</v>
      </c>
      <c r="AL339" s="25">
        <f>'MASTER STOCK'!I336</f>
        <v>75000</v>
      </c>
      <c r="AM339" s="26">
        <f>'MASTER STOCK'!L336</f>
        <v>75000</v>
      </c>
      <c r="AN339" s="27">
        <f t="shared" si="7"/>
        <v>0</v>
      </c>
      <c r="AO339" s="26">
        <f t="shared" si="8"/>
        <v>0</v>
      </c>
      <c r="AP339" s="10"/>
    </row>
    <row r="340">
      <c r="A340" s="29" t="str">
        <f>'MASTER STOCK'!F337</f>
        <v>Isolasi kecil</v>
      </c>
      <c r="B340" s="30">
        <f>'MASTER STOCK'!G337</f>
        <v>2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23">
        <f t="shared" si="3"/>
        <v>0</v>
      </c>
      <c r="AI340" s="31">
        <f t="shared" si="4"/>
        <v>2</v>
      </c>
      <c r="AJ340" s="32">
        <f t="shared" si="5"/>
        <v>2</v>
      </c>
      <c r="AK340" s="32">
        <f t="shared" si="6"/>
        <v>0</v>
      </c>
      <c r="AL340" s="25">
        <f>'MASTER STOCK'!I337</f>
        <v>3000</v>
      </c>
      <c r="AM340" s="26">
        <f>'MASTER STOCK'!L337</f>
        <v>3000</v>
      </c>
      <c r="AN340" s="27">
        <f t="shared" si="7"/>
        <v>0</v>
      </c>
      <c r="AO340" s="26">
        <f t="shared" si="8"/>
        <v>0</v>
      </c>
      <c r="AP340" s="10"/>
    </row>
    <row r="341">
      <c r="A341" s="29" t="str">
        <f>'MASTER STOCK'!F338</f>
        <v>Lakban coklat</v>
      </c>
      <c r="B341" s="30">
        <f>'MASTER STOCK'!G338</f>
        <v>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23">
        <f t="shared" si="3"/>
        <v>0</v>
      </c>
      <c r="AI341" s="31">
        <f t="shared" si="4"/>
        <v>1</v>
      </c>
      <c r="AJ341" s="32">
        <f t="shared" si="5"/>
        <v>1</v>
      </c>
      <c r="AK341" s="32">
        <f t="shared" si="6"/>
        <v>0</v>
      </c>
      <c r="AL341" s="25">
        <f>'MASTER STOCK'!I338</f>
        <v>15000</v>
      </c>
      <c r="AM341" s="26">
        <f>'MASTER STOCK'!L338</f>
        <v>15000</v>
      </c>
      <c r="AN341" s="27">
        <f t="shared" si="7"/>
        <v>0</v>
      </c>
      <c r="AO341" s="26">
        <f t="shared" si="8"/>
        <v>0</v>
      </c>
      <c r="AP341" s="10"/>
    </row>
    <row r="342">
      <c r="A342" s="29" t="str">
        <f>'MASTER STOCK'!F339</f>
        <v>Fiberglass tape</v>
      </c>
      <c r="B342" s="30">
        <f>'MASTER STOCK'!G339</f>
        <v>5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23">
        <f t="shared" si="3"/>
        <v>0</v>
      </c>
      <c r="AI342" s="31">
        <f t="shared" si="4"/>
        <v>5</v>
      </c>
      <c r="AJ342" s="32">
        <f t="shared" si="5"/>
        <v>5</v>
      </c>
      <c r="AK342" s="32">
        <f t="shared" si="6"/>
        <v>0</v>
      </c>
      <c r="AL342" s="25">
        <f>'MASTER STOCK'!I339</f>
        <v>10000</v>
      </c>
      <c r="AM342" s="26">
        <f>'MASTER STOCK'!L339</f>
        <v>10000</v>
      </c>
      <c r="AN342" s="27">
        <f t="shared" si="7"/>
        <v>0</v>
      </c>
      <c r="AO342" s="26">
        <f t="shared" si="8"/>
        <v>0</v>
      </c>
      <c r="AP342" s="10"/>
    </row>
    <row r="343">
      <c r="A343" s="29" t="str">
        <f>'MASTER STOCK'!F340</f>
        <v>Gembok 40m</v>
      </c>
      <c r="B343" s="30">
        <f>'MASTER STOCK'!G340</f>
        <v>4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23">
        <f t="shared" si="3"/>
        <v>0</v>
      </c>
      <c r="AI343" s="31">
        <f t="shared" si="4"/>
        <v>4</v>
      </c>
      <c r="AJ343" s="32">
        <f t="shared" si="5"/>
        <v>4</v>
      </c>
      <c r="AK343" s="32">
        <f t="shared" si="6"/>
        <v>0</v>
      </c>
      <c r="AL343" s="25">
        <f>'MASTER STOCK'!I340</f>
        <v>18000</v>
      </c>
      <c r="AM343" s="26">
        <f>'MASTER STOCK'!L340</f>
        <v>18000</v>
      </c>
      <c r="AN343" s="27">
        <f t="shared" si="7"/>
        <v>0</v>
      </c>
      <c r="AO343" s="26">
        <f t="shared" si="8"/>
        <v>0</v>
      </c>
      <c r="AP343" s="10"/>
    </row>
    <row r="344">
      <c r="A344" s="29" t="str">
        <f>'MASTER STOCK'!F341</f>
        <v>Gembok 35 m</v>
      </c>
      <c r="B344" s="30">
        <f>'MASTER STOCK'!G341</f>
        <v>2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23">
        <f t="shared" si="3"/>
        <v>0</v>
      </c>
      <c r="AI344" s="31">
        <f t="shared" si="4"/>
        <v>2</v>
      </c>
      <c r="AJ344" s="32">
        <f t="shared" si="5"/>
        <v>2</v>
      </c>
      <c r="AK344" s="32">
        <f t="shared" si="6"/>
        <v>0</v>
      </c>
      <c r="AL344" s="25">
        <f>'MASTER STOCK'!I341</f>
        <v>15000</v>
      </c>
      <c r="AM344" s="26">
        <f>'MASTER STOCK'!L341</f>
        <v>15000</v>
      </c>
      <c r="AN344" s="27">
        <f t="shared" si="7"/>
        <v>0</v>
      </c>
      <c r="AO344" s="26">
        <f t="shared" si="8"/>
        <v>0</v>
      </c>
      <c r="AP344" s="10"/>
    </row>
    <row r="345">
      <c r="A345" s="29" t="str">
        <f>'MASTER STOCK'!F342</f>
        <v>Gembok 25mm</v>
      </c>
      <c r="B345" s="30">
        <f>'MASTER STOCK'!G342</f>
        <v>3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23">
        <f t="shared" si="3"/>
        <v>0</v>
      </c>
      <c r="AI345" s="31">
        <f t="shared" si="4"/>
        <v>3</v>
      </c>
      <c r="AJ345" s="32">
        <f t="shared" si="5"/>
        <v>3</v>
      </c>
      <c r="AK345" s="32">
        <f t="shared" si="6"/>
        <v>0</v>
      </c>
      <c r="AL345" s="25">
        <f>'MASTER STOCK'!I342</f>
        <v>13000</v>
      </c>
      <c r="AM345" s="26">
        <f>'MASTER STOCK'!L342</f>
        <v>13000</v>
      </c>
      <c r="AN345" s="27">
        <f t="shared" si="7"/>
        <v>0</v>
      </c>
      <c r="AO345" s="26">
        <f t="shared" si="8"/>
        <v>0</v>
      </c>
      <c r="AP345" s="10"/>
    </row>
    <row r="346">
      <c r="A346" s="29" t="str">
        <f>'MASTER STOCK'!F343</f>
        <v>Microphone mini clip</v>
      </c>
      <c r="B346" s="30">
        <f>'MASTER STOCK'!G343</f>
        <v>2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23">
        <f t="shared" si="3"/>
        <v>0</v>
      </c>
      <c r="AI346" s="31">
        <f t="shared" si="4"/>
        <v>2</v>
      </c>
      <c r="AJ346" s="32">
        <f t="shared" si="5"/>
        <v>2</v>
      </c>
      <c r="AK346" s="32">
        <f t="shared" si="6"/>
        <v>0</v>
      </c>
      <c r="AL346" s="25">
        <f>'MASTER STOCK'!I343</f>
        <v>135000</v>
      </c>
      <c r="AM346" s="26">
        <f>'MASTER STOCK'!L343</f>
        <v>135000</v>
      </c>
      <c r="AN346" s="27">
        <f t="shared" si="7"/>
        <v>0</v>
      </c>
      <c r="AO346" s="26">
        <f t="shared" si="8"/>
        <v>0</v>
      </c>
      <c r="AP346" s="10"/>
    </row>
    <row r="347">
      <c r="A347" s="29" t="str">
        <f>'MASTER STOCK'!F344</f>
        <v>Double tip foam hitam</v>
      </c>
      <c r="B347" s="30">
        <f>'MASTER STOCK'!G344</f>
        <v>3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23">
        <f t="shared" si="3"/>
        <v>0</v>
      </c>
      <c r="AI347" s="31">
        <f t="shared" si="4"/>
        <v>3</v>
      </c>
      <c r="AJ347" s="32">
        <f t="shared" si="5"/>
        <v>3</v>
      </c>
      <c r="AK347" s="32">
        <f t="shared" si="6"/>
        <v>0</v>
      </c>
      <c r="AL347" s="25">
        <f>'MASTER STOCK'!I344</f>
        <v>6000</v>
      </c>
      <c r="AM347" s="26">
        <f>'MASTER STOCK'!L344</f>
        <v>6000</v>
      </c>
      <c r="AN347" s="27">
        <f t="shared" si="7"/>
        <v>0</v>
      </c>
      <c r="AO347" s="26">
        <f t="shared" si="8"/>
        <v>0</v>
      </c>
      <c r="AP347" s="10"/>
    </row>
    <row r="348">
      <c r="A348" s="29" t="str">
        <f>'MASTER STOCK'!F345</f>
        <v>amplass</v>
      </c>
      <c r="B348" s="30">
        <f>'MASTER STOCK'!G345</f>
        <v>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23">
        <f t="shared" si="3"/>
        <v>0</v>
      </c>
      <c r="AI348" s="31">
        <f t="shared" si="4"/>
        <v>1</v>
      </c>
      <c r="AJ348" s="32">
        <f t="shared" si="5"/>
        <v>1</v>
      </c>
      <c r="AK348" s="32">
        <f t="shared" si="6"/>
        <v>0</v>
      </c>
      <c r="AL348" s="25">
        <f>'MASTER STOCK'!I345</f>
        <v>7000</v>
      </c>
      <c r="AM348" s="26">
        <f>'MASTER STOCK'!L345</f>
        <v>7000</v>
      </c>
      <c r="AN348" s="27">
        <f t="shared" si="7"/>
        <v>0</v>
      </c>
      <c r="AO348" s="26">
        <f t="shared" si="8"/>
        <v>0</v>
      </c>
      <c r="AP348" s="10"/>
    </row>
    <row r="349">
      <c r="A349" s="29" t="str">
        <f>'MASTER STOCK'!F346</f>
        <v>Tie clip microphone</v>
      </c>
      <c r="B349" s="30">
        <f>'MASTER STOCK'!G346</f>
        <v>2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23">
        <f t="shared" si="3"/>
        <v>0</v>
      </c>
      <c r="AI349" s="31">
        <f t="shared" si="4"/>
        <v>2</v>
      </c>
      <c r="AJ349" s="32">
        <f t="shared" si="5"/>
        <v>2</v>
      </c>
      <c r="AK349" s="32">
        <f t="shared" si="6"/>
        <v>0</v>
      </c>
      <c r="AL349" s="25">
        <f>'MASTER STOCK'!I346</f>
        <v>125000</v>
      </c>
      <c r="AM349" s="26">
        <f>'MASTER STOCK'!L346</f>
        <v>125000</v>
      </c>
      <c r="AN349" s="27">
        <f t="shared" si="7"/>
        <v>0</v>
      </c>
      <c r="AO349" s="26">
        <f t="shared" si="8"/>
        <v>0</v>
      </c>
      <c r="AP349" s="10"/>
    </row>
    <row r="350">
      <c r="A350" s="29" t="str">
        <f>'MASTER STOCK'!F347</f>
        <v>Selot besar / grendel 3"</v>
      </c>
      <c r="B350" s="30">
        <f>'MASTER STOCK'!G347</f>
        <v>3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23">
        <f t="shared" si="3"/>
        <v>0</v>
      </c>
      <c r="AI350" s="31">
        <f t="shared" si="4"/>
        <v>3</v>
      </c>
      <c r="AJ350" s="32">
        <f t="shared" si="5"/>
        <v>3</v>
      </c>
      <c r="AK350" s="32">
        <f t="shared" si="6"/>
        <v>0</v>
      </c>
      <c r="AL350" s="25">
        <f>'MASTER STOCK'!I347</f>
        <v>11000</v>
      </c>
      <c r="AM350" s="26">
        <f>'MASTER STOCK'!L347</f>
        <v>11000</v>
      </c>
      <c r="AN350" s="27">
        <f t="shared" si="7"/>
        <v>0</v>
      </c>
      <c r="AO350" s="26">
        <f t="shared" si="8"/>
        <v>0</v>
      </c>
      <c r="AP350" s="10"/>
    </row>
    <row r="351">
      <c r="A351" s="29" t="str">
        <f>'MASTER STOCK'!F348</f>
        <v>Tee dos</v>
      </c>
      <c r="B351" s="30">
        <f>'MASTER STOCK'!G348</f>
        <v>8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23">
        <f t="shared" si="3"/>
        <v>0</v>
      </c>
      <c r="AI351" s="31">
        <f t="shared" si="4"/>
        <v>8</v>
      </c>
      <c r="AJ351" s="32">
        <f t="shared" si="5"/>
        <v>8</v>
      </c>
      <c r="AK351" s="32">
        <f t="shared" si="6"/>
        <v>0</v>
      </c>
      <c r="AL351" s="25">
        <f>'MASTER STOCK'!I348</f>
        <v>3000</v>
      </c>
      <c r="AM351" s="26">
        <f>'MASTER STOCK'!L348</f>
        <v>3000</v>
      </c>
      <c r="AN351" s="27">
        <f t="shared" si="7"/>
        <v>0</v>
      </c>
      <c r="AO351" s="26">
        <f t="shared" si="8"/>
        <v>0</v>
      </c>
      <c r="AP351" s="10"/>
    </row>
    <row r="352">
      <c r="A352" s="29" t="str">
        <f>'MASTER STOCK'!F349</f>
        <v>Double tip foam putih</v>
      </c>
      <c r="B352" s="30">
        <f>'MASTER STOCK'!G349</f>
        <v>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23">
        <f t="shared" si="3"/>
        <v>0</v>
      </c>
      <c r="AI352" s="31">
        <f t="shared" si="4"/>
        <v>1</v>
      </c>
      <c r="AJ352" s="32">
        <f t="shared" si="5"/>
        <v>1</v>
      </c>
      <c r="AK352" s="32">
        <f t="shared" si="6"/>
        <v>0</v>
      </c>
      <c r="AL352" s="25">
        <f>'MASTER STOCK'!I349</f>
        <v>2500</v>
      </c>
      <c r="AM352" s="26">
        <f>'MASTER STOCK'!L349</f>
        <v>2500</v>
      </c>
      <c r="AN352" s="27">
        <f t="shared" si="7"/>
        <v>0</v>
      </c>
      <c r="AO352" s="26">
        <f t="shared" si="8"/>
        <v>0</v>
      </c>
      <c r="AP352" s="10"/>
    </row>
    <row r="353">
      <c r="A353" s="29" t="str">
        <f>'MASTER STOCK'!F350</f>
        <v>pegangan pintu putih </v>
      </c>
      <c r="B353" s="30">
        <f>'MASTER STOCK'!G350</f>
        <v>2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23">
        <f t="shared" si="3"/>
        <v>0</v>
      </c>
      <c r="AI353" s="31">
        <f t="shared" si="4"/>
        <v>2</v>
      </c>
      <c r="AJ353" s="32">
        <f t="shared" si="5"/>
        <v>2</v>
      </c>
      <c r="AK353" s="32">
        <f t="shared" si="6"/>
        <v>0</v>
      </c>
      <c r="AL353" s="25">
        <f>'MASTER STOCK'!I350</f>
        <v>16000</v>
      </c>
      <c r="AM353" s="26">
        <f>'MASTER STOCK'!L350</f>
        <v>16000</v>
      </c>
      <c r="AN353" s="27">
        <f t="shared" si="7"/>
        <v>0</v>
      </c>
      <c r="AO353" s="26">
        <f t="shared" si="8"/>
        <v>0</v>
      </c>
      <c r="AP353" s="10"/>
    </row>
    <row r="354">
      <c r="A354" s="20" t="str">
        <f>'MASTER STOCK'!F351</f>
        <v>INBOW DUS</v>
      </c>
      <c r="B354" s="21">
        <f>'MASTER STOCK'!G351</f>
        <v>20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23">
        <f t="shared" si="3"/>
        <v>0</v>
      </c>
      <c r="AI354" s="24">
        <f t="shared" si="4"/>
        <v>20</v>
      </c>
      <c r="AJ354" s="23">
        <f t="shared" si="5"/>
        <v>20</v>
      </c>
      <c r="AK354" s="23">
        <f t="shared" si="6"/>
        <v>0</v>
      </c>
      <c r="AL354" s="25">
        <f>'MASTER STOCK'!I351</f>
        <v>500</v>
      </c>
      <c r="AM354" s="26">
        <f>'MASTER STOCK'!L351</f>
        <v>1000</v>
      </c>
      <c r="AN354" s="27">
        <f t="shared" si="7"/>
        <v>0</v>
      </c>
      <c r="AO354" s="26">
        <f t="shared" si="8"/>
        <v>0</v>
      </c>
      <c r="AP354" s="10"/>
    </row>
    <row r="355">
      <c r="A355" s="20" t="str">
        <f>'MASTER STOCK'!F352</f>
        <v>TEE DOS</v>
      </c>
      <c r="B355" s="21">
        <f>'MASTER STOCK'!G352</f>
        <v>20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23">
        <f t="shared" si="3"/>
        <v>0</v>
      </c>
      <c r="AI355" s="24">
        <f t="shared" si="4"/>
        <v>20</v>
      </c>
      <c r="AJ355" s="23">
        <f t="shared" si="5"/>
        <v>20</v>
      </c>
      <c r="AK355" s="23">
        <f t="shared" si="6"/>
        <v>0</v>
      </c>
      <c r="AL355" s="25">
        <f>'MASTER STOCK'!I352</f>
        <v>500</v>
      </c>
      <c r="AM355" s="26">
        <f>'MASTER STOCK'!L352</f>
        <v>1500</v>
      </c>
      <c r="AN355" s="27">
        <f t="shared" si="7"/>
        <v>0</v>
      </c>
      <c r="AO355" s="26">
        <f t="shared" si="8"/>
        <v>0</v>
      </c>
      <c r="AP355" s="10"/>
    </row>
    <row r="356">
      <c r="A356" s="20" t="str">
        <f>'MASTER STOCK'!F353</f>
        <v>LEM TEMBAK</v>
      </c>
      <c r="B356" s="21">
        <f>'MASTER STOCK'!G353</f>
        <v>74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23">
        <f t="shared" si="3"/>
        <v>0</v>
      </c>
      <c r="AI356" s="24">
        <f t="shared" si="4"/>
        <v>74</v>
      </c>
      <c r="AJ356" s="23">
        <f t="shared" si="5"/>
        <v>74</v>
      </c>
      <c r="AK356" s="23">
        <f t="shared" si="6"/>
        <v>0</v>
      </c>
      <c r="AL356" s="25">
        <f>'MASTER STOCK'!I353</f>
        <v>700</v>
      </c>
      <c r="AM356" s="26">
        <f>'MASTER STOCK'!L353</f>
        <v>1500</v>
      </c>
      <c r="AN356" s="27">
        <f t="shared" si="7"/>
        <v>0</v>
      </c>
      <c r="AO356" s="26">
        <f t="shared" si="8"/>
        <v>0</v>
      </c>
      <c r="AP356" s="10"/>
    </row>
    <row r="357">
      <c r="A357" s="20" t="str">
        <f>'MASTER STOCK'!F354</f>
        <v>STOP KONTAK BROCO TANAM</v>
      </c>
      <c r="B357" s="21">
        <f>'MASTER STOCK'!G354</f>
        <v>3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23">
        <f t="shared" si="3"/>
        <v>0</v>
      </c>
      <c r="AI357" s="24">
        <f t="shared" si="4"/>
        <v>3</v>
      </c>
      <c r="AJ357" s="23">
        <f t="shared" si="5"/>
        <v>3</v>
      </c>
      <c r="AK357" s="23">
        <f t="shared" si="6"/>
        <v>0</v>
      </c>
      <c r="AL357" s="25">
        <f>'MASTER STOCK'!I354</f>
        <v>13500</v>
      </c>
      <c r="AM357" s="26">
        <f>'MASTER STOCK'!L354</f>
        <v>16000</v>
      </c>
      <c r="AN357" s="27">
        <f t="shared" si="7"/>
        <v>0</v>
      </c>
      <c r="AO357" s="26">
        <f t="shared" si="8"/>
        <v>0</v>
      </c>
      <c r="AP357" s="10"/>
    </row>
    <row r="358">
      <c r="A358" s="20" t="str">
        <f>'MASTER STOCK'!F355</f>
        <v>STOP KONTAK TANAM PANASONIC</v>
      </c>
      <c r="B358" s="21">
        <f>'MASTER STOCK'!G355</f>
        <v>3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23">
        <f t="shared" si="3"/>
        <v>0</v>
      </c>
      <c r="AI358" s="24">
        <f t="shared" si="4"/>
        <v>3</v>
      </c>
      <c r="AJ358" s="23">
        <f t="shared" si="5"/>
        <v>3</v>
      </c>
      <c r="AK358" s="23">
        <f t="shared" si="6"/>
        <v>0</v>
      </c>
      <c r="AL358" s="25">
        <f>'MASTER STOCK'!I355</f>
        <v>15000</v>
      </c>
      <c r="AM358" s="26">
        <f>'MASTER STOCK'!L355</f>
        <v>18000</v>
      </c>
      <c r="AN358" s="27">
        <f t="shared" si="7"/>
        <v>0</v>
      </c>
      <c r="AO358" s="26">
        <f t="shared" si="8"/>
        <v>0</v>
      </c>
      <c r="AP358" s="10"/>
    </row>
    <row r="359">
      <c r="A359" s="20" t="str">
        <f>'MASTER STOCK'!F356</f>
        <v>STOP KONTAK INBOW TANAM</v>
      </c>
      <c r="B359" s="21">
        <f>'MASTER STOCK'!G356</f>
        <v>5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23">
        <f t="shared" si="3"/>
        <v>0</v>
      </c>
      <c r="AI359" s="24">
        <f t="shared" si="4"/>
        <v>5</v>
      </c>
      <c r="AJ359" s="23">
        <f t="shared" si="5"/>
        <v>5</v>
      </c>
      <c r="AK359" s="23">
        <f t="shared" si="6"/>
        <v>0</v>
      </c>
      <c r="AL359" s="25">
        <f>'MASTER STOCK'!I356</f>
        <v>6400</v>
      </c>
      <c r="AM359" s="26">
        <f>'MASTER STOCK'!L356</f>
        <v>11000</v>
      </c>
      <c r="AN359" s="27">
        <f t="shared" si="7"/>
        <v>0</v>
      </c>
      <c r="AO359" s="26">
        <f t="shared" si="8"/>
        <v>0</v>
      </c>
      <c r="AP359" s="10"/>
    </row>
    <row r="360">
      <c r="A360" s="20" t="str">
        <f>'MASTER STOCK'!F357</f>
        <v>SAKLAR3 CABANG (TEE)</v>
      </c>
      <c r="B360" s="21">
        <f>'MASTER STOCK'!G357</f>
        <v>2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23">
        <f t="shared" si="3"/>
        <v>0</v>
      </c>
      <c r="AI360" s="24">
        <f t="shared" si="4"/>
        <v>2</v>
      </c>
      <c r="AJ360" s="23">
        <f t="shared" si="5"/>
        <v>2</v>
      </c>
      <c r="AK360" s="23">
        <f t="shared" si="6"/>
        <v>0</v>
      </c>
      <c r="AL360" s="25">
        <f>'MASTER STOCK'!I357</f>
        <v>17500</v>
      </c>
      <c r="AM360" s="26">
        <f>'MASTER STOCK'!L357</f>
        <v>18000</v>
      </c>
      <c r="AN360" s="27">
        <f t="shared" si="7"/>
        <v>0</v>
      </c>
      <c r="AO360" s="26">
        <f t="shared" si="8"/>
        <v>0</v>
      </c>
      <c r="AP360" s="10"/>
    </row>
    <row r="361">
      <c r="A361" s="20" t="str">
        <f>'MASTER STOCK'!F358</f>
        <v>SAKLAR HOKSUN 3 LUBANG</v>
      </c>
      <c r="B361" s="21">
        <f>'MASTER STOCK'!G358</f>
        <v>2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23">
        <f t="shared" si="3"/>
        <v>0</v>
      </c>
      <c r="AI361" s="24">
        <f t="shared" si="4"/>
        <v>2</v>
      </c>
      <c r="AJ361" s="23">
        <f t="shared" si="5"/>
        <v>2</v>
      </c>
      <c r="AK361" s="23">
        <f t="shared" si="6"/>
        <v>0</v>
      </c>
      <c r="AL361" s="25">
        <f>'MASTER STOCK'!I358</f>
        <v>15750</v>
      </c>
      <c r="AM361" s="26">
        <f>'MASTER STOCK'!L358</f>
        <v>22000</v>
      </c>
      <c r="AN361" s="27">
        <f t="shared" si="7"/>
        <v>0</v>
      </c>
      <c r="AO361" s="26">
        <f t="shared" si="8"/>
        <v>0</v>
      </c>
      <c r="AP361" s="10"/>
    </row>
    <row r="362">
      <c r="A362" s="20" t="str">
        <f>'MASTER STOCK'!F359</f>
        <v>SAKLAR TRM 4 LUBANG</v>
      </c>
      <c r="B362" s="21">
        <f>'MASTER STOCK'!G359</f>
        <v>2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23">
        <f t="shared" si="3"/>
        <v>0</v>
      </c>
      <c r="AI362" s="24">
        <f t="shared" si="4"/>
        <v>2</v>
      </c>
      <c r="AJ362" s="23">
        <f t="shared" si="5"/>
        <v>2</v>
      </c>
      <c r="AK362" s="23">
        <f t="shared" si="6"/>
        <v>0</v>
      </c>
      <c r="AL362" s="25">
        <f>'MASTER STOCK'!I359</f>
        <v>19750</v>
      </c>
      <c r="AM362" s="26">
        <f>'MASTER STOCK'!L359</f>
        <v>26000</v>
      </c>
      <c r="AN362" s="27">
        <f t="shared" si="7"/>
        <v>0</v>
      </c>
      <c r="AO362" s="26">
        <f t="shared" si="8"/>
        <v>0</v>
      </c>
      <c r="AP362" s="10"/>
    </row>
    <row r="363">
      <c r="A363" s="20" t="str">
        <f>'MASTER STOCK'!F360</f>
        <v>SEMEN MERAH PUTIH</v>
      </c>
      <c r="B363" s="21">
        <f>'MASTER STOCK'!G360</f>
        <v>5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23">
        <f t="shared" si="3"/>
        <v>0</v>
      </c>
      <c r="AI363" s="24">
        <f t="shared" si="4"/>
        <v>5</v>
      </c>
      <c r="AJ363" s="23">
        <f t="shared" si="5"/>
        <v>5</v>
      </c>
      <c r="AK363" s="23">
        <f t="shared" si="6"/>
        <v>0</v>
      </c>
      <c r="AL363" s="25">
        <f>'MASTER STOCK'!I360</f>
        <v>41000</v>
      </c>
      <c r="AM363" s="26">
        <f>'MASTER STOCK'!L360</f>
        <v>42000</v>
      </c>
      <c r="AN363" s="27">
        <f t="shared" si="7"/>
        <v>0</v>
      </c>
      <c r="AO363" s="26">
        <f t="shared" si="8"/>
        <v>0</v>
      </c>
      <c r="AP363" s="10"/>
    </row>
    <row r="364">
      <c r="A364" s="20" t="str">
        <f>'MASTER STOCK'!F361</f>
        <v>SEMEN SINGA MERAH</v>
      </c>
      <c r="B364" s="21">
        <f>'MASTER STOCK'!G361</f>
        <v>5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23">
        <f t="shared" si="3"/>
        <v>0</v>
      </c>
      <c r="AI364" s="24">
        <f t="shared" si="4"/>
        <v>5</v>
      </c>
      <c r="AJ364" s="23">
        <f t="shared" si="5"/>
        <v>5</v>
      </c>
      <c r="AK364" s="23">
        <f t="shared" si="6"/>
        <v>0</v>
      </c>
      <c r="AL364" s="25">
        <f>'MASTER STOCK'!I361</f>
        <v>43000</v>
      </c>
      <c r="AM364" s="26">
        <f>'MASTER STOCK'!L361</f>
        <v>44000</v>
      </c>
      <c r="AN364" s="27">
        <f t="shared" si="7"/>
        <v>0</v>
      </c>
      <c r="AO364" s="26">
        <f t="shared" si="8"/>
        <v>0</v>
      </c>
      <c r="AP364" s="10"/>
    </row>
    <row r="365">
      <c r="A365" s="20" t="str">
        <f>'MASTER STOCK'!F362</f>
        <v>WATERMUR 3/4</v>
      </c>
      <c r="B365" s="21">
        <f>'MASTER STOCK'!G362</f>
        <v>5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23">
        <f t="shared" si="3"/>
        <v>0</v>
      </c>
      <c r="AI365" s="24">
        <f t="shared" si="4"/>
        <v>5</v>
      </c>
      <c r="AJ365" s="23">
        <f t="shared" si="5"/>
        <v>5</v>
      </c>
      <c r="AK365" s="23">
        <f t="shared" si="6"/>
        <v>0</v>
      </c>
      <c r="AL365" s="25">
        <f>'MASTER STOCK'!I362</f>
        <v>4700</v>
      </c>
      <c r="AM365" s="26">
        <f>'MASTER STOCK'!L362</f>
        <v>7000</v>
      </c>
      <c r="AN365" s="27">
        <f t="shared" si="7"/>
        <v>0</v>
      </c>
      <c r="AO365" s="26">
        <f t="shared" si="8"/>
        <v>0</v>
      </c>
      <c r="AP365" s="10"/>
    </row>
    <row r="366">
      <c r="A366" s="20" t="str">
        <f>'MASTER STOCK'!F363</f>
        <v>SOLDER GAGANG KAYU 40W</v>
      </c>
      <c r="B366" s="21">
        <f>'MASTER STOCK'!G363</f>
        <v>5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23">
        <f t="shared" si="3"/>
        <v>0</v>
      </c>
      <c r="AI366" s="24">
        <f t="shared" si="4"/>
        <v>5</v>
      </c>
      <c r="AJ366" s="23">
        <f t="shared" si="5"/>
        <v>5</v>
      </c>
      <c r="AK366" s="23">
        <f t="shared" si="6"/>
        <v>0</v>
      </c>
      <c r="AL366" s="28"/>
      <c r="AM366" s="26">
        <f>'MASTER STOCK'!L363</f>
        <v>12000</v>
      </c>
      <c r="AN366" s="27">
        <f t="shared" si="7"/>
        <v>0</v>
      </c>
      <c r="AO366" s="26">
        <f t="shared" si="8"/>
        <v>0</v>
      </c>
      <c r="AP366" s="10"/>
    </row>
    <row r="367">
      <c r="A367" s="20" t="str">
        <f>'MASTER STOCK'!F364</f>
        <v>KUAS GRT 3"</v>
      </c>
      <c r="B367" s="21">
        <f>'MASTER STOCK'!G364</f>
        <v>12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23">
        <f t="shared" si="3"/>
        <v>0</v>
      </c>
      <c r="AI367" s="24">
        <f t="shared" si="4"/>
        <v>12</v>
      </c>
      <c r="AJ367" s="23">
        <f t="shared" si="5"/>
        <v>12</v>
      </c>
      <c r="AK367" s="23">
        <f t="shared" si="6"/>
        <v>0</v>
      </c>
      <c r="AL367" s="28"/>
      <c r="AM367" s="26">
        <f>'MASTER STOCK'!L364</f>
        <v>7500</v>
      </c>
      <c r="AN367" s="27">
        <f t="shared" si="7"/>
        <v>0</v>
      </c>
      <c r="AO367" s="26">
        <f t="shared" si="8"/>
        <v>0</v>
      </c>
      <c r="AP367" s="10"/>
    </row>
    <row r="368">
      <c r="A368" s="20" t="str">
        <f>'MASTER STOCK'!F365</f>
        <v>PENGAMAN REGULATOR</v>
      </c>
      <c r="B368" s="21">
        <f>'MASTER STOCK'!G365</f>
        <v>3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23">
        <f t="shared" si="6"/>
        <v>0</v>
      </c>
      <c r="AL368" s="28"/>
      <c r="AM368" s="26">
        <f>'MASTER STOCK'!L365</f>
        <v>12000</v>
      </c>
      <c r="AN368" s="27">
        <f t="shared" si="7"/>
        <v>0</v>
      </c>
      <c r="AO368" s="26">
        <f t="shared" si="8"/>
        <v>0</v>
      </c>
      <c r="AP368" s="10"/>
    </row>
    <row r="369">
      <c r="A369" s="20" t="str">
        <f>'MASTER STOCK'!F366</f>
        <v>KLEM REGULATOR</v>
      </c>
      <c r="B369" s="21">
        <f>'MASTER STOCK'!G366</f>
        <v>20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33"/>
      <c r="AM369" s="26">
        <f>'MASTER STOCK'!L366</f>
        <v>2500</v>
      </c>
      <c r="AN369" s="33"/>
      <c r="AO369" s="10"/>
      <c r="AP369" s="10"/>
    </row>
    <row r="370">
      <c r="A370" s="20" t="str">
        <f>'MASTER STOCK'!F367</f>
        <v>TIMBA STANDART</v>
      </c>
      <c r="B370" s="21">
        <f>'MASTER STOCK'!G367</f>
        <v>10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33"/>
      <c r="AM370" s="26">
        <f>'MASTER STOCK'!L367</f>
        <v>8000</v>
      </c>
      <c r="AN370" s="33"/>
      <c r="AO370" s="10"/>
      <c r="AP370" s="10"/>
    </row>
    <row r="371">
      <c r="A371" s="20" t="str">
        <f>'MASTER STOCK'!F368</f>
        <v>KNEE DRAT DALAM 1/2 DIM</v>
      </c>
      <c r="B371" s="21">
        <f>'MASTER STOCK'!G368</f>
        <v>15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33"/>
      <c r="AM371" s="26">
        <f>'MASTER STOCK'!L368</f>
        <v>3500</v>
      </c>
      <c r="AN371" s="33"/>
      <c r="AO371" s="10"/>
      <c r="AP371" s="10"/>
    </row>
    <row r="372">
      <c r="A372" s="20" t="str">
        <f>'MASTER STOCK'!F369</f>
        <v>AMPLAS UK 60 </v>
      </c>
      <c r="B372" s="21">
        <f>'MASTER STOCK'!G369</f>
        <v>10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33"/>
      <c r="AM372" s="26">
        <f>'MASTER STOCK'!L369</f>
        <v>7000</v>
      </c>
      <c r="AN372" s="33"/>
      <c r="AO372" s="10"/>
      <c r="AP372" s="10"/>
    </row>
    <row r="373">
      <c r="A373" s="20" t="str">
        <f>'MASTER STOCK'!F370</f>
        <v>AMPLAS UK 150</v>
      </c>
      <c r="B373" s="21">
        <f>'MASTER STOCK'!G370</f>
        <v>10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33"/>
      <c r="AM373" s="26">
        <f>'MASTER STOCK'!L370</f>
        <v>7000</v>
      </c>
      <c r="AN373" s="33"/>
      <c r="AO373" s="10"/>
      <c r="AP373" s="10"/>
    </row>
    <row r="374">
      <c r="A374" s="20" t="str">
        <f>'MASTER STOCK'!F371</f>
        <v>AMPLAS UK 240</v>
      </c>
      <c r="B374" s="21">
        <f>'MASTER STOCK'!G371</f>
        <v>10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33"/>
      <c r="AM374" s="26">
        <f>'MASTER STOCK'!L371</f>
        <v>7000</v>
      </c>
      <c r="AN374" s="33"/>
      <c r="AO374" s="10"/>
      <c r="AP374" s="10"/>
    </row>
    <row r="375">
      <c r="A375" s="20" t="str">
        <f>'MASTER STOCK'!F372</f>
        <v>WATERMUR DD 3/4</v>
      </c>
      <c r="B375" s="21">
        <f>'MASTER STOCK'!G372</f>
        <v>5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33"/>
      <c r="AM375" s="26">
        <f>'MASTER STOCK'!L372</f>
        <v>8000</v>
      </c>
      <c r="AN375" s="33"/>
      <c r="AO375" s="10"/>
      <c r="AP375" s="10"/>
    </row>
    <row r="376">
      <c r="A376" s="20" t="str">
        <f>'MASTER STOCK'!F373</f>
        <v>BENDRAT 5KG</v>
      </c>
      <c r="B376" s="21">
        <f>'MASTER STOCK'!G373</f>
        <v>5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33"/>
      <c r="AM376" s="26">
        <f>'MASTER STOCK'!L373</f>
        <v>25000</v>
      </c>
      <c r="AN376" s="33"/>
      <c r="AO376" s="10"/>
      <c r="AP376" s="10"/>
    </row>
    <row r="377">
      <c r="A377" s="20" t="str">
        <f>'MASTER STOCK'!F374</f>
        <v>S MERDEKA 5</v>
      </c>
      <c r="B377" s="21">
        <f>'MASTER STOCK'!G374</f>
        <v>5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33"/>
      <c r="AM377" s="26">
        <f>'MASTER STOCK'!L374</f>
        <v>4300</v>
      </c>
      <c r="AN377" s="33"/>
      <c r="AO377" s="10"/>
      <c r="AP377" s="10"/>
    </row>
    <row r="378">
      <c r="A378" s="20" t="str">
        <f>'MASTER STOCK'!F375</f>
        <v/>
      </c>
      <c r="B378" s="21">
        <f>'MASTER STOCK'!G375</f>
        <v>0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33"/>
      <c r="AM378" s="26" t="str">
        <f>'MASTER STOCK'!L375</f>
        <v/>
      </c>
      <c r="AN378" s="33"/>
      <c r="AO378" s="10"/>
      <c r="AP378" s="10"/>
    </row>
    <row r="379">
      <c r="A379" s="20" t="str">
        <f>'MASTER STOCK'!F376</f>
        <v/>
      </c>
      <c r="B379" s="21">
        <f>'MASTER STOCK'!G376</f>
        <v>0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33"/>
      <c r="AM379" s="26" t="str">
        <f>'MASTER STOCK'!L376</f>
        <v/>
      </c>
      <c r="AN379" s="33"/>
      <c r="AO379" s="10"/>
      <c r="AP379" s="10"/>
    </row>
    <row r="380">
      <c r="A380" s="20" t="str">
        <f>'MASTER STOCK'!F377</f>
        <v/>
      </c>
      <c r="B380" s="21">
        <f>'MASTER STOCK'!G377</f>
        <v>0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33"/>
      <c r="AM380" s="26" t="str">
        <f>'MASTER STOCK'!L377</f>
        <v/>
      </c>
      <c r="AN380" s="33"/>
      <c r="AO380" s="10"/>
      <c r="AP380" s="10"/>
    </row>
    <row r="381">
      <c r="A381" s="20" t="str">
        <f>'MASTER STOCK'!F378</f>
        <v/>
      </c>
      <c r="B381" s="21">
        <f>'MASTER STOCK'!G378</f>
        <v>0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33"/>
      <c r="AM381" s="26" t="str">
        <f>'MASTER STOCK'!L378</f>
        <v/>
      </c>
      <c r="AN381" s="33"/>
      <c r="AO381" s="10"/>
      <c r="AP381" s="10"/>
    </row>
    <row r="382">
      <c r="A382" s="20" t="str">
        <f>'MASTER STOCK'!F379</f>
        <v/>
      </c>
      <c r="B382" s="21">
        <f>'MASTER STOCK'!G379</f>
        <v>0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33"/>
      <c r="AM382" s="26" t="str">
        <f>'MASTER STOCK'!L379</f>
        <v/>
      </c>
      <c r="AN382" s="33"/>
      <c r="AO382" s="10"/>
      <c r="AP382" s="10"/>
    </row>
    <row r="383">
      <c r="A383" s="20" t="str">
        <f>'MASTER STOCK'!F380</f>
        <v/>
      </c>
      <c r="B383" s="21">
        <f>'MASTER STOCK'!G380</f>
        <v>0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33"/>
      <c r="AM383" s="26" t="str">
        <f>'MASTER STOCK'!L380</f>
        <v/>
      </c>
      <c r="AN383" s="33"/>
      <c r="AO383" s="10"/>
      <c r="AP383" s="10"/>
    </row>
    <row r="384">
      <c r="A384" s="20" t="str">
        <f>'MASTER STOCK'!F381</f>
        <v/>
      </c>
      <c r="B384" s="21">
        <f>'MASTER STOCK'!G381</f>
        <v>0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33"/>
      <c r="AM384" s="26" t="str">
        <f>'MASTER STOCK'!L381</f>
        <v/>
      </c>
      <c r="AN384" s="33"/>
      <c r="AO384" s="10"/>
      <c r="AP384" s="10"/>
    </row>
    <row r="385">
      <c r="A385" s="20" t="str">
        <f>'MASTER STOCK'!F382</f>
        <v/>
      </c>
      <c r="B385" s="21">
        <f>'MASTER STOCK'!G382</f>
        <v>0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33"/>
      <c r="AM385" s="26" t="str">
        <f>'MASTER STOCK'!L382</f>
        <v/>
      </c>
      <c r="AN385" s="33"/>
      <c r="AO385" s="10"/>
      <c r="AP385" s="10"/>
    </row>
    <row r="386">
      <c r="A386" s="20" t="str">
        <f>'MASTER STOCK'!F383</f>
        <v/>
      </c>
      <c r="B386" s="21">
        <f>'MASTER STOCK'!G383</f>
        <v>0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33"/>
      <c r="AM386" s="26" t="str">
        <f>'MASTER STOCK'!L383</f>
        <v/>
      </c>
      <c r="AN386" s="33"/>
      <c r="AO386" s="10"/>
      <c r="AP386" s="10"/>
    </row>
    <row r="387">
      <c r="A387" s="20" t="str">
        <f>'MASTER STOCK'!F384</f>
        <v/>
      </c>
      <c r="B387" s="21">
        <f>'MASTER STOCK'!G384</f>
        <v>0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33"/>
      <c r="AM387" s="26" t="str">
        <f>'MASTER STOCK'!L384</f>
        <v/>
      </c>
      <c r="AN387" s="33"/>
      <c r="AO387" s="10"/>
      <c r="AP387" s="10"/>
    </row>
    <row r="388">
      <c r="A388" s="34" t="str">
        <f>'MASTER STOCK'!F385</f>
        <v/>
      </c>
      <c r="B388" s="35">
        <f>'MASTER STOCK'!G385</f>
        <v>0</v>
      </c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7"/>
      <c r="AM388" s="26" t="str">
        <f>'MASTER STOCK'!L385</f>
        <v/>
      </c>
      <c r="AN388" s="37"/>
      <c r="AO388" s="36"/>
      <c r="AP388" s="36"/>
    </row>
    <row r="389">
      <c r="A389" s="38" t="str">
        <f>'MASTER STOCK'!F386</f>
        <v/>
      </c>
      <c r="B389" s="39" t="str">
        <f>'MASTER STOCK'!G386</f>
        <v/>
      </c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1"/>
      <c r="AM389" s="26" t="str">
        <f>'MASTER STOCK'!L386</f>
        <v/>
      </c>
      <c r="AN389" s="41"/>
      <c r="AO389" s="40"/>
      <c r="AP389" s="40"/>
    </row>
    <row r="390">
      <c r="A390" s="38" t="str">
        <f>'MASTER STOCK'!F387</f>
        <v/>
      </c>
      <c r="B390" s="39" t="str">
        <f>'MASTER STOCK'!G387</f>
        <v/>
      </c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1"/>
      <c r="AM390" s="26" t="str">
        <f>'MASTER STOCK'!L387</f>
        <v/>
      </c>
      <c r="AN390" s="41"/>
      <c r="AO390" s="40"/>
      <c r="AP390" s="40"/>
    </row>
    <row r="391">
      <c r="A391" s="38" t="str">
        <f>'MASTER STOCK'!F388</f>
        <v/>
      </c>
      <c r="B391" s="39" t="str">
        <f>'MASTER STOCK'!G388</f>
        <v/>
      </c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1"/>
      <c r="AM391" s="26" t="str">
        <f>'MASTER STOCK'!L388</f>
        <v/>
      </c>
      <c r="AN391" s="41"/>
      <c r="AO391" s="40"/>
      <c r="AP391" s="40"/>
    </row>
    <row r="392">
      <c r="A392" s="38" t="str">
        <f>'MASTER STOCK'!F389</f>
        <v/>
      </c>
      <c r="B392" s="39" t="str">
        <f>'MASTER STOCK'!G389</f>
        <v/>
      </c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1"/>
      <c r="AM392" s="26" t="str">
        <f>'MASTER STOCK'!L389</f>
        <v/>
      </c>
      <c r="AN392" s="41"/>
      <c r="AO392" s="40"/>
      <c r="AP392" s="40"/>
    </row>
    <row r="393">
      <c r="A393" s="38" t="str">
        <f>'MASTER STOCK'!F390</f>
        <v/>
      </c>
      <c r="B393" s="39" t="str">
        <f>'MASTER STOCK'!G390</f>
        <v/>
      </c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1"/>
      <c r="AM393" s="26" t="str">
        <f>'MASTER STOCK'!L390</f>
        <v/>
      </c>
      <c r="AN393" s="41"/>
      <c r="AO393" s="40"/>
      <c r="AP393" s="40"/>
    </row>
    <row r="394">
      <c r="A394" s="38" t="str">
        <f>'MASTER STOCK'!F391</f>
        <v/>
      </c>
      <c r="B394" s="39" t="str">
        <f>'MASTER STOCK'!G391</f>
        <v/>
      </c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1"/>
      <c r="AM394" s="26" t="str">
        <f>'MASTER STOCK'!L391</f>
        <v/>
      </c>
      <c r="AN394" s="41"/>
      <c r="AO394" s="40"/>
      <c r="AP394" s="40"/>
    </row>
    <row r="395">
      <c r="A395" s="38" t="str">
        <f>'MASTER STOCK'!F392</f>
        <v/>
      </c>
      <c r="B395" s="39" t="str">
        <f>'MASTER STOCK'!G392</f>
        <v/>
      </c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1"/>
      <c r="AM395" s="26" t="str">
        <f>'MASTER STOCK'!L392</f>
        <v/>
      </c>
      <c r="AN395" s="41"/>
      <c r="AO395" s="40"/>
      <c r="AP395" s="40"/>
    </row>
    <row r="396">
      <c r="A396" s="38" t="str">
        <f>'MASTER STOCK'!F393</f>
        <v/>
      </c>
      <c r="B396" s="39" t="str">
        <f>'MASTER STOCK'!G393</f>
        <v/>
      </c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1"/>
      <c r="AM396" s="26" t="str">
        <f>'MASTER STOCK'!L393</f>
        <v/>
      </c>
      <c r="AN396" s="41"/>
      <c r="AO396" s="40"/>
      <c r="AP396" s="40"/>
    </row>
    <row r="397">
      <c r="A397" s="38" t="str">
        <f>'MASTER STOCK'!F394</f>
        <v/>
      </c>
      <c r="B397" s="39" t="str">
        <f>'MASTER STOCK'!G394</f>
        <v/>
      </c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1"/>
      <c r="AM397" s="26" t="str">
        <f>'MASTER STOCK'!L394</f>
        <v/>
      </c>
      <c r="AN397" s="41"/>
      <c r="AO397" s="40"/>
      <c r="AP397" s="40"/>
    </row>
    <row r="398">
      <c r="A398" s="38" t="str">
        <f>'MASTER STOCK'!F395</f>
        <v/>
      </c>
      <c r="B398" s="39" t="str">
        <f>'MASTER STOCK'!G395</f>
        <v/>
      </c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1"/>
      <c r="AM398" s="26" t="str">
        <f>'MASTER STOCK'!L395</f>
        <v/>
      </c>
      <c r="AN398" s="41"/>
      <c r="AO398" s="40"/>
      <c r="AP398" s="40"/>
    </row>
    <row r="399">
      <c r="A399" s="38" t="str">
        <f>'MASTER STOCK'!F396</f>
        <v/>
      </c>
      <c r="B399" s="39" t="str">
        <f>'MASTER STOCK'!G396</f>
        <v/>
      </c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1"/>
      <c r="AM399" s="40"/>
      <c r="AN399" s="41"/>
      <c r="AO399" s="40"/>
      <c r="AP399" s="40"/>
    </row>
    <row r="400">
      <c r="A400" s="38" t="str">
        <f>'MASTER STOCK'!F397</f>
        <v/>
      </c>
      <c r="B400" s="39" t="str">
        <f>'MASTER STOCK'!G397</f>
        <v/>
      </c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1"/>
      <c r="AM400" s="40"/>
      <c r="AN400" s="41"/>
      <c r="AO400" s="40"/>
      <c r="AP400" s="40"/>
    </row>
    <row r="401">
      <c r="A401" s="38" t="str">
        <f>'MASTER STOCK'!F398</f>
        <v/>
      </c>
      <c r="B401" s="39" t="str">
        <f>'MASTER STOCK'!G398</f>
        <v/>
      </c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1"/>
      <c r="AM401" s="40"/>
      <c r="AN401" s="41"/>
      <c r="AO401" s="40"/>
      <c r="AP401" s="40"/>
    </row>
    <row r="402">
      <c r="A402" s="38" t="str">
        <f>'MASTER STOCK'!F399</f>
        <v/>
      </c>
      <c r="B402" s="39" t="str">
        <f>'MASTER STOCK'!G399</f>
        <v/>
      </c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1"/>
      <c r="AM402" s="40"/>
      <c r="AN402" s="41"/>
      <c r="AO402" s="40"/>
      <c r="AP402" s="40"/>
    </row>
    <row r="403">
      <c r="A403" s="38" t="str">
        <f>'MASTER STOCK'!F400</f>
        <v/>
      </c>
      <c r="B403" s="39" t="str">
        <f>'MASTER STOCK'!G400</f>
        <v/>
      </c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1"/>
      <c r="AM403" s="40"/>
      <c r="AN403" s="41"/>
      <c r="AO403" s="40"/>
      <c r="AP403" s="40"/>
    </row>
    <row r="404">
      <c r="A404" s="38" t="str">
        <f>'MASTER STOCK'!F401</f>
        <v/>
      </c>
      <c r="B404" s="39" t="str">
        <f>'MASTER STOCK'!G401</f>
        <v/>
      </c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1"/>
      <c r="AM404" s="40"/>
      <c r="AN404" s="41"/>
      <c r="AO404" s="40"/>
      <c r="AP404" s="40"/>
    </row>
    <row r="405">
      <c r="A405" s="38" t="str">
        <f>'MASTER STOCK'!F402</f>
        <v/>
      </c>
      <c r="B405" s="39" t="str">
        <f>'MASTER STOCK'!G402</f>
        <v/>
      </c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1"/>
      <c r="AM405" s="40"/>
      <c r="AN405" s="41"/>
      <c r="AO405" s="40"/>
      <c r="AP405" s="40"/>
    </row>
    <row r="406">
      <c r="A406" s="40"/>
      <c r="B406" s="39" t="str">
        <f>'MASTER STOCK'!G403</f>
        <v/>
      </c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1"/>
      <c r="AM406" s="40"/>
      <c r="AN406" s="41"/>
      <c r="AO406" s="40"/>
      <c r="AP406" s="40"/>
    </row>
    <row r="407">
      <c r="A407" s="40"/>
      <c r="B407" s="39" t="str">
        <f>'MASTER STOCK'!G404</f>
        <v/>
      </c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1"/>
      <c r="AM407" s="40"/>
      <c r="AN407" s="41"/>
      <c r="AO407" s="40"/>
      <c r="AP407" s="40"/>
    </row>
    <row r="408">
      <c r="A408" s="40"/>
      <c r="B408" s="39" t="str">
        <f>'MASTER STOCK'!G405</f>
        <v/>
      </c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1"/>
      <c r="AM408" s="40"/>
      <c r="AN408" s="41"/>
      <c r="AO408" s="40"/>
      <c r="AP408" s="40"/>
    </row>
    <row r="409">
      <c r="A409" s="40"/>
      <c r="B409" s="39" t="str">
        <f>'MASTER STOCK'!G406</f>
        <v/>
      </c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1"/>
      <c r="AM409" s="40"/>
      <c r="AN409" s="41"/>
      <c r="AO409" s="40"/>
      <c r="AP409" s="40"/>
    </row>
    <row r="410">
      <c r="A410" s="40"/>
      <c r="B410" s="39" t="str">
        <f>'MASTER STOCK'!G407</f>
        <v/>
      </c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1"/>
      <c r="AM410" s="40"/>
      <c r="AN410" s="41"/>
      <c r="AO410" s="40"/>
      <c r="AP410" s="40"/>
    </row>
    <row r="411">
      <c r="A411" s="40"/>
      <c r="B411" s="39" t="str">
        <f>'MASTER STOCK'!G408</f>
        <v/>
      </c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1"/>
      <c r="AM411" s="40"/>
      <c r="AN411" s="41"/>
      <c r="AO411" s="40"/>
      <c r="AP411" s="40"/>
    </row>
    <row r="412">
      <c r="A412" s="40"/>
      <c r="B412" s="39" t="str">
        <f>'MASTER STOCK'!G409</f>
        <v/>
      </c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1"/>
      <c r="AM412" s="40"/>
      <c r="AN412" s="41"/>
      <c r="AO412" s="40"/>
      <c r="AP412" s="40"/>
    </row>
    <row r="413">
      <c r="A413" s="40"/>
      <c r="B413" s="39" t="str">
        <f>'MASTER STOCK'!G410</f>
        <v/>
      </c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1"/>
      <c r="AM413" s="40"/>
      <c r="AN413" s="41"/>
      <c r="AO413" s="40"/>
      <c r="AP413" s="40"/>
    </row>
    <row r="414">
      <c r="A414" s="40"/>
      <c r="B414" s="39" t="str">
        <f>'MASTER STOCK'!G411</f>
        <v/>
      </c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1"/>
      <c r="AM414" s="40"/>
      <c r="AN414" s="41"/>
      <c r="AO414" s="40"/>
      <c r="AP414" s="40"/>
    </row>
    <row r="415">
      <c r="A415" s="40"/>
      <c r="B415" s="39" t="str">
        <f>'MASTER STOCK'!G412</f>
        <v/>
      </c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1"/>
      <c r="AM415" s="40"/>
      <c r="AN415" s="41"/>
      <c r="AO415" s="40"/>
      <c r="AP415" s="40"/>
    </row>
    <row r="416">
      <c r="A416" s="40"/>
      <c r="B416" s="39" t="str">
        <f>'MASTER STOCK'!G413</f>
        <v/>
      </c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1"/>
      <c r="AM416" s="40"/>
      <c r="AN416" s="41"/>
      <c r="AO416" s="40"/>
      <c r="AP416" s="40"/>
    </row>
    <row r="417">
      <c r="A417" s="40"/>
      <c r="B417" s="39" t="str">
        <f>'MASTER STOCK'!G414</f>
        <v/>
      </c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1"/>
      <c r="AM417" s="40"/>
      <c r="AN417" s="41"/>
      <c r="AO417" s="40"/>
      <c r="AP417" s="40"/>
    </row>
    <row r="418">
      <c r="A418" s="40"/>
      <c r="B418" s="39" t="str">
        <f>'MASTER STOCK'!G415</f>
        <v/>
      </c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1"/>
      <c r="AM418" s="40"/>
      <c r="AN418" s="41"/>
      <c r="AO418" s="40"/>
      <c r="AP418" s="40"/>
    </row>
    <row r="419">
      <c r="A419" s="40"/>
      <c r="B419" s="39" t="str">
        <f>'MASTER STOCK'!G416</f>
        <v/>
      </c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1"/>
      <c r="AM419" s="40"/>
      <c r="AN419" s="41"/>
      <c r="AO419" s="40"/>
      <c r="AP419" s="40"/>
    </row>
    <row r="420">
      <c r="A420" s="40"/>
      <c r="B420" s="39" t="str">
        <f>'MASTER STOCK'!G417</f>
        <v/>
      </c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1"/>
      <c r="AM420" s="40"/>
      <c r="AN420" s="41"/>
      <c r="AO420" s="40"/>
      <c r="AP420" s="40"/>
    </row>
    <row r="421">
      <c r="A421" s="40"/>
      <c r="B421" s="39" t="str">
        <f>'MASTER STOCK'!G418</f>
        <v/>
      </c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1"/>
      <c r="AM421" s="40"/>
      <c r="AN421" s="41"/>
      <c r="AO421" s="40"/>
      <c r="AP421" s="40"/>
    </row>
    <row r="422">
      <c r="A422" s="40"/>
      <c r="B422" s="39" t="str">
        <f>'MASTER STOCK'!G419</f>
        <v/>
      </c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1"/>
      <c r="AM422" s="40"/>
      <c r="AN422" s="41"/>
      <c r="AO422" s="40"/>
      <c r="AP422" s="40"/>
    </row>
    <row r="423">
      <c r="A423" s="40"/>
      <c r="B423" s="39" t="str">
        <f>'MASTER STOCK'!G420</f>
        <v/>
      </c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1"/>
      <c r="AM423" s="40"/>
      <c r="AN423" s="41"/>
      <c r="AO423" s="40"/>
      <c r="AP423" s="40"/>
    </row>
    <row r="424">
      <c r="A424" s="40"/>
      <c r="B424" s="39" t="str">
        <f>'MASTER STOCK'!G421</f>
        <v/>
      </c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1"/>
      <c r="AM424" s="40"/>
      <c r="AN424" s="41"/>
      <c r="AO424" s="40"/>
      <c r="AP424" s="40"/>
    </row>
    <row r="425">
      <c r="A425" s="40"/>
      <c r="B425" s="39" t="str">
        <f>'MASTER STOCK'!G422</f>
        <v/>
      </c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1"/>
      <c r="AM425" s="40"/>
      <c r="AN425" s="41"/>
      <c r="AO425" s="40"/>
      <c r="AP425" s="40"/>
    </row>
    <row r="426">
      <c r="A426" s="40"/>
      <c r="B426" s="42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1"/>
      <c r="AM426" s="40"/>
      <c r="AN426" s="41"/>
      <c r="AO426" s="40"/>
      <c r="AP426" s="40"/>
    </row>
    <row r="427">
      <c r="A427" s="40"/>
      <c r="B427" s="42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1"/>
      <c r="AM427" s="40"/>
      <c r="AN427" s="41"/>
      <c r="AO427" s="40"/>
      <c r="AP427" s="40"/>
    </row>
    <row r="428">
      <c r="A428" s="40"/>
      <c r="B428" s="42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1"/>
      <c r="AM428" s="40"/>
      <c r="AN428" s="41"/>
      <c r="AO428" s="40"/>
      <c r="AP428" s="40"/>
    </row>
    <row r="429">
      <c r="A429" s="40"/>
      <c r="B429" s="42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1"/>
      <c r="AM429" s="40"/>
      <c r="AN429" s="41"/>
      <c r="AO429" s="40"/>
      <c r="AP429" s="40"/>
    </row>
    <row r="430">
      <c r="A430" s="40"/>
      <c r="B430" s="42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1"/>
      <c r="AM430" s="40"/>
      <c r="AN430" s="41"/>
      <c r="AO430" s="40"/>
      <c r="AP430" s="40"/>
    </row>
    <row r="431">
      <c r="A431" s="40"/>
      <c r="B431" s="42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1"/>
      <c r="AM431" s="40"/>
      <c r="AN431" s="41"/>
      <c r="AO431" s="40"/>
      <c r="AP431" s="40"/>
    </row>
    <row r="432">
      <c r="A432" s="40"/>
      <c r="B432" s="42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1"/>
      <c r="AM432" s="40"/>
      <c r="AN432" s="41"/>
      <c r="AO432" s="40"/>
      <c r="AP432" s="40"/>
    </row>
    <row r="433">
      <c r="A433" s="40"/>
      <c r="B433" s="42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1"/>
      <c r="AM433" s="40"/>
      <c r="AN433" s="41"/>
      <c r="AO433" s="40"/>
      <c r="AP433" s="40"/>
    </row>
    <row r="434">
      <c r="A434" s="40"/>
      <c r="B434" s="42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1"/>
      <c r="AM434" s="40"/>
      <c r="AN434" s="41"/>
      <c r="AO434" s="40"/>
      <c r="AP434" s="40"/>
    </row>
    <row r="435">
      <c r="A435" s="40"/>
      <c r="B435" s="42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1"/>
      <c r="AM435" s="40"/>
      <c r="AN435" s="41"/>
      <c r="AO435" s="40"/>
      <c r="AP435" s="40"/>
    </row>
    <row r="436">
      <c r="A436" s="40"/>
      <c r="B436" s="42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1"/>
      <c r="AM436" s="40"/>
      <c r="AN436" s="41"/>
      <c r="AO436" s="40"/>
      <c r="AP436" s="40"/>
    </row>
    <row r="437">
      <c r="A437" s="40"/>
      <c r="B437" s="42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1"/>
      <c r="AM437" s="40"/>
      <c r="AN437" s="41"/>
      <c r="AO437" s="40"/>
      <c r="AP437" s="40"/>
    </row>
    <row r="438">
      <c r="A438" s="40"/>
      <c r="B438" s="42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1"/>
      <c r="AM438" s="40"/>
      <c r="AN438" s="41"/>
      <c r="AO438" s="40"/>
      <c r="AP438" s="40"/>
    </row>
    <row r="439">
      <c r="A439" s="40"/>
      <c r="B439" s="42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1"/>
      <c r="AM439" s="40"/>
      <c r="AN439" s="41"/>
      <c r="AO439" s="40"/>
      <c r="AP439" s="40"/>
    </row>
    <row r="440">
      <c r="A440" s="40"/>
      <c r="B440" s="42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1"/>
      <c r="AM440" s="40"/>
      <c r="AN440" s="41"/>
      <c r="AO440" s="40"/>
      <c r="AP440" s="40"/>
    </row>
    <row r="441">
      <c r="A441" s="40"/>
      <c r="B441" s="42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1"/>
      <c r="AM441" s="40"/>
      <c r="AN441" s="41"/>
      <c r="AO441" s="40"/>
      <c r="AP441" s="40"/>
    </row>
    <row r="442">
      <c r="A442" s="40"/>
      <c r="B442" s="42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1"/>
      <c r="AM442" s="40"/>
      <c r="AN442" s="41"/>
      <c r="AO442" s="40"/>
      <c r="AP442" s="40"/>
    </row>
    <row r="443">
      <c r="A443" s="40"/>
      <c r="B443" s="42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1"/>
      <c r="AM443" s="40"/>
      <c r="AN443" s="41"/>
      <c r="AO443" s="40"/>
      <c r="AP443" s="40"/>
    </row>
    <row r="444">
      <c r="A444" s="40"/>
      <c r="B444" s="42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1"/>
      <c r="AM444" s="40"/>
      <c r="AN444" s="41"/>
      <c r="AO444" s="40"/>
      <c r="AP444" s="40"/>
    </row>
    <row r="445">
      <c r="A445" s="40"/>
      <c r="B445" s="42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1"/>
      <c r="AM445" s="40"/>
      <c r="AN445" s="41"/>
      <c r="AO445" s="40"/>
      <c r="AP445" s="40"/>
    </row>
    <row r="446">
      <c r="A446" s="40"/>
      <c r="B446" s="42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1"/>
      <c r="AM446" s="40"/>
      <c r="AN446" s="41"/>
      <c r="AO446" s="40"/>
      <c r="AP446" s="40"/>
    </row>
    <row r="447">
      <c r="A447" s="40"/>
      <c r="B447" s="42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1"/>
      <c r="AM447" s="40"/>
      <c r="AN447" s="41"/>
      <c r="AO447" s="40"/>
      <c r="AP447" s="40"/>
    </row>
    <row r="448">
      <c r="A448" s="40"/>
      <c r="B448" s="42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1"/>
      <c r="AM448" s="40"/>
      <c r="AN448" s="41"/>
      <c r="AO448" s="40"/>
      <c r="AP448" s="40"/>
    </row>
    <row r="449">
      <c r="A449" s="40"/>
      <c r="B449" s="42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1"/>
      <c r="AM449" s="40"/>
      <c r="AN449" s="41"/>
      <c r="AO449" s="40"/>
      <c r="AP449" s="40"/>
    </row>
    <row r="450">
      <c r="A450" s="40"/>
      <c r="B450" s="42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1"/>
      <c r="AM450" s="40"/>
      <c r="AN450" s="41"/>
      <c r="AO450" s="40"/>
      <c r="AP450" s="40"/>
    </row>
    <row r="451">
      <c r="A451" s="40"/>
      <c r="B451" s="42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1"/>
      <c r="AM451" s="40"/>
      <c r="AN451" s="41"/>
      <c r="AO451" s="40"/>
      <c r="AP451" s="40"/>
    </row>
    <row r="452">
      <c r="A452" s="40"/>
      <c r="B452" s="42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1"/>
      <c r="AM452" s="40"/>
      <c r="AN452" s="41"/>
      <c r="AO452" s="40"/>
      <c r="AP452" s="40"/>
    </row>
    <row r="453">
      <c r="A453" s="40"/>
      <c r="B453" s="42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1"/>
      <c r="AM453" s="40"/>
      <c r="AN453" s="41"/>
      <c r="AO453" s="40"/>
      <c r="AP453" s="40"/>
    </row>
    <row r="454">
      <c r="A454" s="40"/>
      <c r="B454" s="42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1"/>
      <c r="AM454" s="40"/>
      <c r="AN454" s="41"/>
      <c r="AO454" s="40"/>
      <c r="AP454" s="40"/>
    </row>
    <row r="455">
      <c r="A455" s="40"/>
      <c r="B455" s="42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1"/>
      <c r="AM455" s="40"/>
      <c r="AN455" s="41"/>
      <c r="AO455" s="40"/>
      <c r="AP455" s="40"/>
    </row>
    <row r="456">
      <c r="A456" s="40"/>
      <c r="B456" s="42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1"/>
      <c r="AM456" s="40"/>
      <c r="AN456" s="41"/>
      <c r="AO456" s="40"/>
      <c r="AP456" s="40"/>
    </row>
    <row r="457">
      <c r="A457" s="40"/>
      <c r="B457" s="42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1"/>
      <c r="AM457" s="40"/>
      <c r="AN457" s="41"/>
      <c r="AO457" s="40"/>
      <c r="AP457" s="40"/>
    </row>
    <row r="458">
      <c r="A458" s="40"/>
      <c r="B458" s="42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1"/>
      <c r="AM458" s="40"/>
      <c r="AN458" s="41"/>
      <c r="AO458" s="40"/>
      <c r="AP458" s="40"/>
    </row>
    <row r="459">
      <c r="A459" s="40"/>
      <c r="B459" s="42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1"/>
      <c r="AM459" s="40"/>
      <c r="AN459" s="41"/>
      <c r="AO459" s="40"/>
      <c r="AP459" s="40"/>
    </row>
    <row r="460">
      <c r="A460" s="40"/>
      <c r="B460" s="42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1"/>
      <c r="AM460" s="40"/>
      <c r="AN460" s="41"/>
      <c r="AO460" s="40"/>
      <c r="AP460" s="40"/>
    </row>
    <row r="461">
      <c r="A461" s="40"/>
      <c r="B461" s="42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1"/>
      <c r="AM461" s="40"/>
      <c r="AN461" s="41"/>
      <c r="AO461" s="40"/>
      <c r="AP461" s="40"/>
    </row>
    <row r="462">
      <c r="A462" s="40"/>
      <c r="B462" s="42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1"/>
      <c r="AM462" s="40"/>
      <c r="AN462" s="41"/>
      <c r="AO462" s="40"/>
      <c r="AP462" s="40"/>
    </row>
    <row r="463">
      <c r="A463" s="40"/>
      <c r="B463" s="42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1"/>
      <c r="AM463" s="40"/>
      <c r="AN463" s="41"/>
      <c r="AO463" s="40"/>
      <c r="AP463" s="40"/>
    </row>
    <row r="464">
      <c r="A464" s="40"/>
      <c r="B464" s="42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1"/>
      <c r="AM464" s="40"/>
      <c r="AN464" s="41"/>
      <c r="AO464" s="40"/>
      <c r="AP464" s="40"/>
    </row>
    <row r="465">
      <c r="A465" s="40"/>
      <c r="B465" s="42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1"/>
      <c r="AM465" s="40"/>
      <c r="AN465" s="41"/>
      <c r="AO465" s="40"/>
      <c r="AP465" s="40"/>
    </row>
    <row r="466">
      <c r="A466" s="40"/>
      <c r="B466" s="42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1"/>
      <c r="AM466" s="40"/>
      <c r="AN466" s="41"/>
      <c r="AO466" s="40"/>
      <c r="AP466" s="40"/>
    </row>
    <row r="467">
      <c r="A467" s="40"/>
      <c r="B467" s="42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1"/>
      <c r="AM467" s="40"/>
      <c r="AN467" s="41"/>
      <c r="AO467" s="40"/>
      <c r="AP467" s="40"/>
    </row>
    <row r="468">
      <c r="A468" s="40"/>
      <c r="B468" s="42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1"/>
      <c r="AM468" s="40"/>
      <c r="AN468" s="41"/>
      <c r="AO468" s="40"/>
      <c r="AP468" s="40"/>
    </row>
    <row r="469">
      <c r="A469" s="40"/>
      <c r="B469" s="42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1"/>
      <c r="AM469" s="40"/>
      <c r="AN469" s="41"/>
      <c r="AO469" s="40"/>
      <c r="AP469" s="40"/>
    </row>
    <row r="470">
      <c r="A470" s="40"/>
      <c r="B470" s="42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1"/>
      <c r="AM470" s="40"/>
      <c r="AN470" s="41"/>
      <c r="AO470" s="40"/>
      <c r="AP470" s="40"/>
    </row>
    <row r="471">
      <c r="A471" s="40"/>
      <c r="B471" s="42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1"/>
      <c r="AM471" s="40"/>
      <c r="AN471" s="41"/>
      <c r="AO471" s="40"/>
      <c r="AP471" s="40"/>
    </row>
    <row r="472">
      <c r="A472" s="40"/>
      <c r="B472" s="42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1"/>
      <c r="AM472" s="40"/>
      <c r="AN472" s="41"/>
      <c r="AO472" s="40"/>
      <c r="AP472" s="40"/>
    </row>
    <row r="473">
      <c r="A473" s="40"/>
      <c r="B473" s="42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1"/>
      <c r="AM473" s="40"/>
      <c r="AN473" s="41"/>
      <c r="AO473" s="40"/>
      <c r="AP473" s="40"/>
    </row>
    <row r="474">
      <c r="A474" s="40"/>
      <c r="B474" s="42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1"/>
      <c r="AM474" s="40"/>
      <c r="AN474" s="41"/>
      <c r="AO474" s="40"/>
      <c r="AP474" s="40"/>
    </row>
    <row r="475">
      <c r="A475" s="40"/>
      <c r="B475" s="42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1"/>
      <c r="AM475" s="40"/>
      <c r="AN475" s="41"/>
      <c r="AO475" s="40"/>
      <c r="AP475" s="40"/>
    </row>
    <row r="476">
      <c r="A476" s="40"/>
      <c r="B476" s="42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1"/>
      <c r="AM476" s="40"/>
      <c r="AN476" s="41"/>
      <c r="AO476" s="40"/>
      <c r="AP476" s="40"/>
    </row>
    <row r="477">
      <c r="A477" s="40"/>
      <c r="B477" s="42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1"/>
      <c r="AM477" s="40"/>
      <c r="AN477" s="41"/>
      <c r="AO477" s="40"/>
      <c r="AP477" s="40"/>
    </row>
    <row r="478">
      <c r="A478" s="40"/>
      <c r="B478" s="42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1"/>
      <c r="AM478" s="40"/>
      <c r="AN478" s="41"/>
      <c r="AO478" s="40"/>
      <c r="AP478" s="40"/>
    </row>
    <row r="479">
      <c r="A479" s="40"/>
      <c r="B479" s="42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1"/>
      <c r="AM479" s="40"/>
      <c r="AN479" s="41"/>
      <c r="AO479" s="40"/>
      <c r="AP479" s="40"/>
    </row>
    <row r="480">
      <c r="A480" s="40"/>
      <c r="B480" s="42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1"/>
      <c r="AM480" s="40"/>
      <c r="AN480" s="41"/>
      <c r="AO480" s="40"/>
      <c r="AP480" s="40"/>
    </row>
    <row r="481">
      <c r="A481" s="40"/>
      <c r="B481" s="42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1"/>
      <c r="AM481" s="40"/>
      <c r="AN481" s="41"/>
      <c r="AO481" s="40"/>
      <c r="AP481" s="40"/>
    </row>
    <row r="482">
      <c r="A482" s="40"/>
      <c r="B482" s="42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1"/>
      <c r="AM482" s="40"/>
      <c r="AN482" s="41"/>
      <c r="AO482" s="40"/>
      <c r="AP482" s="40"/>
    </row>
    <row r="483">
      <c r="A483" s="40"/>
      <c r="B483" s="42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1"/>
      <c r="AM483" s="40"/>
      <c r="AN483" s="41"/>
      <c r="AO483" s="40"/>
      <c r="AP483" s="40"/>
    </row>
    <row r="484">
      <c r="A484" s="40"/>
      <c r="B484" s="42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1"/>
      <c r="AM484" s="40"/>
      <c r="AN484" s="41"/>
      <c r="AO484" s="40"/>
      <c r="AP484" s="40"/>
    </row>
    <row r="485">
      <c r="A485" s="40"/>
      <c r="B485" s="42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1"/>
      <c r="AM485" s="40"/>
      <c r="AN485" s="41"/>
      <c r="AO485" s="40"/>
      <c r="AP485" s="40"/>
    </row>
    <row r="486">
      <c r="A486" s="40"/>
      <c r="B486" s="42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1"/>
      <c r="AM486" s="40"/>
      <c r="AN486" s="41"/>
      <c r="AO486" s="40"/>
      <c r="AP486" s="40"/>
    </row>
    <row r="487">
      <c r="A487" s="40"/>
      <c r="B487" s="42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1"/>
      <c r="AM487" s="40"/>
      <c r="AN487" s="41"/>
      <c r="AO487" s="40"/>
      <c r="AP487" s="40"/>
    </row>
    <row r="488">
      <c r="A488" s="40"/>
      <c r="B488" s="42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1"/>
      <c r="AM488" s="40"/>
      <c r="AN488" s="41"/>
      <c r="AO488" s="40"/>
      <c r="AP488" s="40"/>
    </row>
    <row r="489">
      <c r="A489" s="40"/>
      <c r="B489" s="42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1"/>
      <c r="AM489" s="40"/>
      <c r="AN489" s="41"/>
      <c r="AO489" s="40"/>
      <c r="AP489" s="40"/>
    </row>
    <row r="490">
      <c r="A490" s="40"/>
      <c r="B490" s="42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1"/>
      <c r="AM490" s="40"/>
      <c r="AN490" s="41"/>
      <c r="AO490" s="40"/>
      <c r="AP490" s="40"/>
    </row>
    <row r="491">
      <c r="A491" s="40"/>
      <c r="B491" s="42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1"/>
      <c r="AM491" s="40"/>
      <c r="AN491" s="41"/>
      <c r="AO491" s="40"/>
      <c r="AP491" s="40"/>
    </row>
    <row r="492">
      <c r="A492" s="40"/>
      <c r="B492" s="42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1"/>
      <c r="AM492" s="40"/>
      <c r="AN492" s="41"/>
      <c r="AO492" s="40"/>
      <c r="AP492" s="40"/>
    </row>
    <row r="493">
      <c r="A493" s="40"/>
      <c r="B493" s="42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1"/>
      <c r="AM493" s="40"/>
      <c r="AN493" s="41"/>
      <c r="AO493" s="40"/>
      <c r="AP493" s="40"/>
    </row>
    <row r="494">
      <c r="A494" s="40"/>
      <c r="B494" s="42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1"/>
      <c r="AM494" s="40"/>
      <c r="AN494" s="41"/>
      <c r="AO494" s="40"/>
      <c r="AP494" s="40"/>
    </row>
    <row r="495">
      <c r="A495" s="40"/>
      <c r="B495" s="42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1"/>
      <c r="AM495" s="40"/>
      <c r="AN495" s="41"/>
      <c r="AO495" s="40"/>
      <c r="AP495" s="40"/>
    </row>
    <row r="496">
      <c r="A496" s="40"/>
      <c r="B496" s="42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1"/>
      <c r="AM496" s="40"/>
      <c r="AN496" s="41"/>
      <c r="AO496" s="40"/>
      <c r="AP496" s="40"/>
    </row>
    <row r="497">
      <c r="A497" s="40"/>
      <c r="B497" s="42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1"/>
      <c r="AM497" s="40"/>
      <c r="AN497" s="41"/>
      <c r="AO497" s="40"/>
      <c r="AP497" s="40"/>
    </row>
    <row r="498">
      <c r="A498" s="40"/>
      <c r="B498" s="42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1"/>
      <c r="AM498" s="40"/>
      <c r="AN498" s="41"/>
      <c r="AO498" s="40"/>
      <c r="AP498" s="40"/>
    </row>
    <row r="499">
      <c r="A499" s="40"/>
      <c r="B499" s="42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1"/>
      <c r="AM499" s="40"/>
      <c r="AN499" s="41"/>
      <c r="AO499" s="40"/>
      <c r="AP499" s="40"/>
    </row>
    <row r="500">
      <c r="A500" s="40"/>
      <c r="B500" s="42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1"/>
      <c r="AM500" s="40"/>
      <c r="AN500" s="41"/>
      <c r="AO500" s="40"/>
      <c r="AP500" s="40"/>
    </row>
    <row r="501">
      <c r="A501" s="40"/>
      <c r="B501" s="42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1"/>
      <c r="AM501" s="40"/>
      <c r="AN501" s="41"/>
      <c r="AO501" s="40"/>
      <c r="AP501" s="40"/>
    </row>
    <row r="502">
      <c r="A502" s="40"/>
      <c r="B502" s="42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1"/>
      <c r="AM502" s="40"/>
      <c r="AN502" s="41"/>
      <c r="AO502" s="40"/>
      <c r="AP502" s="40"/>
    </row>
    <row r="503">
      <c r="A503" s="40"/>
      <c r="B503" s="42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1"/>
      <c r="AM503" s="40"/>
      <c r="AN503" s="41"/>
      <c r="AO503" s="40"/>
      <c r="AP503" s="40"/>
    </row>
    <row r="504">
      <c r="A504" s="40"/>
      <c r="B504" s="42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1"/>
      <c r="AM504" s="40"/>
      <c r="AN504" s="41"/>
      <c r="AO504" s="40"/>
      <c r="AP504" s="40"/>
    </row>
    <row r="505">
      <c r="A505" s="40"/>
      <c r="B505" s="42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1"/>
      <c r="AM505" s="40"/>
      <c r="AN505" s="41"/>
      <c r="AO505" s="40"/>
      <c r="AP505" s="40"/>
    </row>
    <row r="506">
      <c r="A506" s="40"/>
      <c r="B506" s="42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1"/>
      <c r="AM506" s="40"/>
      <c r="AN506" s="41"/>
      <c r="AO506" s="40"/>
      <c r="AP506" s="40"/>
    </row>
    <row r="507">
      <c r="A507" s="40"/>
      <c r="B507" s="42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1"/>
      <c r="AM507" s="40"/>
      <c r="AN507" s="41"/>
      <c r="AO507" s="40"/>
      <c r="AP507" s="40"/>
    </row>
    <row r="508">
      <c r="A508" s="40"/>
      <c r="B508" s="42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1"/>
      <c r="AM508" s="40"/>
      <c r="AN508" s="41"/>
      <c r="AO508" s="40"/>
      <c r="AP508" s="40"/>
    </row>
    <row r="509">
      <c r="A509" s="40"/>
      <c r="B509" s="42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1"/>
      <c r="AM509" s="40"/>
      <c r="AN509" s="41"/>
      <c r="AO509" s="40"/>
      <c r="AP509" s="40"/>
    </row>
    <row r="510">
      <c r="A510" s="40"/>
      <c r="B510" s="42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1"/>
      <c r="AM510" s="40"/>
      <c r="AN510" s="41"/>
      <c r="AO510" s="40"/>
      <c r="AP510" s="40"/>
    </row>
    <row r="511">
      <c r="A511" s="40"/>
      <c r="B511" s="42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1"/>
      <c r="AM511" s="40"/>
      <c r="AN511" s="41"/>
      <c r="AO511" s="40"/>
      <c r="AP511" s="40"/>
    </row>
    <row r="512">
      <c r="A512" s="40"/>
      <c r="B512" s="42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1"/>
      <c r="AM512" s="40"/>
      <c r="AN512" s="41"/>
      <c r="AO512" s="40"/>
      <c r="AP512" s="40"/>
    </row>
    <row r="513">
      <c r="A513" s="40"/>
      <c r="B513" s="42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1"/>
      <c r="AM513" s="40"/>
      <c r="AN513" s="41"/>
      <c r="AO513" s="40"/>
      <c r="AP513" s="40"/>
    </row>
    <row r="514">
      <c r="A514" s="40"/>
      <c r="B514" s="42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1"/>
      <c r="AM514" s="40"/>
      <c r="AN514" s="41"/>
      <c r="AO514" s="40"/>
      <c r="AP514" s="40"/>
    </row>
    <row r="515">
      <c r="A515" s="40"/>
      <c r="B515" s="42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1"/>
      <c r="AM515" s="40"/>
      <c r="AN515" s="41"/>
      <c r="AO515" s="40"/>
      <c r="AP515" s="40"/>
    </row>
    <row r="516">
      <c r="A516" s="40"/>
      <c r="B516" s="42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1"/>
      <c r="AM516" s="40"/>
      <c r="AN516" s="41"/>
      <c r="AO516" s="40"/>
      <c r="AP516" s="40"/>
    </row>
    <row r="517">
      <c r="A517" s="40"/>
      <c r="B517" s="42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1"/>
      <c r="AM517" s="40"/>
      <c r="AN517" s="41"/>
      <c r="AO517" s="40"/>
      <c r="AP517" s="40"/>
    </row>
    <row r="518">
      <c r="A518" s="40"/>
      <c r="B518" s="42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1"/>
      <c r="AM518" s="40"/>
      <c r="AN518" s="41"/>
      <c r="AO518" s="40"/>
      <c r="AP518" s="40"/>
    </row>
    <row r="519">
      <c r="A519" s="40"/>
      <c r="B519" s="42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1"/>
      <c r="AM519" s="40"/>
      <c r="AN519" s="41"/>
      <c r="AO519" s="40"/>
      <c r="AP519" s="40"/>
    </row>
    <row r="520">
      <c r="A520" s="40"/>
      <c r="B520" s="42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1"/>
      <c r="AM520" s="40"/>
      <c r="AN520" s="41"/>
      <c r="AO520" s="40"/>
      <c r="AP520" s="40"/>
    </row>
    <row r="521">
      <c r="A521" s="40"/>
      <c r="B521" s="42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1"/>
      <c r="AM521" s="40"/>
      <c r="AN521" s="41"/>
      <c r="AO521" s="40"/>
      <c r="AP521" s="40"/>
    </row>
    <row r="522">
      <c r="A522" s="40"/>
      <c r="B522" s="42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1"/>
      <c r="AM522" s="40"/>
      <c r="AN522" s="41"/>
      <c r="AO522" s="40"/>
      <c r="AP522" s="40"/>
    </row>
    <row r="523">
      <c r="A523" s="40"/>
      <c r="B523" s="42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1"/>
      <c r="AM523" s="40"/>
      <c r="AN523" s="41"/>
      <c r="AO523" s="40"/>
      <c r="AP523" s="40"/>
    </row>
    <row r="524">
      <c r="A524" s="40"/>
      <c r="B524" s="42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1"/>
      <c r="AM524" s="40"/>
      <c r="AN524" s="41"/>
      <c r="AO524" s="40"/>
      <c r="AP524" s="40"/>
    </row>
    <row r="525">
      <c r="A525" s="40"/>
      <c r="B525" s="42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1"/>
      <c r="AM525" s="40"/>
      <c r="AN525" s="41"/>
      <c r="AO525" s="40"/>
      <c r="AP525" s="40"/>
    </row>
    <row r="526">
      <c r="A526" s="40"/>
      <c r="B526" s="42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1"/>
      <c r="AM526" s="40"/>
      <c r="AN526" s="41"/>
      <c r="AO526" s="40"/>
      <c r="AP526" s="40"/>
    </row>
    <row r="527">
      <c r="A527" s="40"/>
      <c r="B527" s="42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1"/>
      <c r="AM527" s="40"/>
      <c r="AN527" s="41"/>
      <c r="AO527" s="40"/>
      <c r="AP527" s="40"/>
    </row>
    <row r="528">
      <c r="A528" s="40"/>
      <c r="B528" s="42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1"/>
      <c r="AM528" s="40"/>
      <c r="AN528" s="41"/>
      <c r="AO528" s="40"/>
      <c r="AP528" s="40"/>
    </row>
    <row r="529">
      <c r="A529" s="40"/>
      <c r="B529" s="42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1"/>
      <c r="AM529" s="40"/>
      <c r="AN529" s="41"/>
      <c r="AO529" s="40"/>
      <c r="AP529" s="40"/>
    </row>
    <row r="530">
      <c r="A530" s="40"/>
      <c r="B530" s="42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1"/>
      <c r="AM530" s="40"/>
      <c r="AN530" s="41"/>
      <c r="AO530" s="40"/>
      <c r="AP530" s="40"/>
    </row>
    <row r="531">
      <c r="A531" s="40"/>
      <c r="B531" s="42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1"/>
      <c r="AM531" s="40"/>
      <c r="AN531" s="41"/>
      <c r="AO531" s="40"/>
      <c r="AP531" s="40"/>
    </row>
    <row r="532">
      <c r="A532" s="40"/>
      <c r="B532" s="42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1"/>
      <c r="AM532" s="40"/>
      <c r="AN532" s="41"/>
      <c r="AO532" s="40"/>
      <c r="AP532" s="40"/>
    </row>
    <row r="533">
      <c r="A533" s="40"/>
      <c r="B533" s="42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1"/>
      <c r="AM533" s="40"/>
      <c r="AN533" s="41"/>
      <c r="AO533" s="40"/>
      <c r="AP533" s="40"/>
    </row>
    <row r="534">
      <c r="A534" s="40"/>
      <c r="B534" s="42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1"/>
      <c r="AM534" s="40"/>
      <c r="AN534" s="41"/>
      <c r="AO534" s="40"/>
      <c r="AP534" s="40"/>
    </row>
    <row r="535">
      <c r="A535" s="40"/>
      <c r="B535" s="42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1"/>
      <c r="AM535" s="40"/>
      <c r="AN535" s="41"/>
      <c r="AO535" s="40"/>
      <c r="AP535" s="40"/>
    </row>
    <row r="536">
      <c r="A536" s="40"/>
      <c r="B536" s="42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1"/>
      <c r="AM536" s="40"/>
      <c r="AN536" s="41"/>
      <c r="AO536" s="40"/>
      <c r="AP536" s="40"/>
    </row>
    <row r="537">
      <c r="A537" s="40"/>
      <c r="B537" s="42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1"/>
      <c r="AM537" s="40"/>
      <c r="AN537" s="41"/>
      <c r="AO537" s="40"/>
      <c r="AP537" s="40"/>
    </row>
    <row r="538">
      <c r="A538" s="40"/>
      <c r="B538" s="42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1"/>
      <c r="AM538" s="40"/>
      <c r="AN538" s="41"/>
      <c r="AO538" s="40"/>
      <c r="AP538" s="40"/>
    </row>
    <row r="539">
      <c r="A539" s="40"/>
      <c r="B539" s="42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1"/>
      <c r="AM539" s="40"/>
      <c r="AN539" s="41"/>
      <c r="AO539" s="40"/>
      <c r="AP539" s="40"/>
    </row>
    <row r="540">
      <c r="A540" s="40"/>
      <c r="B540" s="42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1"/>
      <c r="AM540" s="40"/>
      <c r="AN540" s="41"/>
      <c r="AO540" s="40"/>
      <c r="AP540" s="40"/>
    </row>
    <row r="541">
      <c r="A541" s="40"/>
      <c r="B541" s="42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1"/>
      <c r="AM541" s="40"/>
      <c r="AN541" s="41"/>
      <c r="AO541" s="40"/>
      <c r="AP541" s="40"/>
    </row>
    <row r="542">
      <c r="A542" s="40"/>
      <c r="B542" s="42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1"/>
      <c r="AM542" s="40"/>
      <c r="AN542" s="41"/>
      <c r="AO542" s="40"/>
      <c r="AP542" s="40"/>
    </row>
    <row r="543">
      <c r="A543" s="40"/>
      <c r="B543" s="42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1"/>
      <c r="AM543" s="40"/>
      <c r="AN543" s="41"/>
      <c r="AO543" s="40"/>
      <c r="AP543" s="40"/>
    </row>
    <row r="544">
      <c r="A544" s="40"/>
      <c r="B544" s="42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1"/>
      <c r="AM544" s="40"/>
      <c r="AN544" s="41"/>
      <c r="AO544" s="40"/>
      <c r="AP544" s="40"/>
    </row>
    <row r="545">
      <c r="A545" s="40"/>
      <c r="B545" s="42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1"/>
      <c r="AM545" s="40"/>
      <c r="AN545" s="41"/>
      <c r="AO545" s="40"/>
      <c r="AP545" s="40"/>
    </row>
    <row r="546">
      <c r="A546" s="40"/>
      <c r="B546" s="42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1"/>
      <c r="AM546" s="40"/>
      <c r="AN546" s="41"/>
      <c r="AO546" s="40"/>
      <c r="AP546" s="40"/>
    </row>
    <row r="547">
      <c r="A547" s="40"/>
      <c r="B547" s="42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1"/>
      <c r="AM547" s="40"/>
      <c r="AN547" s="41"/>
      <c r="AO547" s="40"/>
      <c r="AP547" s="40"/>
    </row>
    <row r="548">
      <c r="A548" s="40"/>
      <c r="B548" s="42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1"/>
      <c r="AM548" s="40"/>
      <c r="AN548" s="41"/>
      <c r="AO548" s="40"/>
      <c r="AP548" s="40"/>
    </row>
    <row r="549">
      <c r="A549" s="40"/>
      <c r="B549" s="42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1"/>
      <c r="AM549" s="40"/>
      <c r="AN549" s="41"/>
      <c r="AO549" s="40"/>
      <c r="AP549" s="40"/>
    </row>
    <row r="550">
      <c r="A550" s="40"/>
      <c r="B550" s="42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1"/>
      <c r="AM550" s="40"/>
      <c r="AN550" s="41"/>
      <c r="AO550" s="40"/>
      <c r="AP550" s="40"/>
    </row>
    <row r="551">
      <c r="A551" s="40"/>
      <c r="B551" s="42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1"/>
      <c r="AM551" s="40"/>
      <c r="AN551" s="41"/>
      <c r="AO551" s="40"/>
      <c r="AP551" s="40"/>
    </row>
    <row r="552">
      <c r="A552" s="40"/>
      <c r="B552" s="42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1"/>
      <c r="AM552" s="40"/>
      <c r="AN552" s="41"/>
      <c r="AO552" s="40"/>
      <c r="AP552" s="40"/>
    </row>
    <row r="553">
      <c r="A553" s="40"/>
      <c r="B553" s="42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1"/>
      <c r="AM553" s="40"/>
      <c r="AN553" s="41"/>
      <c r="AO553" s="40"/>
      <c r="AP553" s="40"/>
    </row>
    <row r="554">
      <c r="A554" s="40"/>
      <c r="B554" s="42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1"/>
      <c r="AM554" s="40"/>
      <c r="AN554" s="41"/>
      <c r="AO554" s="40"/>
      <c r="AP554" s="40"/>
    </row>
    <row r="555">
      <c r="A555" s="40"/>
      <c r="B555" s="42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1"/>
      <c r="AM555" s="40"/>
      <c r="AN555" s="41"/>
      <c r="AO555" s="40"/>
      <c r="AP555" s="40"/>
    </row>
    <row r="556">
      <c r="A556" s="40"/>
      <c r="B556" s="42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1"/>
      <c r="AM556" s="40"/>
      <c r="AN556" s="41"/>
      <c r="AO556" s="40"/>
      <c r="AP556" s="40"/>
    </row>
    <row r="557">
      <c r="A557" s="40"/>
      <c r="B557" s="42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1"/>
      <c r="AM557" s="40"/>
      <c r="AN557" s="41"/>
      <c r="AO557" s="40"/>
      <c r="AP557" s="40"/>
    </row>
    <row r="558">
      <c r="A558" s="40"/>
      <c r="B558" s="42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1"/>
      <c r="AM558" s="40"/>
      <c r="AN558" s="41"/>
      <c r="AO558" s="40"/>
      <c r="AP558" s="40"/>
    </row>
    <row r="559">
      <c r="A559" s="40"/>
      <c r="B559" s="42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1"/>
      <c r="AM559" s="40"/>
      <c r="AN559" s="41"/>
      <c r="AO559" s="40"/>
      <c r="AP559" s="40"/>
    </row>
    <row r="560">
      <c r="A560" s="40"/>
      <c r="B560" s="42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1"/>
      <c r="AM560" s="40"/>
      <c r="AN560" s="41"/>
      <c r="AO560" s="40"/>
      <c r="AP560" s="40"/>
    </row>
    <row r="561">
      <c r="A561" s="40"/>
      <c r="B561" s="42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1"/>
      <c r="AM561" s="40"/>
      <c r="AN561" s="41"/>
      <c r="AO561" s="40"/>
      <c r="AP561" s="40"/>
    </row>
    <row r="562">
      <c r="A562" s="40"/>
      <c r="B562" s="42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1"/>
      <c r="AM562" s="40"/>
      <c r="AN562" s="41"/>
      <c r="AO562" s="40"/>
      <c r="AP562" s="40"/>
    </row>
    <row r="563">
      <c r="A563" s="40"/>
      <c r="B563" s="42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1"/>
      <c r="AM563" s="40"/>
      <c r="AN563" s="41"/>
      <c r="AO563" s="40"/>
      <c r="AP563" s="40"/>
    </row>
    <row r="564">
      <c r="A564" s="40"/>
      <c r="B564" s="42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1"/>
      <c r="AM564" s="40"/>
      <c r="AN564" s="41"/>
      <c r="AO564" s="40"/>
      <c r="AP564" s="40"/>
    </row>
    <row r="565">
      <c r="A565" s="40"/>
      <c r="B565" s="42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1"/>
      <c r="AM565" s="40"/>
      <c r="AN565" s="41"/>
      <c r="AO565" s="40"/>
      <c r="AP565" s="40"/>
    </row>
    <row r="566">
      <c r="A566" s="40"/>
      <c r="B566" s="42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1"/>
      <c r="AM566" s="40"/>
      <c r="AN566" s="41"/>
      <c r="AO566" s="40"/>
      <c r="AP566" s="40"/>
    </row>
    <row r="567">
      <c r="A567" s="40"/>
      <c r="B567" s="42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1"/>
      <c r="AM567" s="40"/>
      <c r="AN567" s="41"/>
      <c r="AO567" s="40"/>
      <c r="AP567" s="40"/>
    </row>
    <row r="568">
      <c r="A568" s="40"/>
      <c r="B568" s="42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1"/>
      <c r="AM568" s="40"/>
      <c r="AN568" s="41"/>
      <c r="AO568" s="40"/>
      <c r="AP568" s="40"/>
    </row>
    <row r="569">
      <c r="A569" s="40"/>
      <c r="B569" s="42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1"/>
      <c r="AM569" s="40"/>
      <c r="AN569" s="41"/>
      <c r="AO569" s="40"/>
      <c r="AP569" s="40"/>
    </row>
    <row r="570">
      <c r="A570" s="40"/>
      <c r="B570" s="42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1"/>
      <c r="AM570" s="40"/>
      <c r="AN570" s="41"/>
      <c r="AO570" s="40"/>
      <c r="AP570" s="40"/>
    </row>
    <row r="571">
      <c r="A571" s="40"/>
      <c r="B571" s="42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1"/>
      <c r="AM571" s="40"/>
      <c r="AN571" s="41"/>
      <c r="AO571" s="40"/>
      <c r="AP571" s="40"/>
    </row>
    <row r="572">
      <c r="A572" s="40"/>
      <c r="B572" s="42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1"/>
      <c r="AM572" s="40"/>
      <c r="AN572" s="41"/>
      <c r="AO572" s="40"/>
      <c r="AP572" s="40"/>
    </row>
    <row r="573">
      <c r="A573" s="40"/>
      <c r="B573" s="42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1"/>
      <c r="AM573" s="40"/>
      <c r="AN573" s="41"/>
      <c r="AO573" s="40"/>
      <c r="AP573" s="40"/>
    </row>
    <row r="574">
      <c r="A574" s="40"/>
      <c r="B574" s="42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1"/>
      <c r="AM574" s="40"/>
      <c r="AN574" s="41"/>
      <c r="AO574" s="40"/>
      <c r="AP574" s="40"/>
    </row>
    <row r="575">
      <c r="A575" s="40"/>
      <c r="B575" s="42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1"/>
      <c r="AM575" s="40"/>
      <c r="AN575" s="41"/>
      <c r="AO575" s="40"/>
      <c r="AP575" s="40"/>
    </row>
    <row r="576">
      <c r="A576" s="40"/>
      <c r="B576" s="42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1"/>
      <c r="AM576" s="40"/>
      <c r="AN576" s="41"/>
      <c r="AO576" s="40"/>
      <c r="AP576" s="40"/>
    </row>
    <row r="577">
      <c r="A577" s="40"/>
      <c r="B577" s="42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1"/>
      <c r="AM577" s="40"/>
      <c r="AN577" s="41"/>
      <c r="AO577" s="40"/>
      <c r="AP577" s="40"/>
    </row>
    <row r="578">
      <c r="A578" s="40"/>
      <c r="B578" s="42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1"/>
      <c r="AM578" s="40"/>
      <c r="AN578" s="41"/>
      <c r="AO578" s="40"/>
      <c r="AP578" s="40"/>
    </row>
    <row r="579">
      <c r="A579" s="40"/>
      <c r="B579" s="42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1"/>
      <c r="AM579" s="40"/>
      <c r="AN579" s="41"/>
      <c r="AO579" s="40"/>
      <c r="AP579" s="40"/>
    </row>
    <row r="580">
      <c r="A580" s="40"/>
      <c r="B580" s="42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1"/>
      <c r="AM580" s="40"/>
      <c r="AN580" s="41"/>
      <c r="AO580" s="40"/>
      <c r="AP580" s="40"/>
    </row>
    <row r="581">
      <c r="A581" s="40"/>
      <c r="B581" s="42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1"/>
      <c r="AM581" s="40"/>
      <c r="AN581" s="41"/>
      <c r="AO581" s="40"/>
      <c r="AP581" s="40"/>
    </row>
    <row r="582">
      <c r="A582" s="40"/>
      <c r="B582" s="42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1"/>
      <c r="AM582" s="40"/>
      <c r="AN582" s="41"/>
      <c r="AO582" s="40"/>
      <c r="AP582" s="40"/>
    </row>
    <row r="583">
      <c r="A583" s="40"/>
      <c r="B583" s="42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1"/>
      <c r="AM583" s="40"/>
      <c r="AN583" s="41"/>
      <c r="AO583" s="40"/>
      <c r="AP583" s="40"/>
    </row>
    <row r="584">
      <c r="A584" s="40"/>
      <c r="B584" s="42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1"/>
      <c r="AM584" s="40"/>
      <c r="AN584" s="41"/>
      <c r="AO584" s="40"/>
      <c r="AP584" s="40"/>
    </row>
    <row r="585">
      <c r="A585" s="40"/>
      <c r="B585" s="42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1"/>
      <c r="AM585" s="40"/>
      <c r="AN585" s="41"/>
      <c r="AO585" s="40"/>
      <c r="AP585" s="40"/>
    </row>
    <row r="586">
      <c r="A586" s="40"/>
      <c r="B586" s="42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1"/>
      <c r="AM586" s="40"/>
      <c r="AN586" s="41"/>
      <c r="AO586" s="40"/>
      <c r="AP586" s="40"/>
    </row>
    <row r="587">
      <c r="A587" s="40"/>
      <c r="B587" s="42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1"/>
      <c r="AM587" s="40"/>
      <c r="AN587" s="41"/>
      <c r="AO587" s="40"/>
      <c r="AP587" s="40"/>
    </row>
    <row r="588">
      <c r="A588" s="40"/>
      <c r="B588" s="42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1"/>
      <c r="AM588" s="40"/>
      <c r="AN588" s="41"/>
      <c r="AO588" s="40"/>
      <c r="AP588" s="40"/>
    </row>
    <row r="589">
      <c r="A589" s="40"/>
      <c r="B589" s="42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1"/>
      <c r="AM589" s="40"/>
      <c r="AN589" s="41"/>
      <c r="AO589" s="40"/>
      <c r="AP589" s="40"/>
    </row>
    <row r="590">
      <c r="A590" s="40"/>
      <c r="B590" s="42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1"/>
      <c r="AM590" s="40"/>
      <c r="AN590" s="41"/>
      <c r="AO590" s="40"/>
      <c r="AP590" s="40"/>
    </row>
    <row r="591">
      <c r="A591" s="40"/>
      <c r="B591" s="42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1"/>
      <c r="AM591" s="40"/>
      <c r="AN591" s="41"/>
      <c r="AO591" s="40"/>
      <c r="AP591" s="40"/>
    </row>
    <row r="592">
      <c r="A592" s="40"/>
      <c r="B592" s="42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1"/>
      <c r="AM592" s="40"/>
      <c r="AN592" s="41"/>
      <c r="AO592" s="40"/>
      <c r="AP592" s="40"/>
    </row>
    <row r="593">
      <c r="A593" s="40"/>
      <c r="B593" s="42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1"/>
      <c r="AM593" s="40"/>
      <c r="AN593" s="41"/>
      <c r="AO593" s="40"/>
      <c r="AP593" s="40"/>
    </row>
    <row r="594">
      <c r="A594" s="40"/>
      <c r="B594" s="42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1"/>
      <c r="AM594" s="40"/>
      <c r="AN594" s="41"/>
      <c r="AO594" s="40"/>
      <c r="AP594" s="40"/>
    </row>
    <row r="595">
      <c r="A595" s="40"/>
      <c r="B595" s="42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1"/>
      <c r="AM595" s="40"/>
      <c r="AN595" s="41"/>
      <c r="AO595" s="40"/>
      <c r="AP595" s="40"/>
    </row>
    <row r="596">
      <c r="A596" s="40"/>
      <c r="B596" s="42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1"/>
      <c r="AM596" s="40"/>
      <c r="AN596" s="41"/>
      <c r="AO596" s="40"/>
      <c r="AP596" s="40"/>
    </row>
    <row r="597">
      <c r="A597" s="40"/>
      <c r="B597" s="42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1"/>
      <c r="AM597" s="40"/>
      <c r="AN597" s="41"/>
      <c r="AO597" s="40"/>
      <c r="AP597" s="40"/>
    </row>
    <row r="598">
      <c r="A598" s="40"/>
      <c r="B598" s="42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1"/>
      <c r="AM598" s="40"/>
      <c r="AN598" s="41"/>
      <c r="AO598" s="40"/>
      <c r="AP598" s="40"/>
    </row>
    <row r="599">
      <c r="A599" s="40"/>
      <c r="B599" s="42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1"/>
      <c r="AM599" s="40"/>
      <c r="AN599" s="41"/>
      <c r="AO599" s="40"/>
      <c r="AP599" s="40"/>
    </row>
    <row r="600">
      <c r="A600" s="40"/>
      <c r="B600" s="42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1"/>
      <c r="AM600" s="40"/>
      <c r="AN600" s="41"/>
      <c r="AO600" s="40"/>
      <c r="AP600" s="40"/>
    </row>
    <row r="601">
      <c r="A601" s="40"/>
      <c r="B601" s="42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1"/>
      <c r="AM601" s="40"/>
      <c r="AN601" s="41"/>
      <c r="AO601" s="40"/>
      <c r="AP601" s="40"/>
    </row>
    <row r="602">
      <c r="A602" s="40"/>
      <c r="B602" s="42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1"/>
      <c r="AM602" s="40"/>
      <c r="AN602" s="41"/>
      <c r="AO602" s="40"/>
      <c r="AP602" s="40"/>
    </row>
    <row r="603">
      <c r="A603" s="40"/>
      <c r="B603" s="42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1"/>
      <c r="AM603" s="40"/>
      <c r="AN603" s="41"/>
      <c r="AO603" s="40"/>
      <c r="AP603" s="40"/>
    </row>
    <row r="604">
      <c r="A604" s="40"/>
      <c r="B604" s="42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1"/>
      <c r="AM604" s="40"/>
      <c r="AN604" s="41"/>
      <c r="AO604" s="40"/>
      <c r="AP604" s="40"/>
    </row>
    <row r="605">
      <c r="A605" s="40"/>
      <c r="B605" s="42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1"/>
      <c r="AM605" s="40"/>
      <c r="AN605" s="41"/>
      <c r="AO605" s="40"/>
      <c r="AP605" s="40"/>
    </row>
    <row r="606">
      <c r="A606" s="40"/>
      <c r="B606" s="42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1"/>
      <c r="AM606" s="40"/>
      <c r="AN606" s="41"/>
      <c r="AO606" s="40"/>
      <c r="AP606" s="40"/>
    </row>
    <row r="607">
      <c r="A607" s="40"/>
      <c r="B607" s="42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1"/>
      <c r="AM607" s="40"/>
      <c r="AN607" s="41"/>
      <c r="AO607" s="40"/>
      <c r="AP607" s="40"/>
    </row>
    <row r="608">
      <c r="A608" s="40"/>
      <c r="B608" s="42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1"/>
      <c r="AM608" s="40"/>
      <c r="AN608" s="41"/>
      <c r="AO608" s="40"/>
      <c r="AP608" s="40"/>
    </row>
    <row r="609">
      <c r="A609" s="40"/>
      <c r="B609" s="42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1"/>
      <c r="AM609" s="40"/>
      <c r="AN609" s="41"/>
      <c r="AO609" s="40"/>
      <c r="AP609" s="40"/>
    </row>
    <row r="610">
      <c r="A610" s="40"/>
      <c r="B610" s="42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1"/>
      <c r="AM610" s="40"/>
      <c r="AN610" s="41"/>
      <c r="AO610" s="40"/>
      <c r="AP610" s="40"/>
    </row>
    <row r="611">
      <c r="A611" s="40"/>
      <c r="B611" s="42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1"/>
      <c r="AM611" s="40"/>
      <c r="AN611" s="41"/>
      <c r="AO611" s="40"/>
      <c r="AP611" s="40"/>
    </row>
    <row r="612">
      <c r="A612" s="40"/>
      <c r="B612" s="42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1"/>
      <c r="AM612" s="40"/>
      <c r="AN612" s="41"/>
      <c r="AO612" s="40"/>
      <c r="AP612" s="40"/>
    </row>
    <row r="613">
      <c r="A613" s="40"/>
      <c r="B613" s="42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1"/>
      <c r="AM613" s="40"/>
      <c r="AN613" s="41"/>
      <c r="AO613" s="40"/>
      <c r="AP613" s="40"/>
    </row>
    <row r="614">
      <c r="A614" s="40"/>
      <c r="B614" s="42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1"/>
      <c r="AM614" s="40"/>
      <c r="AN614" s="41"/>
      <c r="AO614" s="40"/>
      <c r="AP614" s="40"/>
    </row>
    <row r="615">
      <c r="A615" s="40"/>
      <c r="B615" s="42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1"/>
      <c r="AM615" s="40"/>
      <c r="AN615" s="41"/>
      <c r="AO615" s="40"/>
      <c r="AP615" s="40"/>
    </row>
    <row r="616">
      <c r="A616" s="40"/>
      <c r="B616" s="42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1"/>
      <c r="AM616" s="40"/>
      <c r="AN616" s="41"/>
      <c r="AO616" s="40"/>
      <c r="AP616" s="40"/>
    </row>
    <row r="617">
      <c r="A617" s="40"/>
      <c r="B617" s="42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1"/>
      <c r="AM617" s="40"/>
      <c r="AN617" s="41"/>
      <c r="AO617" s="40"/>
      <c r="AP617" s="40"/>
    </row>
    <row r="618">
      <c r="A618" s="40"/>
      <c r="B618" s="42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1"/>
      <c r="AM618" s="40"/>
      <c r="AN618" s="41"/>
      <c r="AO618" s="40"/>
      <c r="AP618" s="40"/>
    </row>
    <row r="619">
      <c r="A619" s="40"/>
      <c r="B619" s="42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1"/>
      <c r="AM619" s="40"/>
      <c r="AN619" s="41"/>
      <c r="AO619" s="40"/>
      <c r="AP619" s="40"/>
    </row>
    <row r="620">
      <c r="A620" s="40"/>
      <c r="B620" s="42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1"/>
      <c r="AM620" s="40"/>
      <c r="AN620" s="41"/>
      <c r="AO620" s="40"/>
      <c r="AP620" s="40"/>
    </row>
    <row r="621">
      <c r="A621" s="40"/>
      <c r="B621" s="42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1"/>
      <c r="AM621" s="40"/>
      <c r="AN621" s="41"/>
      <c r="AO621" s="40"/>
      <c r="AP621" s="40"/>
    </row>
    <row r="622">
      <c r="A622" s="40"/>
      <c r="B622" s="42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1"/>
      <c r="AM622" s="40"/>
      <c r="AN622" s="41"/>
      <c r="AO622" s="40"/>
      <c r="AP622" s="40"/>
    </row>
    <row r="623">
      <c r="A623" s="40"/>
      <c r="B623" s="42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1"/>
      <c r="AM623" s="40"/>
      <c r="AN623" s="41"/>
      <c r="AO623" s="40"/>
      <c r="AP623" s="40"/>
    </row>
    <row r="624">
      <c r="A624" s="40"/>
      <c r="B624" s="42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1"/>
      <c r="AM624" s="40"/>
      <c r="AN624" s="41"/>
      <c r="AO624" s="40"/>
      <c r="AP624" s="40"/>
    </row>
    <row r="625">
      <c r="A625" s="40"/>
      <c r="B625" s="42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1"/>
      <c r="AM625" s="40"/>
      <c r="AN625" s="41"/>
      <c r="AO625" s="40"/>
      <c r="AP625" s="40"/>
    </row>
    <row r="626">
      <c r="A626" s="40"/>
      <c r="B626" s="42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1"/>
      <c r="AM626" s="40"/>
      <c r="AN626" s="41"/>
      <c r="AO626" s="40"/>
      <c r="AP626" s="40"/>
    </row>
    <row r="627">
      <c r="A627" s="40"/>
      <c r="B627" s="42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1"/>
      <c r="AM627" s="40"/>
      <c r="AN627" s="41"/>
      <c r="AO627" s="40"/>
      <c r="AP627" s="40"/>
    </row>
    <row r="628">
      <c r="A628" s="40"/>
      <c r="B628" s="42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1"/>
      <c r="AM628" s="40"/>
      <c r="AN628" s="41"/>
      <c r="AO628" s="40"/>
      <c r="AP628" s="40"/>
    </row>
    <row r="629">
      <c r="A629" s="40"/>
      <c r="B629" s="42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1"/>
      <c r="AM629" s="40"/>
      <c r="AN629" s="41"/>
      <c r="AO629" s="40"/>
      <c r="AP629" s="40"/>
    </row>
    <row r="630">
      <c r="A630" s="40"/>
      <c r="B630" s="42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1"/>
      <c r="AM630" s="40"/>
      <c r="AN630" s="41"/>
      <c r="AO630" s="40"/>
      <c r="AP630" s="40"/>
    </row>
    <row r="631">
      <c r="A631" s="40"/>
      <c r="B631" s="42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1"/>
      <c r="AM631" s="40"/>
      <c r="AN631" s="41"/>
      <c r="AO631" s="40"/>
      <c r="AP631" s="40"/>
    </row>
    <row r="632">
      <c r="A632" s="40"/>
      <c r="B632" s="42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1"/>
      <c r="AM632" s="40"/>
      <c r="AN632" s="41"/>
      <c r="AO632" s="40"/>
      <c r="AP632" s="40"/>
    </row>
    <row r="633">
      <c r="A633" s="40"/>
      <c r="B633" s="42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1"/>
      <c r="AM633" s="40"/>
      <c r="AN633" s="41"/>
      <c r="AO633" s="40"/>
      <c r="AP633" s="40"/>
    </row>
    <row r="634">
      <c r="A634" s="40"/>
      <c r="B634" s="42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1"/>
      <c r="AM634" s="40"/>
      <c r="AN634" s="41"/>
      <c r="AO634" s="40"/>
      <c r="AP634" s="40"/>
    </row>
    <row r="635">
      <c r="A635" s="40"/>
      <c r="B635" s="42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1"/>
      <c r="AM635" s="40"/>
      <c r="AN635" s="41"/>
      <c r="AO635" s="40"/>
      <c r="AP635" s="40"/>
    </row>
    <row r="636">
      <c r="A636" s="40"/>
      <c r="B636" s="42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1"/>
      <c r="AM636" s="40"/>
      <c r="AN636" s="41"/>
      <c r="AO636" s="40"/>
      <c r="AP636" s="40"/>
    </row>
    <row r="637">
      <c r="A637" s="40"/>
      <c r="B637" s="42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1"/>
      <c r="AM637" s="40"/>
      <c r="AN637" s="41"/>
      <c r="AO637" s="40"/>
      <c r="AP637" s="40"/>
    </row>
    <row r="638">
      <c r="A638" s="40"/>
      <c r="B638" s="42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1"/>
      <c r="AM638" s="40"/>
      <c r="AN638" s="41"/>
      <c r="AO638" s="40"/>
      <c r="AP638" s="40"/>
    </row>
    <row r="639">
      <c r="A639" s="40"/>
      <c r="B639" s="42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1"/>
      <c r="AM639" s="40"/>
      <c r="AN639" s="41"/>
      <c r="AO639" s="40"/>
      <c r="AP639" s="40"/>
    </row>
    <row r="640">
      <c r="A640" s="40"/>
      <c r="B640" s="42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1"/>
      <c r="AM640" s="40"/>
      <c r="AN640" s="41"/>
      <c r="AO640" s="40"/>
      <c r="AP640" s="40"/>
    </row>
    <row r="641">
      <c r="A641" s="40"/>
      <c r="B641" s="42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1"/>
      <c r="AM641" s="40"/>
      <c r="AN641" s="41"/>
      <c r="AO641" s="40"/>
      <c r="AP641" s="40"/>
    </row>
    <row r="642">
      <c r="A642" s="40"/>
      <c r="B642" s="42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1"/>
      <c r="AM642" s="40"/>
      <c r="AN642" s="41"/>
      <c r="AO642" s="40"/>
      <c r="AP642" s="40"/>
    </row>
    <row r="643">
      <c r="A643" s="40"/>
      <c r="B643" s="42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1"/>
      <c r="AM643" s="40"/>
      <c r="AN643" s="41"/>
      <c r="AO643" s="40"/>
      <c r="AP643" s="40"/>
    </row>
    <row r="644">
      <c r="A644" s="40"/>
      <c r="B644" s="42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1"/>
      <c r="AM644" s="40"/>
      <c r="AN644" s="41"/>
      <c r="AO644" s="40"/>
      <c r="AP644" s="40"/>
    </row>
    <row r="645">
      <c r="A645" s="40"/>
      <c r="B645" s="42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1"/>
      <c r="AM645" s="40"/>
      <c r="AN645" s="41"/>
      <c r="AO645" s="40"/>
      <c r="AP645" s="40"/>
    </row>
    <row r="646">
      <c r="A646" s="40"/>
      <c r="B646" s="42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1"/>
      <c r="AM646" s="40"/>
      <c r="AN646" s="41"/>
      <c r="AO646" s="40"/>
      <c r="AP646" s="40"/>
    </row>
    <row r="647">
      <c r="A647" s="40"/>
      <c r="B647" s="42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1"/>
      <c r="AM647" s="40"/>
      <c r="AN647" s="41"/>
      <c r="AO647" s="40"/>
      <c r="AP647" s="40"/>
    </row>
    <row r="648">
      <c r="A648" s="40"/>
      <c r="B648" s="42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1"/>
      <c r="AM648" s="40"/>
      <c r="AN648" s="41"/>
      <c r="AO648" s="40"/>
      <c r="AP648" s="40"/>
    </row>
    <row r="649">
      <c r="A649" s="40"/>
      <c r="B649" s="42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1"/>
      <c r="AM649" s="40"/>
      <c r="AN649" s="41"/>
      <c r="AO649" s="40"/>
      <c r="AP649" s="40"/>
    </row>
    <row r="650">
      <c r="A650" s="40"/>
      <c r="B650" s="42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1"/>
      <c r="AM650" s="40"/>
      <c r="AN650" s="41"/>
      <c r="AO650" s="40"/>
      <c r="AP650" s="40"/>
    </row>
    <row r="651">
      <c r="A651" s="40"/>
      <c r="B651" s="42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1"/>
      <c r="AM651" s="40"/>
      <c r="AN651" s="41"/>
      <c r="AO651" s="40"/>
      <c r="AP651" s="40"/>
    </row>
    <row r="652">
      <c r="A652" s="40"/>
      <c r="B652" s="42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1"/>
      <c r="AM652" s="40"/>
      <c r="AN652" s="41"/>
      <c r="AO652" s="40"/>
      <c r="AP652" s="40"/>
    </row>
    <row r="653">
      <c r="A653" s="40"/>
      <c r="B653" s="42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1"/>
      <c r="AM653" s="40"/>
      <c r="AN653" s="41"/>
      <c r="AO653" s="40"/>
      <c r="AP653" s="40"/>
    </row>
    <row r="654">
      <c r="A654" s="40"/>
      <c r="B654" s="42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1"/>
      <c r="AM654" s="40"/>
      <c r="AN654" s="41"/>
      <c r="AO654" s="40"/>
      <c r="AP654" s="40"/>
    </row>
    <row r="655">
      <c r="A655" s="40"/>
      <c r="B655" s="42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1"/>
      <c r="AM655" s="40"/>
      <c r="AN655" s="41"/>
      <c r="AO655" s="40"/>
      <c r="AP655" s="40"/>
    </row>
    <row r="656">
      <c r="A656" s="40"/>
      <c r="B656" s="42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1"/>
      <c r="AM656" s="40"/>
      <c r="AN656" s="41"/>
      <c r="AO656" s="40"/>
      <c r="AP656" s="40"/>
    </row>
    <row r="657">
      <c r="A657" s="40"/>
      <c r="B657" s="42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1"/>
      <c r="AM657" s="40"/>
      <c r="AN657" s="41"/>
      <c r="AO657" s="40"/>
      <c r="AP657" s="40"/>
    </row>
    <row r="658">
      <c r="A658" s="40"/>
      <c r="B658" s="42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1"/>
      <c r="AM658" s="40"/>
      <c r="AN658" s="41"/>
      <c r="AO658" s="40"/>
      <c r="AP658" s="40"/>
    </row>
    <row r="659">
      <c r="A659" s="40"/>
      <c r="B659" s="42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1"/>
      <c r="AM659" s="40"/>
      <c r="AN659" s="41"/>
      <c r="AO659" s="40"/>
      <c r="AP659" s="40"/>
    </row>
    <row r="660">
      <c r="A660" s="40"/>
      <c r="B660" s="42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1"/>
      <c r="AM660" s="40"/>
      <c r="AN660" s="41"/>
      <c r="AO660" s="40"/>
      <c r="AP660" s="40"/>
    </row>
    <row r="661">
      <c r="A661" s="40"/>
      <c r="B661" s="42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1"/>
      <c r="AM661" s="40"/>
      <c r="AN661" s="41"/>
      <c r="AO661" s="40"/>
      <c r="AP661" s="40"/>
    </row>
    <row r="662">
      <c r="A662" s="40"/>
      <c r="B662" s="42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1"/>
      <c r="AM662" s="40"/>
      <c r="AN662" s="41"/>
      <c r="AO662" s="40"/>
      <c r="AP662" s="40"/>
    </row>
    <row r="663">
      <c r="A663" s="40"/>
      <c r="B663" s="42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1"/>
      <c r="AM663" s="40"/>
      <c r="AN663" s="41"/>
      <c r="AO663" s="40"/>
      <c r="AP663" s="40"/>
    </row>
    <row r="664">
      <c r="A664" s="40"/>
      <c r="B664" s="42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1"/>
      <c r="AM664" s="40"/>
      <c r="AN664" s="41"/>
      <c r="AO664" s="40"/>
      <c r="AP664" s="40"/>
    </row>
    <row r="665">
      <c r="A665" s="40"/>
      <c r="B665" s="42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1"/>
      <c r="AM665" s="40"/>
      <c r="AN665" s="41"/>
      <c r="AO665" s="40"/>
      <c r="AP665" s="40"/>
    </row>
    <row r="666">
      <c r="A666" s="40"/>
      <c r="B666" s="42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1"/>
      <c r="AM666" s="40"/>
      <c r="AN666" s="41"/>
      <c r="AO666" s="40"/>
      <c r="AP666" s="40"/>
    </row>
    <row r="667">
      <c r="A667" s="40"/>
      <c r="B667" s="42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1"/>
      <c r="AM667" s="40"/>
      <c r="AN667" s="41"/>
      <c r="AO667" s="40"/>
      <c r="AP667" s="40"/>
    </row>
    <row r="668">
      <c r="A668" s="40"/>
      <c r="B668" s="42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1"/>
      <c r="AM668" s="40"/>
      <c r="AN668" s="41"/>
      <c r="AO668" s="40"/>
      <c r="AP668" s="40"/>
    </row>
    <row r="669">
      <c r="A669" s="40"/>
      <c r="B669" s="42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1"/>
      <c r="AM669" s="40"/>
      <c r="AN669" s="41"/>
      <c r="AO669" s="40"/>
      <c r="AP669" s="40"/>
    </row>
    <row r="670">
      <c r="A670" s="40"/>
      <c r="B670" s="42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1"/>
      <c r="AM670" s="40"/>
      <c r="AN670" s="41"/>
      <c r="AO670" s="40"/>
      <c r="AP670" s="40"/>
    </row>
    <row r="671">
      <c r="A671" s="40"/>
      <c r="B671" s="42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1"/>
      <c r="AM671" s="40"/>
      <c r="AN671" s="41"/>
      <c r="AO671" s="40"/>
      <c r="AP671" s="40"/>
    </row>
    <row r="672">
      <c r="A672" s="40"/>
      <c r="B672" s="42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1"/>
      <c r="AM672" s="40"/>
      <c r="AN672" s="41"/>
      <c r="AO672" s="40"/>
      <c r="AP672" s="40"/>
    </row>
    <row r="673">
      <c r="A673" s="40"/>
      <c r="B673" s="42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1"/>
      <c r="AM673" s="40"/>
      <c r="AN673" s="41"/>
      <c r="AO673" s="40"/>
      <c r="AP673" s="40"/>
    </row>
    <row r="674">
      <c r="A674" s="40"/>
      <c r="B674" s="42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1"/>
      <c r="AM674" s="40"/>
      <c r="AN674" s="41"/>
      <c r="AO674" s="40"/>
      <c r="AP674" s="40"/>
    </row>
    <row r="675">
      <c r="A675" s="40"/>
      <c r="B675" s="42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1"/>
      <c r="AM675" s="40"/>
      <c r="AN675" s="41"/>
      <c r="AO675" s="40"/>
      <c r="AP675" s="40"/>
    </row>
    <row r="676">
      <c r="A676" s="40"/>
      <c r="B676" s="42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1"/>
      <c r="AM676" s="40"/>
      <c r="AN676" s="41"/>
      <c r="AO676" s="40"/>
      <c r="AP676" s="40"/>
    </row>
    <row r="677">
      <c r="A677" s="40"/>
      <c r="B677" s="42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1"/>
      <c r="AM677" s="40"/>
      <c r="AN677" s="41"/>
      <c r="AO677" s="40"/>
      <c r="AP677" s="40"/>
    </row>
    <row r="678">
      <c r="A678" s="40"/>
      <c r="B678" s="42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1"/>
      <c r="AM678" s="40"/>
      <c r="AN678" s="41"/>
      <c r="AO678" s="40"/>
      <c r="AP678" s="40"/>
    </row>
    <row r="679">
      <c r="A679" s="40"/>
      <c r="B679" s="42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1"/>
      <c r="AM679" s="40"/>
      <c r="AN679" s="41"/>
      <c r="AO679" s="40"/>
      <c r="AP679" s="40"/>
    </row>
    <row r="680">
      <c r="A680" s="40"/>
      <c r="B680" s="42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1"/>
      <c r="AM680" s="40"/>
      <c r="AN680" s="41"/>
      <c r="AO680" s="40"/>
      <c r="AP680" s="40"/>
    </row>
    <row r="681">
      <c r="A681" s="40"/>
      <c r="B681" s="42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1"/>
      <c r="AM681" s="40"/>
      <c r="AN681" s="41"/>
      <c r="AO681" s="40"/>
      <c r="AP681" s="40"/>
    </row>
    <row r="682">
      <c r="A682" s="40"/>
      <c r="B682" s="42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1"/>
      <c r="AM682" s="40"/>
      <c r="AN682" s="41"/>
      <c r="AO682" s="40"/>
      <c r="AP682" s="40"/>
    </row>
    <row r="683">
      <c r="A683" s="40"/>
      <c r="B683" s="42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1"/>
      <c r="AM683" s="40"/>
      <c r="AN683" s="41"/>
      <c r="AO683" s="40"/>
      <c r="AP683" s="40"/>
    </row>
    <row r="684">
      <c r="A684" s="40"/>
      <c r="B684" s="42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1"/>
      <c r="AM684" s="40"/>
      <c r="AN684" s="41"/>
      <c r="AO684" s="40"/>
      <c r="AP684" s="40"/>
    </row>
    <row r="685">
      <c r="A685" s="40"/>
      <c r="B685" s="42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1"/>
      <c r="AM685" s="40"/>
      <c r="AN685" s="41"/>
      <c r="AO685" s="40"/>
      <c r="AP685" s="40"/>
    </row>
    <row r="686">
      <c r="A686" s="40"/>
      <c r="B686" s="42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1"/>
      <c r="AM686" s="40"/>
      <c r="AN686" s="41"/>
      <c r="AO686" s="40"/>
      <c r="AP686" s="40"/>
    </row>
    <row r="687">
      <c r="A687" s="40"/>
      <c r="B687" s="42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1"/>
      <c r="AM687" s="40"/>
      <c r="AN687" s="41"/>
      <c r="AO687" s="40"/>
      <c r="AP687" s="40"/>
    </row>
    <row r="688">
      <c r="A688" s="40"/>
      <c r="B688" s="42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1"/>
      <c r="AM688" s="40"/>
      <c r="AN688" s="41"/>
      <c r="AO688" s="40"/>
      <c r="AP688" s="40"/>
    </row>
    <row r="689">
      <c r="A689" s="40"/>
      <c r="B689" s="42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1"/>
      <c r="AM689" s="40"/>
      <c r="AN689" s="41"/>
      <c r="AO689" s="40"/>
      <c r="AP689" s="40"/>
    </row>
    <row r="690">
      <c r="A690" s="40"/>
      <c r="B690" s="42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1"/>
      <c r="AM690" s="40"/>
      <c r="AN690" s="41"/>
      <c r="AO690" s="40"/>
      <c r="AP690" s="40"/>
    </row>
    <row r="691">
      <c r="A691" s="40"/>
      <c r="B691" s="42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1"/>
      <c r="AM691" s="40"/>
      <c r="AN691" s="41"/>
      <c r="AO691" s="40"/>
      <c r="AP691" s="40"/>
    </row>
    <row r="692">
      <c r="A692" s="40"/>
      <c r="B692" s="42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1"/>
      <c r="AM692" s="40"/>
      <c r="AN692" s="41"/>
      <c r="AO692" s="40"/>
      <c r="AP692" s="40"/>
    </row>
    <row r="693">
      <c r="A693" s="40"/>
      <c r="B693" s="42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1"/>
      <c r="AM693" s="40"/>
      <c r="AN693" s="41"/>
      <c r="AO693" s="40"/>
      <c r="AP693" s="40"/>
    </row>
    <row r="694">
      <c r="A694" s="40"/>
      <c r="B694" s="42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1"/>
      <c r="AM694" s="40"/>
      <c r="AN694" s="41"/>
      <c r="AO694" s="40"/>
      <c r="AP694" s="40"/>
    </row>
    <row r="695">
      <c r="A695" s="40"/>
      <c r="B695" s="42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1"/>
      <c r="AM695" s="40"/>
      <c r="AN695" s="41"/>
      <c r="AO695" s="40"/>
      <c r="AP695" s="40"/>
    </row>
    <row r="696">
      <c r="A696" s="40"/>
      <c r="B696" s="42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1"/>
      <c r="AM696" s="40"/>
      <c r="AN696" s="41"/>
      <c r="AO696" s="40"/>
      <c r="AP696" s="40"/>
    </row>
    <row r="697">
      <c r="A697" s="40"/>
      <c r="B697" s="42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1"/>
      <c r="AM697" s="40"/>
      <c r="AN697" s="41"/>
      <c r="AO697" s="40"/>
      <c r="AP697" s="40"/>
    </row>
    <row r="698">
      <c r="A698" s="40"/>
      <c r="B698" s="42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1"/>
      <c r="AM698" s="40"/>
      <c r="AN698" s="41"/>
      <c r="AO698" s="40"/>
      <c r="AP698" s="40"/>
    </row>
    <row r="699">
      <c r="A699" s="40"/>
      <c r="B699" s="42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1"/>
      <c r="AM699" s="40"/>
      <c r="AN699" s="41"/>
      <c r="AO699" s="40"/>
      <c r="AP699" s="40"/>
    </row>
    <row r="700">
      <c r="A700" s="40"/>
      <c r="B700" s="42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1"/>
      <c r="AM700" s="40"/>
      <c r="AN700" s="41"/>
      <c r="AO700" s="40"/>
      <c r="AP700" s="40"/>
    </row>
    <row r="701">
      <c r="A701" s="40"/>
      <c r="B701" s="42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1"/>
      <c r="AM701" s="40"/>
      <c r="AN701" s="41"/>
      <c r="AO701" s="40"/>
      <c r="AP701" s="40"/>
    </row>
    <row r="702">
      <c r="A702" s="40"/>
      <c r="B702" s="42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1"/>
      <c r="AM702" s="40"/>
      <c r="AN702" s="41"/>
      <c r="AO702" s="40"/>
      <c r="AP702" s="40"/>
    </row>
    <row r="703">
      <c r="A703" s="40"/>
      <c r="B703" s="42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1"/>
      <c r="AM703" s="40"/>
      <c r="AN703" s="41"/>
      <c r="AO703" s="40"/>
      <c r="AP703" s="40"/>
    </row>
    <row r="704">
      <c r="A704" s="40"/>
      <c r="B704" s="42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1"/>
      <c r="AM704" s="40"/>
      <c r="AN704" s="41"/>
      <c r="AO704" s="40"/>
      <c r="AP704" s="40"/>
    </row>
    <row r="705">
      <c r="A705" s="40"/>
      <c r="B705" s="42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1"/>
      <c r="AM705" s="40"/>
      <c r="AN705" s="41"/>
      <c r="AO705" s="40"/>
      <c r="AP705" s="40"/>
    </row>
    <row r="706">
      <c r="A706" s="40"/>
      <c r="B706" s="42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1"/>
      <c r="AM706" s="40"/>
      <c r="AN706" s="41"/>
      <c r="AO706" s="40"/>
      <c r="AP706" s="40"/>
    </row>
    <row r="707">
      <c r="A707" s="40"/>
      <c r="B707" s="42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1"/>
      <c r="AM707" s="40"/>
      <c r="AN707" s="41"/>
      <c r="AO707" s="40"/>
      <c r="AP707" s="40"/>
    </row>
    <row r="708">
      <c r="A708" s="40"/>
      <c r="B708" s="42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1"/>
      <c r="AM708" s="40"/>
      <c r="AN708" s="41"/>
      <c r="AO708" s="40"/>
      <c r="AP708" s="40"/>
    </row>
    <row r="709">
      <c r="A709" s="40"/>
      <c r="B709" s="42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1"/>
      <c r="AM709" s="40"/>
      <c r="AN709" s="41"/>
      <c r="AO709" s="40"/>
      <c r="AP709" s="40"/>
    </row>
    <row r="710">
      <c r="A710" s="40"/>
      <c r="B710" s="42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1"/>
      <c r="AM710" s="40"/>
      <c r="AN710" s="41"/>
      <c r="AO710" s="40"/>
      <c r="AP710" s="40"/>
    </row>
    <row r="711">
      <c r="A711" s="40"/>
      <c r="B711" s="42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1"/>
      <c r="AM711" s="40"/>
      <c r="AN711" s="41"/>
      <c r="AO711" s="40"/>
      <c r="AP711" s="40"/>
    </row>
    <row r="712">
      <c r="A712" s="40"/>
      <c r="B712" s="42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1"/>
      <c r="AM712" s="40"/>
      <c r="AN712" s="41"/>
      <c r="AO712" s="40"/>
      <c r="AP712" s="40"/>
    </row>
    <row r="713">
      <c r="A713" s="40"/>
      <c r="B713" s="42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1"/>
      <c r="AM713" s="40"/>
      <c r="AN713" s="41"/>
      <c r="AO713" s="40"/>
      <c r="AP713" s="40"/>
    </row>
    <row r="714">
      <c r="A714" s="40"/>
      <c r="B714" s="42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1"/>
      <c r="AM714" s="40"/>
      <c r="AN714" s="41"/>
      <c r="AO714" s="40"/>
      <c r="AP714" s="40"/>
    </row>
    <row r="715">
      <c r="A715" s="40"/>
      <c r="B715" s="42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1"/>
      <c r="AM715" s="40"/>
      <c r="AN715" s="41"/>
      <c r="AO715" s="40"/>
      <c r="AP715" s="40"/>
    </row>
    <row r="716">
      <c r="A716" s="40"/>
      <c r="B716" s="42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1"/>
      <c r="AM716" s="40"/>
      <c r="AN716" s="41"/>
      <c r="AO716" s="40"/>
      <c r="AP716" s="40"/>
    </row>
    <row r="717">
      <c r="A717" s="40"/>
      <c r="B717" s="42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1"/>
      <c r="AM717" s="40"/>
      <c r="AN717" s="41"/>
      <c r="AO717" s="40"/>
      <c r="AP717" s="40"/>
    </row>
    <row r="718">
      <c r="A718" s="40"/>
      <c r="B718" s="42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1"/>
      <c r="AM718" s="40"/>
      <c r="AN718" s="41"/>
      <c r="AO718" s="40"/>
      <c r="AP718" s="40"/>
    </row>
    <row r="719">
      <c r="A719" s="40"/>
      <c r="B719" s="42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1"/>
      <c r="AM719" s="40"/>
      <c r="AN719" s="41"/>
      <c r="AO719" s="40"/>
      <c r="AP719" s="40"/>
    </row>
    <row r="720">
      <c r="A720" s="40"/>
      <c r="B720" s="42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1"/>
      <c r="AM720" s="40"/>
      <c r="AN720" s="41"/>
      <c r="AO720" s="40"/>
      <c r="AP720" s="40"/>
    </row>
    <row r="721">
      <c r="A721" s="40"/>
      <c r="B721" s="42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1"/>
      <c r="AM721" s="40"/>
      <c r="AN721" s="41"/>
      <c r="AO721" s="40"/>
      <c r="AP721" s="40"/>
    </row>
    <row r="722">
      <c r="A722" s="40"/>
      <c r="B722" s="42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1"/>
      <c r="AM722" s="40"/>
      <c r="AN722" s="41"/>
      <c r="AO722" s="40"/>
      <c r="AP722" s="40"/>
    </row>
    <row r="723">
      <c r="A723" s="40"/>
      <c r="B723" s="42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1"/>
      <c r="AM723" s="40"/>
      <c r="AN723" s="41"/>
      <c r="AO723" s="40"/>
      <c r="AP723" s="40"/>
    </row>
    <row r="724">
      <c r="A724" s="40"/>
      <c r="B724" s="42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1"/>
      <c r="AM724" s="40"/>
      <c r="AN724" s="41"/>
      <c r="AO724" s="40"/>
      <c r="AP724" s="40"/>
    </row>
    <row r="725">
      <c r="A725" s="40"/>
      <c r="B725" s="42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1"/>
      <c r="AM725" s="40"/>
      <c r="AN725" s="41"/>
      <c r="AO725" s="40"/>
      <c r="AP725" s="40"/>
    </row>
    <row r="726">
      <c r="A726" s="40"/>
      <c r="B726" s="42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1"/>
      <c r="AM726" s="40"/>
      <c r="AN726" s="41"/>
      <c r="AO726" s="40"/>
      <c r="AP726" s="40"/>
    </row>
    <row r="727">
      <c r="A727" s="40"/>
      <c r="B727" s="42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1"/>
      <c r="AM727" s="40"/>
      <c r="AN727" s="41"/>
      <c r="AO727" s="40"/>
      <c r="AP727" s="40"/>
    </row>
    <row r="728">
      <c r="A728" s="40"/>
      <c r="B728" s="42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1"/>
      <c r="AM728" s="40"/>
      <c r="AN728" s="41"/>
      <c r="AO728" s="40"/>
      <c r="AP728" s="40"/>
    </row>
    <row r="729">
      <c r="A729" s="40"/>
      <c r="B729" s="42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1"/>
      <c r="AM729" s="40"/>
      <c r="AN729" s="41"/>
      <c r="AO729" s="40"/>
      <c r="AP729" s="40"/>
    </row>
    <row r="730">
      <c r="A730" s="40"/>
      <c r="B730" s="42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1"/>
      <c r="AM730" s="40"/>
      <c r="AN730" s="41"/>
      <c r="AO730" s="40"/>
      <c r="AP730" s="40"/>
    </row>
    <row r="731">
      <c r="A731" s="40"/>
      <c r="B731" s="42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1"/>
      <c r="AM731" s="40"/>
      <c r="AN731" s="41"/>
      <c r="AO731" s="40"/>
      <c r="AP731" s="40"/>
    </row>
    <row r="732">
      <c r="A732" s="40"/>
      <c r="B732" s="42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1"/>
      <c r="AM732" s="40"/>
      <c r="AN732" s="41"/>
      <c r="AO732" s="40"/>
      <c r="AP732" s="40"/>
    </row>
    <row r="733">
      <c r="A733" s="40"/>
      <c r="B733" s="42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1"/>
      <c r="AM733" s="40"/>
      <c r="AN733" s="41"/>
      <c r="AO733" s="40"/>
      <c r="AP733" s="40"/>
    </row>
    <row r="734">
      <c r="A734" s="40"/>
      <c r="B734" s="42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1"/>
      <c r="AM734" s="40"/>
      <c r="AN734" s="41"/>
      <c r="AO734" s="40"/>
      <c r="AP734" s="40"/>
    </row>
    <row r="735">
      <c r="A735" s="40"/>
      <c r="B735" s="42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1"/>
      <c r="AM735" s="40"/>
      <c r="AN735" s="41"/>
      <c r="AO735" s="40"/>
      <c r="AP735" s="40"/>
    </row>
    <row r="736">
      <c r="A736" s="40"/>
      <c r="B736" s="42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1"/>
      <c r="AM736" s="40"/>
      <c r="AN736" s="41"/>
      <c r="AO736" s="40"/>
      <c r="AP736" s="40"/>
    </row>
    <row r="737">
      <c r="A737" s="40"/>
      <c r="B737" s="42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1"/>
      <c r="AM737" s="40"/>
      <c r="AN737" s="41"/>
      <c r="AO737" s="40"/>
      <c r="AP737" s="40"/>
    </row>
    <row r="738">
      <c r="A738" s="40"/>
      <c r="B738" s="42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1"/>
      <c r="AM738" s="40"/>
      <c r="AN738" s="41"/>
      <c r="AO738" s="40"/>
      <c r="AP738" s="40"/>
    </row>
    <row r="739">
      <c r="A739" s="40"/>
      <c r="B739" s="42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1"/>
      <c r="AM739" s="40"/>
      <c r="AN739" s="41"/>
      <c r="AO739" s="40"/>
      <c r="AP739" s="40"/>
    </row>
    <row r="740">
      <c r="A740" s="40"/>
      <c r="B740" s="42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1"/>
      <c r="AM740" s="40"/>
      <c r="AN740" s="41"/>
      <c r="AO740" s="40"/>
      <c r="AP740" s="40"/>
    </row>
    <row r="741">
      <c r="A741" s="40"/>
      <c r="B741" s="42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1"/>
      <c r="AM741" s="40"/>
      <c r="AN741" s="41"/>
      <c r="AO741" s="40"/>
      <c r="AP741" s="40"/>
    </row>
    <row r="742">
      <c r="A742" s="40"/>
      <c r="B742" s="42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1"/>
      <c r="AM742" s="40"/>
      <c r="AN742" s="41"/>
      <c r="AO742" s="40"/>
      <c r="AP742" s="40"/>
    </row>
    <row r="743">
      <c r="A743" s="40"/>
      <c r="B743" s="42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1"/>
      <c r="AM743" s="40"/>
      <c r="AN743" s="41"/>
      <c r="AO743" s="40"/>
      <c r="AP743" s="40"/>
    </row>
    <row r="744">
      <c r="A744" s="40"/>
      <c r="B744" s="42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1"/>
      <c r="AM744" s="40"/>
      <c r="AN744" s="41"/>
      <c r="AO744" s="40"/>
      <c r="AP744" s="40"/>
    </row>
    <row r="745">
      <c r="A745" s="40"/>
      <c r="B745" s="42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1"/>
      <c r="AM745" s="40"/>
      <c r="AN745" s="41"/>
      <c r="AO745" s="40"/>
      <c r="AP745" s="40"/>
    </row>
    <row r="746">
      <c r="A746" s="40"/>
      <c r="B746" s="42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1"/>
      <c r="AM746" s="40"/>
      <c r="AN746" s="41"/>
      <c r="AO746" s="40"/>
      <c r="AP746" s="40"/>
    </row>
    <row r="747">
      <c r="A747" s="40"/>
      <c r="B747" s="42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1"/>
      <c r="AM747" s="40"/>
      <c r="AN747" s="41"/>
      <c r="AO747" s="40"/>
      <c r="AP747" s="40"/>
    </row>
    <row r="748">
      <c r="A748" s="40"/>
      <c r="B748" s="42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1"/>
      <c r="AM748" s="40"/>
      <c r="AN748" s="41"/>
      <c r="AO748" s="40"/>
      <c r="AP748" s="40"/>
    </row>
    <row r="749">
      <c r="A749" s="40"/>
      <c r="B749" s="42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1"/>
      <c r="AM749" s="40"/>
      <c r="AN749" s="41"/>
      <c r="AO749" s="40"/>
      <c r="AP749" s="40"/>
    </row>
    <row r="750">
      <c r="A750" s="40"/>
      <c r="B750" s="42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1"/>
      <c r="AM750" s="40"/>
      <c r="AN750" s="41"/>
      <c r="AO750" s="40"/>
      <c r="AP750" s="40"/>
    </row>
    <row r="751">
      <c r="A751" s="40"/>
      <c r="B751" s="42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1"/>
      <c r="AM751" s="40"/>
      <c r="AN751" s="41"/>
      <c r="AO751" s="40"/>
      <c r="AP751" s="40"/>
    </row>
    <row r="752">
      <c r="A752" s="40"/>
      <c r="B752" s="42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1"/>
      <c r="AM752" s="40"/>
      <c r="AN752" s="41"/>
      <c r="AO752" s="40"/>
      <c r="AP752" s="40"/>
    </row>
    <row r="753">
      <c r="A753" s="40"/>
      <c r="B753" s="42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1"/>
      <c r="AM753" s="40"/>
      <c r="AN753" s="41"/>
      <c r="AO753" s="40"/>
      <c r="AP753" s="40"/>
    </row>
    <row r="754">
      <c r="A754" s="40"/>
      <c r="B754" s="42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1"/>
      <c r="AM754" s="40"/>
      <c r="AN754" s="41"/>
      <c r="AO754" s="40"/>
      <c r="AP754" s="40"/>
    </row>
    <row r="755">
      <c r="A755" s="40"/>
      <c r="B755" s="42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1"/>
      <c r="AM755" s="40"/>
      <c r="AN755" s="41"/>
      <c r="AO755" s="40"/>
      <c r="AP755" s="40"/>
    </row>
    <row r="756">
      <c r="A756" s="40"/>
      <c r="B756" s="42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1"/>
      <c r="AM756" s="40"/>
      <c r="AN756" s="41"/>
      <c r="AO756" s="40"/>
      <c r="AP756" s="40"/>
    </row>
    <row r="757">
      <c r="A757" s="40"/>
      <c r="B757" s="42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1"/>
      <c r="AM757" s="40"/>
      <c r="AN757" s="41"/>
      <c r="AO757" s="40"/>
      <c r="AP757" s="40"/>
    </row>
    <row r="758">
      <c r="A758" s="40"/>
      <c r="B758" s="42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1"/>
      <c r="AM758" s="40"/>
      <c r="AN758" s="41"/>
      <c r="AO758" s="40"/>
      <c r="AP758" s="40"/>
    </row>
    <row r="759">
      <c r="A759" s="40"/>
      <c r="B759" s="42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1"/>
      <c r="AM759" s="40"/>
      <c r="AN759" s="41"/>
      <c r="AO759" s="40"/>
      <c r="AP759" s="40"/>
    </row>
    <row r="760">
      <c r="A760" s="40"/>
      <c r="B760" s="42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1"/>
      <c r="AM760" s="40"/>
      <c r="AN760" s="41"/>
      <c r="AO760" s="40"/>
      <c r="AP760" s="40"/>
    </row>
    <row r="761">
      <c r="A761" s="40"/>
      <c r="B761" s="42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1"/>
      <c r="AM761" s="40"/>
      <c r="AN761" s="41"/>
      <c r="AO761" s="40"/>
      <c r="AP761" s="40"/>
    </row>
    <row r="762">
      <c r="A762" s="40"/>
      <c r="B762" s="42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1"/>
      <c r="AM762" s="40"/>
      <c r="AN762" s="41"/>
      <c r="AO762" s="40"/>
      <c r="AP762" s="40"/>
    </row>
    <row r="763">
      <c r="A763" s="40"/>
      <c r="B763" s="42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1"/>
      <c r="AM763" s="40"/>
      <c r="AN763" s="41"/>
      <c r="AO763" s="40"/>
      <c r="AP763" s="40"/>
    </row>
    <row r="764">
      <c r="A764" s="40"/>
      <c r="B764" s="42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1"/>
      <c r="AM764" s="40"/>
      <c r="AN764" s="41"/>
      <c r="AO764" s="40"/>
      <c r="AP764" s="40"/>
    </row>
    <row r="765">
      <c r="A765" s="40"/>
      <c r="B765" s="42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1"/>
      <c r="AM765" s="40"/>
      <c r="AN765" s="41"/>
      <c r="AO765" s="40"/>
      <c r="AP765" s="40"/>
    </row>
    <row r="766">
      <c r="A766" s="40"/>
      <c r="B766" s="42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1"/>
      <c r="AM766" s="40"/>
      <c r="AN766" s="41"/>
      <c r="AO766" s="40"/>
      <c r="AP766" s="40"/>
    </row>
    <row r="767">
      <c r="A767" s="40"/>
      <c r="B767" s="42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1"/>
      <c r="AM767" s="40"/>
      <c r="AN767" s="41"/>
      <c r="AO767" s="40"/>
      <c r="AP767" s="40"/>
    </row>
    <row r="768">
      <c r="A768" s="40"/>
      <c r="B768" s="42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1"/>
      <c r="AM768" s="40"/>
      <c r="AN768" s="41"/>
      <c r="AO768" s="40"/>
      <c r="AP768" s="40"/>
    </row>
    <row r="769">
      <c r="A769" s="40"/>
      <c r="B769" s="42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1"/>
      <c r="AM769" s="40"/>
      <c r="AN769" s="41"/>
      <c r="AO769" s="40"/>
      <c r="AP769" s="40"/>
    </row>
    <row r="770">
      <c r="A770" s="40"/>
      <c r="B770" s="42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1"/>
      <c r="AM770" s="40"/>
      <c r="AN770" s="41"/>
      <c r="AO770" s="40"/>
      <c r="AP770" s="40"/>
    </row>
    <row r="771">
      <c r="A771" s="40"/>
      <c r="B771" s="42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1"/>
      <c r="AM771" s="40"/>
      <c r="AN771" s="41"/>
      <c r="AO771" s="40"/>
      <c r="AP771" s="40"/>
    </row>
    <row r="772">
      <c r="A772" s="40"/>
      <c r="B772" s="42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1"/>
      <c r="AM772" s="40"/>
      <c r="AN772" s="41"/>
      <c r="AO772" s="40"/>
      <c r="AP772" s="40"/>
    </row>
    <row r="773">
      <c r="A773" s="40"/>
      <c r="B773" s="42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1"/>
      <c r="AM773" s="40"/>
      <c r="AN773" s="41"/>
      <c r="AO773" s="40"/>
      <c r="AP773" s="40"/>
    </row>
    <row r="774">
      <c r="A774" s="40"/>
      <c r="B774" s="42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1"/>
      <c r="AM774" s="40"/>
      <c r="AN774" s="41"/>
      <c r="AO774" s="40"/>
      <c r="AP774" s="40"/>
    </row>
    <row r="775">
      <c r="A775" s="40"/>
      <c r="B775" s="42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1"/>
      <c r="AM775" s="40"/>
      <c r="AN775" s="41"/>
      <c r="AO775" s="40"/>
      <c r="AP775" s="40"/>
    </row>
    <row r="776">
      <c r="A776" s="40"/>
      <c r="B776" s="42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1"/>
      <c r="AM776" s="40"/>
      <c r="AN776" s="41"/>
      <c r="AO776" s="40"/>
      <c r="AP776" s="40"/>
    </row>
    <row r="777">
      <c r="A777" s="40"/>
      <c r="B777" s="42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1"/>
      <c r="AM777" s="40"/>
      <c r="AN777" s="41"/>
      <c r="AO777" s="40"/>
      <c r="AP777" s="40"/>
    </row>
    <row r="778">
      <c r="A778" s="40"/>
      <c r="B778" s="42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1"/>
      <c r="AM778" s="40"/>
      <c r="AN778" s="41"/>
      <c r="AO778" s="40"/>
      <c r="AP778" s="40"/>
    </row>
    <row r="779">
      <c r="A779" s="40"/>
      <c r="B779" s="42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1"/>
      <c r="AM779" s="40"/>
      <c r="AN779" s="41"/>
      <c r="AO779" s="40"/>
      <c r="AP779" s="40"/>
    </row>
    <row r="780">
      <c r="A780" s="40"/>
      <c r="B780" s="42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1"/>
      <c r="AM780" s="40"/>
      <c r="AN780" s="41"/>
      <c r="AO780" s="40"/>
      <c r="AP780" s="40"/>
    </row>
    <row r="781">
      <c r="A781" s="40"/>
      <c r="B781" s="42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1"/>
      <c r="AM781" s="40"/>
      <c r="AN781" s="41"/>
      <c r="AO781" s="40"/>
      <c r="AP781" s="40"/>
    </row>
    <row r="782">
      <c r="A782" s="40"/>
      <c r="B782" s="42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1"/>
      <c r="AM782" s="40"/>
      <c r="AN782" s="41"/>
      <c r="AO782" s="40"/>
      <c r="AP782" s="40"/>
    </row>
    <row r="783">
      <c r="A783" s="40"/>
      <c r="B783" s="42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1"/>
      <c r="AM783" s="40"/>
      <c r="AN783" s="41"/>
      <c r="AO783" s="40"/>
      <c r="AP783" s="40"/>
    </row>
    <row r="784">
      <c r="A784" s="40"/>
      <c r="B784" s="42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1"/>
      <c r="AM784" s="40"/>
      <c r="AN784" s="41"/>
      <c r="AO784" s="40"/>
      <c r="AP784" s="40"/>
    </row>
    <row r="785">
      <c r="A785" s="40"/>
      <c r="B785" s="42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1"/>
      <c r="AM785" s="40"/>
      <c r="AN785" s="41"/>
      <c r="AO785" s="40"/>
      <c r="AP785" s="40"/>
    </row>
    <row r="786">
      <c r="A786" s="40"/>
      <c r="B786" s="42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1"/>
      <c r="AM786" s="40"/>
      <c r="AN786" s="41"/>
      <c r="AO786" s="40"/>
      <c r="AP786" s="40"/>
    </row>
    <row r="787">
      <c r="A787" s="40"/>
      <c r="B787" s="42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1"/>
      <c r="AM787" s="40"/>
      <c r="AN787" s="41"/>
      <c r="AO787" s="40"/>
      <c r="AP787" s="40"/>
    </row>
    <row r="788">
      <c r="A788" s="40"/>
      <c r="B788" s="42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1"/>
      <c r="AM788" s="40"/>
      <c r="AN788" s="41"/>
      <c r="AO788" s="40"/>
      <c r="AP788" s="40"/>
    </row>
    <row r="789">
      <c r="A789" s="40"/>
      <c r="B789" s="42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1"/>
      <c r="AM789" s="40"/>
      <c r="AN789" s="41"/>
      <c r="AO789" s="40"/>
      <c r="AP789" s="40"/>
    </row>
    <row r="790">
      <c r="A790" s="40"/>
      <c r="B790" s="42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1"/>
      <c r="AM790" s="40"/>
      <c r="AN790" s="41"/>
      <c r="AO790" s="40"/>
      <c r="AP790" s="40"/>
    </row>
    <row r="791">
      <c r="A791" s="40"/>
      <c r="B791" s="42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1"/>
      <c r="AM791" s="40"/>
      <c r="AN791" s="41"/>
      <c r="AO791" s="40"/>
      <c r="AP791" s="40"/>
    </row>
    <row r="792">
      <c r="A792" s="40"/>
      <c r="B792" s="42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1"/>
      <c r="AM792" s="40"/>
      <c r="AN792" s="41"/>
      <c r="AO792" s="40"/>
      <c r="AP792" s="40"/>
    </row>
    <row r="793">
      <c r="A793" s="40"/>
      <c r="B793" s="42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1"/>
      <c r="AM793" s="40"/>
      <c r="AN793" s="41"/>
      <c r="AO793" s="40"/>
      <c r="AP793" s="40"/>
    </row>
    <row r="794">
      <c r="A794" s="40"/>
      <c r="B794" s="42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1"/>
      <c r="AM794" s="40"/>
      <c r="AN794" s="41"/>
      <c r="AO794" s="40"/>
      <c r="AP794" s="40"/>
    </row>
    <row r="795">
      <c r="A795" s="40"/>
      <c r="B795" s="42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1"/>
      <c r="AM795" s="40"/>
      <c r="AN795" s="41"/>
      <c r="AO795" s="40"/>
      <c r="AP795" s="40"/>
    </row>
    <row r="796">
      <c r="A796" s="40"/>
      <c r="B796" s="42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1"/>
      <c r="AM796" s="40"/>
      <c r="AN796" s="41"/>
      <c r="AO796" s="40"/>
      <c r="AP796" s="40"/>
    </row>
    <row r="797">
      <c r="A797" s="40"/>
      <c r="B797" s="42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1"/>
      <c r="AM797" s="40"/>
      <c r="AN797" s="41"/>
      <c r="AO797" s="40"/>
      <c r="AP797" s="40"/>
    </row>
    <row r="798">
      <c r="A798" s="40"/>
      <c r="B798" s="42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1"/>
      <c r="AM798" s="40"/>
      <c r="AN798" s="41"/>
      <c r="AO798" s="40"/>
      <c r="AP798" s="40"/>
    </row>
    <row r="799">
      <c r="A799" s="40"/>
      <c r="B799" s="42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1"/>
      <c r="AM799" s="40"/>
      <c r="AN799" s="41"/>
      <c r="AO799" s="40"/>
      <c r="AP799" s="40"/>
    </row>
    <row r="800">
      <c r="A800" s="40"/>
      <c r="B800" s="42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1"/>
      <c r="AM800" s="40"/>
      <c r="AN800" s="41"/>
      <c r="AO800" s="40"/>
      <c r="AP800" s="40"/>
    </row>
    <row r="801">
      <c r="A801" s="40"/>
      <c r="B801" s="42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1"/>
      <c r="AM801" s="40"/>
      <c r="AN801" s="41"/>
      <c r="AO801" s="40"/>
      <c r="AP801" s="40"/>
    </row>
    <row r="802">
      <c r="A802" s="40"/>
      <c r="B802" s="42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1"/>
      <c r="AM802" s="40"/>
      <c r="AN802" s="41"/>
      <c r="AO802" s="40"/>
      <c r="AP802" s="40"/>
    </row>
    <row r="803">
      <c r="A803" s="40"/>
      <c r="B803" s="42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1"/>
      <c r="AM803" s="40"/>
      <c r="AN803" s="41"/>
      <c r="AO803" s="40"/>
      <c r="AP803" s="40"/>
    </row>
    <row r="804">
      <c r="A804" s="40"/>
      <c r="B804" s="42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1"/>
      <c r="AM804" s="40"/>
      <c r="AN804" s="41"/>
      <c r="AO804" s="40"/>
      <c r="AP804" s="40"/>
    </row>
    <row r="805">
      <c r="A805" s="40"/>
      <c r="B805" s="42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1"/>
      <c r="AM805" s="40"/>
      <c r="AN805" s="41"/>
      <c r="AO805" s="40"/>
      <c r="AP805" s="40"/>
    </row>
    <row r="806">
      <c r="A806" s="40"/>
      <c r="B806" s="42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1"/>
      <c r="AM806" s="40"/>
      <c r="AN806" s="41"/>
      <c r="AO806" s="40"/>
      <c r="AP806" s="40"/>
    </row>
    <row r="807">
      <c r="A807" s="40"/>
      <c r="B807" s="42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1"/>
      <c r="AM807" s="40"/>
      <c r="AN807" s="41"/>
      <c r="AO807" s="40"/>
      <c r="AP807" s="40"/>
    </row>
    <row r="808">
      <c r="A808" s="40"/>
      <c r="B808" s="42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1"/>
      <c r="AM808" s="40"/>
      <c r="AN808" s="41"/>
      <c r="AO808" s="40"/>
      <c r="AP808" s="40"/>
    </row>
    <row r="809">
      <c r="A809" s="40"/>
      <c r="B809" s="42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1"/>
      <c r="AM809" s="40"/>
      <c r="AN809" s="41"/>
      <c r="AO809" s="40"/>
      <c r="AP809" s="40"/>
    </row>
    <row r="810">
      <c r="A810" s="40"/>
      <c r="B810" s="42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1"/>
      <c r="AM810" s="40"/>
      <c r="AN810" s="41"/>
      <c r="AO810" s="40"/>
      <c r="AP810" s="40"/>
    </row>
    <row r="811">
      <c r="A811" s="40"/>
      <c r="B811" s="42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1"/>
      <c r="AM811" s="40"/>
      <c r="AN811" s="41"/>
      <c r="AO811" s="40"/>
      <c r="AP811" s="40"/>
    </row>
    <row r="812">
      <c r="A812" s="40"/>
      <c r="B812" s="42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1"/>
      <c r="AM812" s="40"/>
      <c r="AN812" s="41"/>
      <c r="AO812" s="40"/>
      <c r="AP812" s="40"/>
    </row>
    <row r="813">
      <c r="A813" s="40"/>
      <c r="B813" s="42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1"/>
      <c r="AM813" s="40"/>
      <c r="AN813" s="41"/>
      <c r="AO813" s="40"/>
      <c r="AP813" s="40"/>
    </row>
    <row r="814">
      <c r="A814" s="40"/>
      <c r="B814" s="42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1"/>
      <c r="AM814" s="40"/>
      <c r="AN814" s="41"/>
      <c r="AO814" s="40"/>
      <c r="AP814" s="40"/>
    </row>
    <row r="815">
      <c r="A815" s="40"/>
      <c r="B815" s="42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1"/>
      <c r="AM815" s="40"/>
      <c r="AN815" s="41"/>
      <c r="AO815" s="40"/>
      <c r="AP815" s="40"/>
    </row>
    <row r="816">
      <c r="A816" s="40"/>
      <c r="B816" s="42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1"/>
      <c r="AM816" s="40"/>
      <c r="AN816" s="41"/>
      <c r="AO816" s="40"/>
      <c r="AP816" s="40"/>
    </row>
    <row r="817">
      <c r="A817" s="40"/>
      <c r="B817" s="42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1"/>
      <c r="AM817" s="40"/>
      <c r="AN817" s="41"/>
      <c r="AO817" s="40"/>
      <c r="AP817" s="40"/>
    </row>
    <row r="818">
      <c r="A818" s="40"/>
      <c r="B818" s="42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1"/>
      <c r="AM818" s="40"/>
      <c r="AN818" s="41"/>
      <c r="AO818" s="40"/>
      <c r="AP818" s="40"/>
    </row>
    <row r="819">
      <c r="A819" s="40"/>
      <c r="B819" s="42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1"/>
      <c r="AM819" s="40"/>
      <c r="AN819" s="41"/>
      <c r="AO819" s="40"/>
      <c r="AP819" s="40"/>
    </row>
    <row r="820">
      <c r="A820" s="40"/>
      <c r="B820" s="42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1"/>
      <c r="AM820" s="40"/>
      <c r="AN820" s="41"/>
      <c r="AO820" s="40"/>
      <c r="AP820" s="40"/>
    </row>
    <row r="821">
      <c r="A821" s="40"/>
      <c r="B821" s="42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1"/>
      <c r="AM821" s="40"/>
      <c r="AN821" s="41"/>
      <c r="AO821" s="40"/>
      <c r="AP821" s="40"/>
    </row>
    <row r="822">
      <c r="A822" s="40"/>
      <c r="B822" s="42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1"/>
      <c r="AM822" s="40"/>
      <c r="AN822" s="41"/>
      <c r="AO822" s="40"/>
      <c r="AP822" s="40"/>
    </row>
    <row r="823">
      <c r="A823" s="40"/>
      <c r="B823" s="42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1"/>
      <c r="AM823" s="40"/>
      <c r="AN823" s="41"/>
      <c r="AO823" s="40"/>
      <c r="AP823" s="40"/>
    </row>
    <row r="824">
      <c r="A824" s="40"/>
      <c r="B824" s="42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1"/>
      <c r="AM824" s="40"/>
      <c r="AN824" s="41"/>
      <c r="AO824" s="40"/>
      <c r="AP824" s="40"/>
    </row>
    <row r="825">
      <c r="A825" s="40"/>
      <c r="B825" s="42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1"/>
      <c r="AM825" s="40"/>
      <c r="AN825" s="41"/>
      <c r="AO825" s="40"/>
      <c r="AP825" s="40"/>
    </row>
    <row r="826">
      <c r="A826" s="40"/>
      <c r="B826" s="42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1"/>
      <c r="AM826" s="40"/>
      <c r="AN826" s="41"/>
      <c r="AO826" s="40"/>
      <c r="AP826" s="40"/>
    </row>
    <row r="827">
      <c r="A827" s="40"/>
      <c r="B827" s="42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1"/>
      <c r="AM827" s="40"/>
      <c r="AN827" s="41"/>
      <c r="AO827" s="40"/>
      <c r="AP827" s="40"/>
    </row>
    <row r="828">
      <c r="A828" s="40"/>
      <c r="B828" s="42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1"/>
      <c r="AM828" s="40"/>
      <c r="AN828" s="41"/>
      <c r="AO828" s="40"/>
      <c r="AP828" s="40"/>
    </row>
    <row r="829">
      <c r="A829" s="40"/>
      <c r="B829" s="42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1"/>
      <c r="AM829" s="40"/>
      <c r="AN829" s="41"/>
      <c r="AO829" s="40"/>
      <c r="AP829" s="40"/>
    </row>
    <row r="830">
      <c r="A830" s="40"/>
      <c r="B830" s="42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1"/>
      <c r="AM830" s="40"/>
      <c r="AN830" s="41"/>
      <c r="AO830" s="40"/>
      <c r="AP830" s="40"/>
    </row>
    <row r="831">
      <c r="A831" s="40"/>
      <c r="B831" s="42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1"/>
      <c r="AM831" s="40"/>
      <c r="AN831" s="41"/>
      <c r="AO831" s="40"/>
      <c r="AP831" s="40"/>
    </row>
    <row r="832">
      <c r="A832" s="40"/>
      <c r="B832" s="42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1"/>
      <c r="AM832" s="40"/>
      <c r="AN832" s="41"/>
      <c r="AO832" s="40"/>
      <c r="AP832" s="40"/>
    </row>
    <row r="833">
      <c r="A833" s="40"/>
      <c r="B833" s="42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1"/>
      <c r="AM833" s="40"/>
      <c r="AN833" s="41"/>
      <c r="AO833" s="40"/>
      <c r="AP833" s="40"/>
    </row>
    <row r="834">
      <c r="A834" s="40"/>
      <c r="B834" s="42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1"/>
      <c r="AM834" s="40"/>
      <c r="AN834" s="41"/>
      <c r="AO834" s="40"/>
      <c r="AP834" s="40"/>
    </row>
    <row r="835">
      <c r="A835" s="40"/>
      <c r="B835" s="42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1"/>
      <c r="AM835" s="40"/>
      <c r="AN835" s="41"/>
      <c r="AO835" s="40"/>
      <c r="AP835" s="40"/>
    </row>
    <row r="836">
      <c r="A836" s="40"/>
      <c r="B836" s="42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1"/>
      <c r="AM836" s="40"/>
      <c r="AN836" s="41"/>
      <c r="AO836" s="40"/>
      <c r="AP836" s="40"/>
    </row>
    <row r="837">
      <c r="A837" s="40"/>
      <c r="B837" s="42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1"/>
      <c r="AM837" s="40"/>
      <c r="AN837" s="41"/>
      <c r="AO837" s="40"/>
      <c r="AP837" s="40"/>
    </row>
    <row r="838">
      <c r="A838" s="40"/>
      <c r="B838" s="42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1"/>
      <c r="AM838" s="40"/>
      <c r="AN838" s="41"/>
      <c r="AO838" s="40"/>
      <c r="AP838" s="40"/>
    </row>
    <row r="839">
      <c r="A839" s="40"/>
      <c r="B839" s="42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1"/>
      <c r="AM839" s="40"/>
      <c r="AN839" s="41"/>
      <c r="AO839" s="40"/>
      <c r="AP839" s="40"/>
    </row>
    <row r="840">
      <c r="A840" s="40"/>
      <c r="B840" s="42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1"/>
      <c r="AM840" s="40"/>
      <c r="AN840" s="41"/>
      <c r="AO840" s="40"/>
      <c r="AP840" s="40"/>
    </row>
    <row r="841">
      <c r="A841" s="40"/>
      <c r="B841" s="42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1"/>
      <c r="AM841" s="40"/>
      <c r="AN841" s="41"/>
      <c r="AO841" s="40"/>
      <c r="AP841" s="40"/>
    </row>
    <row r="842">
      <c r="A842" s="40"/>
      <c r="B842" s="42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1"/>
      <c r="AM842" s="40"/>
      <c r="AN842" s="41"/>
      <c r="AO842" s="40"/>
      <c r="AP842" s="40"/>
    </row>
    <row r="843">
      <c r="A843" s="40"/>
      <c r="B843" s="42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1"/>
      <c r="AM843" s="40"/>
      <c r="AN843" s="41"/>
      <c r="AO843" s="40"/>
      <c r="AP843" s="40"/>
    </row>
    <row r="844">
      <c r="A844" s="40"/>
      <c r="B844" s="42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1"/>
      <c r="AM844" s="40"/>
      <c r="AN844" s="41"/>
      <c r="AO844" s="40"/>
      <c r="AP844" s="40"/>
    </row>
    <row r="845">
      <c r="A845" s="40"/>
      <c r="B845" s="42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1"/>
      <c r="AM845" s="40"/>
      <c r="AN845" s="41"/>
      <c r="AO845" s="40"/>
      <c r="AP845" s="40"/>
    </row>
    <row r="846">
      <c r="A846" s="40"/>
      <c r="B846" s="42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1"/>
      <c r="AM846" s="40"/>
      <c r="AN846" s="41"/>
      <c r="AO846" s="40"/>
      <c r="AP846" s="40"/>
    </row>
    <row r="847">
      <c r="A847" s="40"/>
      <c r="B847" s="42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1"/>
      <c r="AM847" s="40"/>
      <c r="AN847" s="41"/>
      <c r="AO847" s="40"/>
      <c r="AP847" s="40"/>
    </row>
    <row r="848">
      <c r="A848" s="40"/>
      <c r="B848" s="42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1"/>
      <c r="AM848" s="40"/>
      <c r="AN848" s="41"/>
      <c r="AO848" s="40"/>
      <c r="AP848" s="40"/>
    </row>
    <row r="849">
      <c r="A849" s="40"/>
      <c r="B849" s="42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1"/>
      <c r="AM849" s="40"/>
      <c r="AN849" s="41"/>
      <c r="AO849" s="40"/>
      <c r="AP849" s="40"/>
    </row>
    <row r="850">
      <c r="A850" s="40"/>
      <c r="B850" s="42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1"/>
      <c r="AM850" s="40"/>
      <c r="AN850" s="41"/>
      <c r="AO850" s="40"/>
      <c r="AP850" s="40"/>
    </row>
    <row r="851">
      <c r="A851" s="40"/>
      <c r="B851" s="42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1"/>
      <c r="AM851" s="40"/>
      <c r="AN851" s="41"/>
      <c r="AO851" s="40"/>
      <c r="AP851" s="40"/>
    </row>
    <row r="852">
      <c r="A852" s="40"/>
      <c r="B852" s="42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1"/>
      <c r="AM852" s="40"/>
      <c r="AN852" s="41"/>
      <c r="AO852" s="40"/>
      <c r="AP852" s="40"/>
    </row>
    <row r="853">
      <c r="A853" s="40"/>
      <c r="B853" s="42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1"/>
      <c r="AM853" s="40"/>
      <c r="AN853" s="41"/>
      <c r="AO853" s="40"/>
      <c r="AP853" s="40"/>
    </row>
    <row r="854">
      <c r="A854" s="40"/>
      <c r="B854" s="42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1"/>
      <c r="AM854" s="40"/>
      <c r="AN854" s="41"/>
      <c r="AO854" s="40"/>
      <c r="AP854" s="40"/>
    </row>
    <row r="855">
      <c r="A855" s="40"/>
      <c r="B855" s="42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1"/>
      <c r="AM855" s="40"/>
      <c r="AN855" s="41"/>
      <c r="AO855" s="40"/>
      <c r="AP855" s="40"/>
    </row>
    <row r="856">
      <c r="A856" s="40"/>
      <c r="B856" s="42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1"/>
      <c r="AM856" s="40"/>
      <c r="AN856" s="41"/>
      <c r="AO856" s="40"/>
      <c r="AP856" s="40"/>
    </row>
    <row r="857">
      <c r="A857" s="40"/>
      <c r="B857" s="42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1"/>
      <c r="AM857" s="40"/>
      <c r="AN857" s="41"/>
      <c r="AO857" s="40"/>
      <c r="AP857" s="40"/>
    </row>
    <row r="858">
      <c r="A858" s="40"/>
      <c r="B858" s="42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1"/>
      <c r="AM858" s="40"/>
      <c r="AN858" s="41"/>
      <c r="AO858" s="40"/>
      <c r="AP858" s="40"/>
    </row>
    <row r="859">
      <c r="A859" s="40"/>
      <c r="B859" s="42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1"/>
      <c r="AM859" s="40"/>
      <c r="AN859" s="41"/>
      <c r="AO859" s="40"/>
      <c r="AP859" s="40"/>
    </row>
    <row r="860">
      <c r="A860" s="40"/>
      <c r="B860" s="42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1"/>
      <c r="AM860" s="40"/>
      <c r="AN860" s="41"/>
      <c r="AO860" s="40"/>
      <c r="AP860" s="40"/>
    </row>
    <row r="861">
      <c r="A861" s="40"/>
      <c r="B861" s="42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1"/>
      <c r="AM861" s="40"/>
      <c r="AN861" s="41"/>
      <c r="AO861" s="40"/>
      <c r="AP861" s="40"/>
    </row>
    <row r="862">
      <c r="A862" s="40"/>
      <c r="B862" s="42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1"/>
      <c r="AM862" s="40"/>
      <c r="AN862" s="41"/>
      <c r="AO862" s="40"/>
      <c r="AP862" s="40"/>
    </row>
    <row r="863">
      <c r="A863" s="40"/>
      <c r="B863" s="42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1"/>
      <c r="AM863" s="40"/>
      <c r="AN863" s="41"/>
      <c r="AO863" s="40"/>
      <c r="AP863" s="40"/>
    </row>
    <row r="864">
      <c r="A864" s="40"/>
      <c r="B864" s="42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1"/>
      <c r="AM864" s="40"/>
      <c r="AN864" s="41"/>
      <c r="AO864" s="40"/>
      <c r="AP864" s="40"/>
    </row>
    <row r="865">
      <c r="A865" s="40"/>
      <c r="B865" s="42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1"/>
      <c r="AM865" s="40"/>
      <c r="AN865" s="41"/>
      <c r="AO865" s="40"/>
      <c r="AP865" s="40"/>
    </row>
    <row r="866">
      <c r="A866" s="40"/>
      <c r="B866" s="42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1"/>
      <c r="AM866" s="40"/>
      <c r="AN866" s="41"/>
      <c r="AO866" s="40"/>
      <c r="AP866" s="40"/>
    </row>
    <row r="867">
      <c r="A867" s="40"/>
      <c r="B867" s="42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1"/>
      <c r="AM867" s="40"/>
      <c r="AN867" s="41"/>
      <c r="AO867" s="40"/>
      <c r="AP867" s="40"/>
    </row>
    <row r="868">
      <c r="A868" s="40"/>
      <c r="B868" s="42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1"/>
      <c r="AM868" s="40"/>
      <c r="AN868" s="41"/>
      <c r="AO868" s="40"/>
      <c r="AP868" s="40"/>
    </row>
    <row r="869">
      <c r="A869" s="40"/>
      <c r="B869" s="42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1"/>
      <c r="AM869" s="40"/>
      <c r="AN869" s="41"/>
      <c r="AO869" s="40"/>
      <c r="AP869" s="40"/>
    </row>
    <row r="870">
      <c r="A870" s="40"/>
      <c r="B870" s="42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1"/>
      <c r="AM870" s="40"/>
      <c r="AN870" s="41"/>
      <c r="AO870" s="40"/>
      <c r="AP870" s="40"/>
    </row>
    <row r="871">
      <c r="A871" s="40"/>
      <c r="B871" s="42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1"/>
      <c r="AM871" s="40"/>
      <c r="AN871" s="41"/>
      <c r="AO871" s="40"/>
      <c r="AP871" s="40"/>
    </row>
    <row r="872">
      <c r="A872" s="40"/>
      <c r="B872" s="42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1"/>
      <c r="AM872" s="40"/>
      <c r="AN872" s="41"/>
      <c r="AO872" s="40"/>
      <c r="AP872" s="40"/>
    </row>
    <row r="873">
      <c r="A873" s="40"/>
      <c r="B873" s="42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1"/>
      <c r="AM873" s="40"/>
      <c r="AN873" s="41"/>
      <c r="AO873" s="40"/>
      <c r="AP873" s="40"/>
    </row>
    <row r="874">
      <c r="A874" s="40"/>
      <c r="B874" s="42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1"/>
      <c r="AM874" s="40"/>
      <c r="AN874" s="41"/>
      <c r="AO874" s="40"/>
      <c r="AP874" s="40"/>
    </row>
    <row r="875">
      <c r="A875" s="40"/>
      <c r="B875" s="42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1"/>
      <c r="AM875" s="40"/>
      <c r="AN875" s="41"/>
      <c r="AO875" s="40"/>
      <c r="AP875" s="40"/>
    </row>
    <row r="876">
      <c r="A876" s="40"/>
      <c r="B876" s="42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1"/>
      <c r="AM876" s="40"/>
      <c r="AN876" s="41"/>
      <c r="AO876" s="40"/>
      <c r="AP876" s="40"/>
    </row>
    <row r="877">
      <c r="A877" s="40"/>
      <c r="B877" s="42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1"/>
      <c r="AM877" s="40"/>
      <c r="AN877" s="41"/>
      <c r="AO877" s="40"/>
      <c r="AP877" s="40"/>
    </row>
    <row r="878">
      <c r="A878" s="40"/>
      <c r="B878" s="42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1"/>
      <c r="AM878" s="40"/>
      <c r="AN878" s="41"/>
      <c r="AO878" s="40"/>
      <c r="AP878" s="40"/>
    </row>
    <row r="879">
      <c r="A879" s="40"/>
      <c r="B879" s="42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1"/>
      <c r="AM879" s="40"/>
      <c r="AN879" s="41"/>
      <c r="AO879" s="40"/>
      <c r="AP879" s="40"/>
    </row>
    <row r="880">
      <c r="A880" s="40"/>
      <c r="B880" s="42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1"/>
      <c r="AM880" s="40"/>
      <c r="AN880" s="41"/>
      <c r="AO880" s="40"/>
      <c r="AP880" s="40"/>
    </row>
    <row r="881">
      <c r="A881" s="40"/>
      <c r="B881" s="42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1"/>
      <c r="AM881" s="40"/>
      <c r="AN881" s="41"/>
      <c r="AO881" s="40"/>
      <c r="AP881" s="40"/>
    </row>
    <row r="882">
      <c r="A882" s="40"/>
      <c r="B882" s="42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1"/>
      <c r="AM882" s="40"/>
      <c r="AN882" s="41"/>
      <c r="AO882" s="40"/>
      <c r="AP882" s="40"/>
    </row>
    <row r="883">
      <c r="A883" s="40"/>
      <c r="B883" s="42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1"/>
      <c r="AM883" s="40"/>
      <c r="AN883" s="41"/>
      <c r="AO883" s="40"/>
      <c r="AP883" s="40"/>
    </row>
    <row r="884">
      <c r="A884" s="40"/>
      <c r="B884" s="42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1"/>
      <c r="AM884" s="40"/>
      <c r="AN884" s="41"/>
      <c r="AO884" s="40"/>
      <c r="AP884" s="40"/>
    </row>
    <row r="885">
      <c r="A885" s="40"/>
      <c r="B885" s="42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1"/>
      <c r="AM885" s="40"/>
      <c r="AN885" s="41"/>
      <c r="AO885" s="40"/>
      <c r="AP885" s="40"/>
    </row>
    <row r="886">
      <c r="A886" s="40"/>
      <c r="B886" s="42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1"/>
      <c r="AM886" s="40"/>
      <c r="AN886" s="41"/>
      <c r="AO886" s="40"/>
      <c r="AP886" s="40"/>
    </row>
    <row r="887">
      <c r="A887" s="40"/>
      <c r="B887" s="42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1"/>
      <c r="AM887" s="40"/>
      <c r="AN887" s="41"/>
      <c r="AO887" s="40"/>
      <c r="AP887" s="40"/>
    </row>
    <row r="888">
      <c r="A888" s="40"/>
      <c r="B888" s="42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1"/>
      <c r="AM888" s="40"/>
      <c r="AN888" s="41"/>
      <c r="AO888" s="40"/>
      <c r="AP888" s="40"/>
    </row>
    <row r="889">
      <c r="A889" s="40"/>
      <c r="B889" s="42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1"/>
      <c r="AM889" s="40"/>
      <c r="AN889" s="41"/>
      <c r="AO889" s="40"/>
      <c r="AP889" s="40"/>
    </row>
    <row r="890">
      <c r="A890" s="40"/>
      <c r="B890" s="42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1"/>
      <c r="AM890" s="40"/>
      <c r="AN890" s="41"/>
      <c r="AO890" s="40"/>
      <c r="AP890" s="40"/>
    </row>
    <row r="891">
      <c r="A891" s="40"/>
      <c r="B891" s="42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1"/>
      <c r="AM891" s="40"/>
      <c r="AN891" s="41"/>
      <c r="AO891" s="40"/>
      <c r="AP891" s="40"/>
    </row>
    <row r="892">
      <c r="A892" s="40"/>
      <c r="B892" s="42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1"/>
      <c r="AM892" s="40"/>
      <c r="AN892" s="41"/>
      <c r="AO892" s="40"/>
      <c r="AP892" s="40"/>
    </row>
    <row r="893">
      <c r="A893" s="40"/>
      <c r="B893" s="42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1"/>
      <c r="AM893" s="40"/>
      <c r="AN893" s="41"/>
      <c r="AO893" s="40"/>
      <c r="AP893" s="40"/>
    </row>
    <row r="894">
      <c r="A894" s="40"/>
      <c r="B894" s="42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1"/>
      <c r="AM894" s="40"/>
      <c r="AN894" s="41"/>
      <c r="AO894" s="40"/>
      <c r="AP894" s="40"/>
    </row>
    <row r="895">
      <c r="A895" s="40"/>
      <c r="B895" s="42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1"/>
      <c r="AM895" s="40"/>
      <c r="AN895" s="41"/>
      <c r="AO895" s="40"/>
      <c r="AP895" s="40"/>
    </row>
    <row r="896">
      <c r="A896" s="40"/>
      <c r="B896" s="42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1"/>
      <c r="AM896" s="40"/>
      <c r="AN896" s="41"/>
      <c r="AO896" s="40"/>
      <c r="AP896" s="40"/>
    </row>
    <row r="897">
      <c r="A897" s="40"/>
      <c r="B897" s="42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1"/>
      <c r="AM897" s="40"/>
      <c r="AN897" s="41"/>
      <c r="AO897" s="40"/>
      <c r="AP897" s="40"/>
    </row>
    <row r="898">
      <c r="A898" s="40"/>
      <c r="B898" s="42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1"/>
      <c r="AM898" s="40"/>
      <c r="AN898" s="41"/>
      <c r="AO898" s="40"/>
      <c r="AP898" s="40"/>
    </row>
    <row r="899">
      <c r="A899" s="40"/>
      <c r="B899" s="42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1"/>
      <c r="AM899" s="40"/>
      <c r="AN899" s="41"/>
      <c r="AO899" s="40"/>
      <c r="AP899" s="40"/>
    </row>
    <row r="900">
      <c r="A900" s="40"/>
      <c r="B900" s="42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1"/>
      <c r="AM900" s="40"/>
      <c r="AN900" s="41"/>
      <c r="AO900" s="40"/>
      <c r="AP900" s="40"/>
    </row>
    <row r="901">
      <c r="A901" s="40"/>
      <c r="B901" s="42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1"/>
      <c r="AM901" s="40"/>
      <c r="AN901" s="41"/>
      <c r="AO901" s="40"/>
      <c r="AP901" s="40"/>
    </row>
    <row r="902">
      <c r="A902" s="40"/>
      <c r="B902" s="42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1"/>
      <c r="AM902" s="40"/>
      <c r="AN902" s="41"/>
      <c r="AO902" s="40"/>
      <c r="AP902" s="40"/>
    </row>
    <row r="903">
      <c r="A903" s="40"/>
      <c r="B903" s="42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1"/>
      <c r="AM903" s="40"/>
      <c r="AN903" s="41"/>
      <c r="AO903" s="40"/>
      <c r="AP903" s="40"/>
    </row>
    <row r="904">
      <c r="A904" s="40"/>
      <c r="B904" s="42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1"/>
      <c r="AM904" s="40"/>
      <c r="AN904" s="41"/>
      <c r="AO904" s="40"/>
      <c r="AP904" s="40"/>
    </row>
    <row r="905">
      <c r="A905" s="40"/>
      <c r="B905" s="42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1"/>
      <c r="AM905" s="40"/>
      <c r="AN905" s="41"/>
      <c r="AO905" s="40"/>
      <c r="AP905" s="40"/>
    </row>
    <row r="906">
      <c r="A906" s="40"/>
      <c r="B906" s="42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1"/>
      <c r="AM906" s="40"/>
      <c r="AN906" s="41"/>
      <c r="AO906" s="40"/>
      <c r="AP906" s="40"/>
    </row>
    <row r="907">
      <c r="A907" s="40"/>
      <c r="B907" s="42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1"/>
      <c r="AM907" s="40"/>
      <c r="AN907" s="41"/>
      <c r="AO907" s="40"/>
      <c r="AP907" s="40"/>
    </row>
    <row r="908">
      <c r="A908" s="40"/>
      <c r="B908" s="42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1"/>
      <c r="AM908" s="40"/>
      <c r="AN908" s="41"/>
      <c r="AO908" s="40"/>
      <c r="AP908" s="40"/>
    </row>
    <row r="909">
      <c r="A909" s="40"/>
      <c r="B909" s="42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1"/>
      <c r="AM909" s="40"/>
      <c r="AN909" s="41"/>
      <c r="AO909" s="40"/>
      <c r="AP909" s="40"/>
    </row>
    <row r="910">
      <c r="A910" s="40"/>
      <c r="B910" s="42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1"/>
      <c r="AM910" s="40"/>
      <c r="AN910" s="41"/>
      <c r="AO910" s="40"/>
      <c r="AP910" s="40"/>
    </row>
    <row r="911">
      <c r="A911" s="40"/>
      <c r="B911" s="42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1"/>
      <c r="AM911" s="40"/>
      <c r="AN911" s="41"/>
      <c r="AO911" s="40"/>
      <c r="AP911" s="40"/>
    </row>
    <row r="912">
      <c r="A912" s="40"/>
      <c r="B912" s="42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1"/>
      <c r="AM912" s="40"/>
      <c r="AN912" s="41"/>
      <c r="AO912" s="40"/>
      <c r="AP912" s="40"/>
    </row>
    <row r="913">
      <c r="A913" s="40"/>
      <c r="B913" s="42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1"/>
      <c r="AM913" s="40"/>
      <c r="AN913" s="41"/>
      <c r="AO913" s="40"/>
      <c r="AP913" s="40"/>
    </row>
    <row r="914">
      <c r="A914" s="40"/>
      <c r="B914" s="42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1"/>
      <c r="AM914" s="40"/>
      <c r="AN914" s="41"/>
      <c r="AO914" s="40"/>
      <c r="AP914" s="40"/>
    </row>
    <row r="915">
      <c r="A915" s="40"/>
      <c r="B915" s="42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1"/>
      <c r="AM915" s="40"/>
      <c r="AN915" s="41"/>
      <c r="AO915" s="40"/>
      <c r="AP915" s="40"/>
    </row>
    <row r="916">
      <c r="A916" s="40"/>
      <c r="B916" s="42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1"/>
      <c r="AM916" s="40"/>
      <c r="AN916" s="41"/>
      <c r="AO916" s="40"/>
      <c r="AP916" s="40"/>
    </row>
    <row r="917">
      <c r="A917" s="40"/>
      <c r="B917" s="42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1"/>
      <c r="AM917" s="40"/>
      <c r="AN917" s="41"/>
      <c r="AO917" s="40"/>
      <c r="AP917" s="40"/>
    </row>
    <row r="918">
      <c r="A918" s="40"/>
      <c r="B918" s="42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1"/>
      <c r="AM918" s="40"/>
      <c r="AN918" s="41"/>
      <c r="AO918" s="40"/>
      <c r="AP918" s="40"/>
    </row>
    <row r="919">
      <c r="A919" s="40"/>
      <c r="B919" s="42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1"/>
      <c r="AM919" s="40"/>
      <c r="AN919" s="41"/>
      <c r="AO919" s="40"/>
      <c r="AP919" s="40"/>
    </row>
    <row r="920">
      <c r="A920" s="40"/>
      <c r="B920" s="42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1"/>
      <c r="AM920" s="40"/>
      <c r="AN920" s="41"/>
      <c r="AO920" s="40"/>
      <c r="AP920" s="40"/>
    </row>
    <row r="921">
      <c r="A921" s="40"/>
      <c r="B921" s="42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1"/>
      <c r="AM921" s="40"/>
      <c r="AN921" s="41"/>
      <c r="AO921" s="40"/>
      <c r="AP921" s="40"/>
    </row>
    <row r="922">
      <c r="A922" s="40"/>
      <c r="B922" s="42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1"/>
      <c r="AM922" s="40"/>
      <c r="AN922" s="41"/>
      <c r="AO922" s="40"/>
      <c r="AP922" s="40"/>
    </row>
    <row r="923">
      <c r="A923" s="40"/>
      <c r="B923" s="42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1"/>
      <c r="AM923" s="40"/>
      <c r="AN923" s="41"/>
      <c r="AO923" s="40"/>
      <c r="AP923" s="40"/>
    </row>
    <row r="924">
      <c r="A924" s="40"/>
      <c r="B924" s="42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1"/>
      <c r="AM924" s="40"/>
      <c r="AN924" s="41"/>
      <c r="AO924" s="40"/>
      <c r="AP924" s="40"/>
    </row>
    <row r="925">
      <c r="A925" s="40"/>
      <c r="B925" s="42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1"/>
      <c r="AM925" s="40"/>
      <c r="AN925" s="41"/>
      <c r="AO925" s="40"/>
      <c r="AP925" s="40"/>
    </row>
    <row r="926">
      <c r="A926" s="40"/>
      <c r="B926" s="42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1"/>
      <c r="AM926" s="40"/>
      <c r="AN926" s="41"/>
      <c r="AO926" s="40"/>
      <c r="AP926" s="40"/>
    </row>
    <row r="927">
      <c r="A927" s="40"/>
      <c r="B927" s="42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1"/>
      <c r="AM927" s="40"/>
      <c r="AN927" s="41"/>
      <c r="AO927" s="40"/>
      <c r="AP927" s="40"/>
    </row>
    <row r="928">
      <c r="A928" s="40"/>
      <c r="B928" s="42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1"/>
      <c r="AM928" s="40"/>
      <c r="AN928" s="41"/>
      <c r="AO928" s="40"/>
      <c r="AP928" s="40"/>
    </row>
    <row r="929">
      <c r="A929" s="40"/>
      <c r="B929" s="42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1"/>
      <c r="AM929" s="40"/>
      <c r="AN929" s="41"/>
      <c r="AO929" s="40"/>
      <c r="AP929" s="40"/>
    </row>
    <row r="930">
      <c r="A930" s="40"/>
      <c r="B930" s="42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1"/>
      <c r="AM930" s="40"/>
      <c r="AN930" s="41"/>
      <c r="AO930" s="40"/>
      <c r="AP930" s="40"/>
    </row>
    <row r="931">
      <c r="A931" s="40"/>
      <c r="B931" s="42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1"/>
      <c r="AM931" s="40"/>
      <c r="AN931" s="41"/>
      <c r="AO931" s="40"/>
      <c r="AP931" s="40"/>
    </row>
    <row r="932">
      <c r="A932" s="40"/>
      <c r="B932" s="42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1"/>
      <c r="AM932" s="40"/>
      <c r="AN932" s="41"/>
      <c r="AO932" s="40"/>
      <c r="AP932" s="40"/>
    </row>
    <row r="933">
      <c r="A933" s="40"/>
      <c r="B933" s="42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1"/>
      <c r="AM933" s="40"/>
      <c r="AN933" s="41"/>
      <c r="AO933" s="40"/>
      <c r="AP933" s="40"/>
    </row>
    <row r="934">
      <c r="A934" s="40"/>
      <c r="B934" s="42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1"/>
      <c r="AM934" s="40"/>
      <c r="AN934" s="41"/>
      <c r="AO934" s="40"/>
      <c r="AP934" s="40"/>
    </row>
    <row r="935">
      <c r="A935" s="40"/>
      <c r="B935" s="42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1"/>
      <c r="AM935" s="40"/>
      <c r="AN935" s="41"/>
      <c r="AO935" s="40"/>
      <c r="AP935" s="40"/>
    </row>
    <row r="936">
      <c r="A936" s="40"/>
      <c r="B936" s="42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1"/>
      <c r="AM936" s="40"/>
      <c r="AN936" s="41"/>
      <c r="AO936" s="40"/>
      <c r="AP936" s="40"/>
    </row>
    <row r="937">
      <c r="A937" s="40"/>
      <c r="B937" s="42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1"/>
      <c r="AM937" s="40"/>
      <c r="AN937" s="41"/>
      <c r="AO937" s="40"/>
      <c r="AP937" s="40"/>
    </row>
    <row r="938">
      <c r="A938" s="40"/>
      <c r="B938" s="42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1"/>
      <c r="AM938" s="40"/>
      <c r="AN938" s="41"/>
      <c r="AO938" s="40"/>
      <c r="AP938" s="40"/>
    </row>
    <row r="939">
      <c r="A939" s="40"/>
      <c r="B939" s="42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1"/>
      <c r="AM939" s="40"/>
      <c r="AN939" s="41"/>
      <c r="AO939" s="40"/>
      <c r="AP939" s="40"/>
    </row>
    <row r="940">
      <c r="A940" s="40"/>
      <c r="B940" s="42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1"/>
      <c r="AM940" s="40"/>
      <c r="AN940" s="41"/>
      <c r="AO940" s="40"/>
      <c r="AP940" s="40"/>
    </row>
    <row r="941">
      <c r="A941" s="40"/>
      <c r="B941" s="42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1"/>
      <c r="AM941" s="40"/>
      <c r="AN941" s="41"/>
      <c r="AO941" s="40"/>
      <c r="AP941" s="40"/>
    </row>
    <row r="942">
      <c r="A942" s="40"/>
      <c r="B942" s="42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1"/>
      <c r="AM942" s="40"/>
      <c r="AN942" s="41"/>
      <c r="AO942" s="40"/>
      <c r="AP942" s="40"/>
    </row>
    <row r="943">
      <c r="A943" s="40"/>
      <c r="B943" s="42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1"/>
      <c r="AM943" s="40"/>
      <c r="AN943" s="41"/>
      <c r="AO943" s="40"/>
      <c r="AP943" s="40"/>
    </row>
    <row r="944">
      <c r="A944" s="40"/>
      <c r="B944" s="42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1"/>
      <c r="AM944" s="40"/>
      <c r="AN944" s="41"/>
      <c r="AO944" s="40"/>
      <c r="AP944" s="40"/>
    </row>
    <row r="945">
      <c r="A945" s="40"/>
      <c r="B945" s="42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1"/>
      <c r="AM945" s="40"/>
      <c r="AN945" s="41"/>
      <c r="AO945" s="40"/>
      <c r="AP945" s="40"/>
    </row>
    <row r="946">
      <c r="A946" s="40"/>
      <c r="B946" s="42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1"/>
      <c r="AM946" s="40"/>
      <c r="AN946" s="41"/>
      <c r="AO946" s="40"/>
      <c r="AP946" s="40"/>
    </row>
    <row r="947">
      <c r="A947" s="40"/>
      <c r="B947" s="42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1"/>
      <c r="AM947" s="40"/>
      <c r="AN947" s="41"/>
      <c r="AO947" s="40"/>
      <c r="AP947" s="40"/>
    </row>
    <row r="948">
      <c r="A948" s="40"/>
      <c r="B948" s="42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1"/>
      <c r="AM948" s="40"/>
      <c r="AN948" s="41"/>
      <c r="AO948" s="40"/>
      <c r="AP948" s="40"/>
    </row>
    <row r="949">
      <c r="A949" s="40"/>
      <c r="B949" s="42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1"/>
      <c r="AM949" s="40"/>
      <c r="AN949" s="41"/>
      <c r="AO949" s="40"/>
      <c r="AP949" s="40"/>
    </row>
    <row r="950">
      <c r="A950" s="40"/>
      <c r="B950" s="42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1"/>
      <c r="AM950" s="40"/>
      <c r="AN950" s="41"/>
      <c r="AO950" s="40"/>
      <c r="AP950" s="40"/>
    </row>
    <row r="951">
      <c r="A951" s="40"/>
      <c r="B951" s="42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1"/>
      <c r="AM951" s="40"/>
      <c r="AN951" s="41"/>
      <c r="AO951" s="40"/>
      <c r="AP951" s="40"/>
    </row>
    <row r="952">
      <c r="A952" s="40"/>
      <c r="B952" s="42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1"/>
      <c r="AM952" s="40"/>
      <c r="AN952" s="41"/>
      <c r="AO952" s="40"/>
      <c r="AP952" s="40"/>
    </row>
    <row r="953">
      <c r="A953" s="40"/>
      <c r="B953" s="42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1"/>
      <c r="AM953" s="40"/>
      <c r="AN953" s="41"/>
      <c r="AO953" s="40"/>
      <c r="AP953" s="40"/>
    </row>
    <row r="954">
      <c r="A954" s="40"/>
      <c r="B954" s="42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1"/>
      <c r="AM954" s="40"/>
      <c r="AN954" s="41"/>
      <c r="AO954" s="40"/>
      <c r="AP954" s="40"/>
    </row>
    <row r="955">
      <c r="A955" s="40"/>
      <c r="B955" s="42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1"/>
      <c r="AM955" s="40"/>
      <c r="AN955" s="41"/>
      <c r="AO955" s="40"/>
      <c r="AP955" s="40"/>
    </row>
    <row r="956">
      <c r="A956" s="40"/>
      <c r="B956" s="42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1"/>
      <c r="AM956" s="40"/>
      <c r="AN956" s="41"/>
      <c r="AO956" s="40"/>
      <c r="AP956" s="40"/>
    </row>
    <row r="957">
      <c r="A957" s="40"/>
      <c r="B957" s="42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1"/>
      <c r="AM957" s="40"/>
      <c r="AN957" s="41"/>
      <c r="AO957" s="40"/>
      <c r="AP957" s="40"/>
    </row>
    <row r="958">
      <c r="A958" s="40"/>
      <c r="B958" s="42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1"/>
      <c r="AM958" s="40"/>
      <c r="AN958" s="41"/>
      <c r="AO958" s="40"/>
      <c r="AP958" s="40"/>
    </row>
    <row r="959">
      <c r="A959" s="40"/>
      <c r="B959" s="42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1"/>
      <c r="AM959" s="40"/>
      <c r="AN959" s="41"/>
      <c r="AO959" s="40"/>
      <c r="AP959" s="40"/>
    </row>
    <row r="960">
      <c r="A960" s="40"/>
      <c r="B960" s="42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1"/>
      <c r="AM960" s="40"/>
      <c r="AN960" s="41"/>
      <c r="AO960" s="40"/>
      <c r="AP960" s="40"/>
    </row>
    <row r="961">
      <c r="A961" s="40"/>
      <c r="B961" s="42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1"/>
      <c r="AM961" s="40"/>
      <c r="AN961" s="41"/>
      <c r="AO961" s="40"/>
      <c r="AP961" s="40"/>
    </row>
    <row r="962">
      <c r="A962" s="40"/>
      <c r="B962" s="42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1"/>
      <c r="AM962" s="40"/>
      <c r="AN962" s="41"/>
      <c r="AO962" s="40"/>
      <c r="AP962" s="40"/>
    </row>
    <row r="963">
      <c r="A963" s="40"/>
      <c r="B963" s="42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1"/>
      <c r="AM963" s="40"/>
      <c r="AN963" s="41"/>
      <c r="AO963" s="40"/>
      <c r="AP963" s="40"/>
    </row>
    <row r="964">
      <c r="A964" s="40"/>
      <c r="B964" s="42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1"/>
      <c r="AM964" s="40"/>
      <c r="AN964" s="41"/>
      <c r="AO964" s="40"/>
      <c r="AP964" s="40"/>
    </row>
    <row r="965">
      <c r="A965" s="40"/>
      <c r="B965" s="42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1"/>
      <c r="AM965" s="40"/>
      <c r="AN965" s="41"/>
      <c r="AO965" s="40"/>
      <c r="AP965" s="40"/>
    </row>
    <row r="966">
      <c r="A966" s="40"/>
      <c r="B966" s="42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1"/>
      <c r="AM966" s="40"/>
      <c r="AN966" s="41"/>
      <c r="AO966" s="40"/>
      <c r="AP966" s="40"/>
    </row>
    <row r="967">
      <c r="A967" s="40"/>
      <c r="B967" s="42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1"/>
      <c r="AM967" s="40"/>
      <c r="AN967" s="41"/>
      <c r="AO967" s="40"/>
      <c r="AP967" s="40"/>
    </row>
    <row r="968">
      <c r="A968" s="40"/>
      <c r="B968" s="42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1"/>
      <c r="AM968" s="40"/>
      <c r="AN968" s="41"/>
      <c r="AO968" s="40"/>
      <c r="AP968" s="40"/>
    </row>
    <row r="969">
      <c r="A969" s="40"/>
      <c r="B969" s="42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1"/>
      <c r="AM969" s="40"/>
      <c r="AN969" s="41"/>
      <c r="AO969" s="40"/>
      <c r="AP969" s="40"/>
    </row>
    <row r="970">
      <c r="A970" s="40"/>
      <c r="B970" s="42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1"/>
      <c r="AM970" s="40"/>
      <c r="AN970" s="41"/>
      <c r="AO970" s="40"/>
      <c r="AP970" s="40"/>
    </row>
    <row r="971">
      <c r="A971" s="40"/>
      <c r="B971" s="42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1"/>
      <c r="AM971" s="40"/>
      <c r="AN971" s="41"/>
      <c r="AO971" s="40"/>
      <c r="AP971" s="40"/>
    </row>
    <row r="972">
      <c r="A972" s="40"/>
      <c r="B972" s="42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1"/>
      <c r="AM972" s="40"/>
      <c r="AN972" s="41"/>
      <c r="AO972" s="40"/>
      <c r="AP972" s="40"/>
    </row>
    <row r="973">
      <c r="A973" s="40"/>
      <c r="B973" s="42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1"/>
      <c r="AM973" s="40"/>
      <c r="AN973" s="41"/>
      <c r="AO973" s="40"/>
      <c r="AP973" s="40"/>
    </row>
    <row r="974">
      <c r="A974" s="40"/>
      <c r="B974" s="42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1"/>
      <c r="AM974" s="40"/>
      <c r="AN974" s="41"/>
      <c r="AO974" s="40"/>
      <c r="AP974" s="40"/>
    </row>
    <row r="975">
      <c r="A975" s="40"/>
      <c r="B975" s="42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1"/>
      <c r="AM975" s="40"/>
      <c r="AN975" s="41"/>
      <c r="AO975" s="40"/>
      <c r="AP975" s="40"/>
    </row>
    <row r="976">
      <c r="A976" s="40"/>
      <c r="B976" s="42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1"/>
      <c r="AM976" s="40"/>
      <c r="AN976" s="41"/>
      <c r="AO976" s="40"/>
      <c r="AP976" s="40"/>
    </row>
    <row r="977">
      <c r="A977" s="40"/>
      <c r="B977" s="42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1"/>
      <c r="AM977" s="40"/>
      <c r="AN977" s="41"/>
      <c r="AO977" s="40"/>
      <c r="AP977" s="40"/>
    </row>
    <row r="978">
      <c r="A978" s="40"/>
      <c r="B978" s="42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1"/>
      <c r="AM978" s="40"/>
      <c r="AN978" s="41"/>
      <c r="AO978" s="40"/>
      <c r="AP978" s="40"/>
    </row>
    <row r="979">
      <c r="A979" s="40"/>
      <c r="B979" s="42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1"/>
      <c r="AM979" s="40"/>
      <c r="AN979" s="41"/>
      <c r="AO979" s="40"/>
      <c r="AP979" s="40"/>
    </row>
    <row r="980">
      <c r="A980" s="40"/>
      <c r="B980" s="42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1"/>
      <c r="AM980" s="40"/>
      <c r="AN980" s="41"/>
      <c r="AO980" s="40"/>
      <c r="AP980" s="40"/>
    </row>
    <row r="981">
      <c r="A981" s="40"/>
      <c r="B981" s="42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1"/>
      <c r="AM981" s="40"/>
      <c r="AN981" s="41"/>
      <c r="AO981" s="40"/>
      <c r="AP981" s="40"/>
    </row>
    <row r="982">
      <c r="A982" s="40"/>
      <c r="B982" s="42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1"/>
      <c r="AM982" s="40"/>
      <c r="AN982" s="41"/>
      <c r="AO982" s="40"/>
      <c r="AP982" s="40"/>
    </row>
    <row r="983">
      <c r="A983" s="40"/>
      <c r="B983" s="42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1"/>
      <c r="AM983" s="40"/>
      <c r="AN983" s="41"/>
      <c r="AO983" s="40"/>
      <c r="AP983" s="40"/>
    </row>
    <row r="984">
      <c r="A984" s="40"/>
      <c r="B984" s="42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1"/>
      <c r="AM984" s="40"/>
      <c r="AN984" s="41"/>
      <c r="AO984" s="40"/>
      <c r="AP984" s="40"/>
    </row>
    <row r="985">
      <c r="A985" s="40"/>
      <c r="B985" s="42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1"/>
      <c r="AM985" s="40"/>
      <c r="AN985" s="41"/>
      <c r="AO985" s="40"/>
      <c r="AP985" s="40"/>
    </row>
    <row r="986">
      <c r="A986" s="40"/>
      <c r="B986" s="42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1"/>
      <c r="AM986" s="40"/>
      <c r="AN986" s="41"/>
      <c r="AO986" s="40"/>
      <c r="AP986" s="40"/>
    </row>
    <row r="987">
      <c r="A987" s="40"/>
      <c r="B987" s="42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1"/>
      <c r="AM987" s="40"/>
      <c r="AN987" s="41"/>
      <c r="AO987" s="40"/>
      <c r="AP987" s="40"/>
    </row>
    <row r="988">
      <c r="A988" s="40"/>
      <c r="B988" s="42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1"/>
      <c r="AM988" s="40"/>
      <c r="AN988" s="41"/>
      <c r="AO988" s="40"/>
      <c r="AP988" s="40"/>
    </row>
    <row r="989">
      <c r="A989" s="40"/>
      <c r="B989" s="42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1"/>
      <c r="AM989" s="40"/>
      <c r="AN989" s="41"/>
      <c r="AO989" s="40"/>
      <c r="AP989" s="40"/>
    </row>
    <row r="990">
      <c r="A990" s="40"/>
      <c r="B990" s="42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1"/>
      <c r="AM990" s="40"/>
      <c r="AN990" s="41"/>
      <c r="AO990" s="40"/>
      <c r="AP990" s="40"/>
    </row>
    <row r="991">
      <c r="A991" s="40"/>
      <c r="B991" s="42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1"/>
      <c r="AM991" s="40"/>
      <c r="AN991" s="41"/>
      <c r="AO991" s="40"/>
      <c r="AP991" s="40"/>
    </row>
    <row r="992">
      <c r="A992" s="40"/>
      <c r="B992" s="42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1"/>
      <c r="AM992" s="40"/>
      <c r="AN992" s="41"/>
      <c r="AO992" s="40"/>
      <c r="AP992" s="40"/>
    </row>
    <row r="993">
      <c r="A993" s="40"/>
      <c r="B993" s="42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1"/>
      <c r="AM993" s="40"/>
      <c r="AN993" s="41"/>
      <c r="AO993" s="40"/>
      <c r="AP993" s="40"/>
    </row>
    <row r="994">
      <c r="A994" s="40"/>
      <c r="B994" s="42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1"/>
      <c r="AM994" s="40"/>
      <c r="AN994" s="41"/>
      <c r="AO994" s="40"/>
      <c r="AP994" s="40"/>
    </row>
    <row r="995">
      <c r="A995" s="40"/>
      <c r="B995" s="42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1"/>
      <c r="AM995" s="40"/>
      <c r="AN995" s="41"/>
      <c r="AO995" s="40"/>
      <c r="AP995" s="40"/>
    </row>
    <row r="996">
      <c r="B996" s="39"/>
      <c r="AL996" s="43"/>
      <c r="AN996" s="43"/>
    </row>
    <row r="997">
      <c r="B997" s="39"/>
      <c r="AL997" s="43"/>
      <c r="AN997" s="43"/>
    </row>
    <row r="998">
      <c r="B998" s="39"/>
      <c r="AL998" s="43"/>
      <c r="AN998" s="43"/>
    </row>
  </sheetData>
  <mergeCells count="3">
    <mergeCell ref="A2:A4"/>
    <mergeCell ref="B2:B4"/>
    <mergeCell ref="C2:A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5.25"/>
    <col customWidth="1" min="2" max="2" width="12.25"/>
    <col customWidth="1" hidden="1" min="3" max="3" width="4.63"/>
    <col customWidth="1" hidden="1" min="4" max="4" width="4.75"/>
    <col customWidth="1" min="5" max="5" width="22.38"/>
    <col customWidth="1" min="6" max="6" width="58.63"/>
    <col customWidth="1" min="7" max="7" width="5.13"/>
    <col customWidth="1" min="8" max="8" width="12.88"/>
    <col customWidth="1" min="9" max="9" width="14.0"/>
    <col customWidth="1" min="10" max="10" width="12.88"/>
    <col customWidth="1" min="11" max="11" width="9.13"/>
    <col customWidth="1" min="12" max="13" width="16.0"/>
    <col customWidth="1" min="14" max="14" width="0.38"/>
    <col customWidth="1" min="15" max="15" width="33.38"/>
    <col customWidth="1" min="17" max="17" width="18.0"/>
    <col customWidth="1" min="18" max="18" width="15.13"/>
  </cols>
  <sheetData>
    <row r="1">
      <c r="A1" s="44" t="s">
        <v>11</v>
      </c>
      <c r="B1" s="44" t="s">
        <v>12</v>
      </c>
      <c r="C1" s="44" t="s">
        <v>13</v>
      </c>
      <c r="D1" s="44" t="s">
        <v>14</v>
      </c>
      <c r="E1" s="44" t="s">
        <v>15</v>
      </c>
      <c r="F1" s="44" t="s">
        <v>1</v>
      </c>
      <c r="G1" s="45" t="s">
        <v>16</v>
      </c>
      <c r="H1" s="46" t="s">
        <v>2</v>
      </c>
      <c r="I1" s="47" t="s">
        <v>17</v>
      </c>
      <c r="J1" s="48" t="s">
        <v>18</v>
      </c>
      <c r="K1" s="49" t="s">
        <v>19</v>
      </c>
      <c r="L1" s="50" t="s">
        <v>8</v>
      </c>
      <c r="M1" s="44" t="s">
        <v>20</v>
      </c>
      <c r="N1" s="44" t="s">
        <v>21</v>
      </c>
      <c r="O1" s="44" t="s">
        <v>22</v>
      </c>
      <c r="P1" s="44" t="s">
        <v>23</v>
      </c>
      <c r="Q1" s="51" t="s">
        <v>24</v>
      </c>
      <c r="R1" s="51" t="s">
        <v>25</v>
      </c>
      <c r="S1" s="51" t="s">
        <v>26</v>
      </c>
    </row>
    <row r="2">
      <c r="A2" s="52">
        <v>1.0</v>
      </c>
      <c r="B2" s="53">
        <v>45847.0</v>
      </c>
      <c r="C2" s="52"/>
      <c r="D2" s="52"/>
      <c r="E2" s="52" t="s">
        <v>27</v>
      </c>
      <c r="F2" s="52" t="s">
        <v>28</v>
      </c>
      <c r="G2" s="54">
        <f t="shared" ref="G2:G385" si="1">H2+S2</f>
        <v>12</v>
      </c>
      <c r="H2" s="54">
        <v>12.0</v>
      </c>
      <c r="I2" s="55">
        <v>1400.0</v>
      </c>
      <c r="J2" s="56">
        <f t="shared" ref="J2:J62" si="2">I2*G2</f>
        <v>16800</v>
      </c>
      <c r="K2" s="57">
        <v>0.3</v>
      </c>
      <c r="L2" s="58">
        <f t="shared" ref="L2:L3" si="3">I2+((K2)*I2)</f>
        <v>1820</v>
      </c>
      <c r="M2" s="59">
        <v>4000.0</v>
      </c>
      <c r="N2" s="59"/>
      <c r="O2" s="52" t="s">
        <v>29</v>
      </c>
      <c r="P2" s="60" t="s">
        <v>30</v>
      </c>
      <c r="Q2" s="60" t="b">
        <v>1</v>
      </c>
      <c r="R2" s="60"/>
      <c r="S2" s="52">
        <v>0.0</v>
      </c>
    </row>
    <row r="3">
      <c r="A3" s="52">
        <v>2.0</v>
      </c>
      <c r="B3" s="53">
        <v>45847.0</v>
      </c>
      <c r="C3" s="52"/>
      <c r="D3" s="52"/>
      <c r="E3" s="52" t="s">
        <v>27</v>
      </c>
      <c r="F3" s="52" t="s">
        <v>31</v>
      </c>
      <c r="G3" s="54">
        <f t="shared" si="1"/>
        <v>12</v>
      </c>
      <c r="H3" s="54">
        <v>12.0</v>
      </c>
      <c r="I3" s="55">
        <v>3000.0</v>
      </c>
      <c r="J3" s="56">
        <f t="shared" si="2"/>
        <v>36000</v>
      </c>
      <c r="K3" s="57">
        <v>0.3</v>
      </c>
      <c r="L3" s="58">
        <f t="shared" si="3"/>
        <v>3900</v>
      </c>
      <c r="M3" s="59">
        <v>4000.0</v>
      </c>
      <c r="N3" s="59"/>
      <c r="O3" s="52" t="s">
        <v>29</v>
      </c>
      <c r="P3" s="60" t="s">
        <v>30</v>
      </c>
      <c r="Q3" s="60" t="b">
        <v>1</v>
      </c>
      <c r="R3" s="60"/>
      <c r="S3" s="52">
        <v>0.0</v>
      </c>
    </row>
    <row r="4">
      <c r="A4" s="52">
        <v>3.0</v>
      </c>
      <c r="B4" s="53">
        <v>45847.0</v>
      </c>
      <c r="C4" s="52"/>
      <c r="D4" s="52"/>
      <c r="E4" s="52" t="s">
        <v>27</v>
      </c>
      <c r="F4" s="52" t="s">
        <v>32</v>
      </c>
      <c r="G4" s="54">
        <f t="shared" si="1"/>
        <v>12</v>
      </c>
      <c r="H4" s="54">
        <v>12.0</v>
      </c>
      <c r="I4" s="55">
        <v>3000.0</v>
      </c>
      <c r="J4" s="56">
        <f t="shared" si="2"/>
        <v>36000</v>
      </c>
      <c r="K4" s="57">
        <v>0.3</v>
      </c>
      <c r="L4" s="58">
        <v>6000.0</v>
      </c>
      <c r="M4" s="59">
        <v>6000.0</v>
      </c>
      <c r="N4" s="59"/>
      <c r="O4" s="52" t="s">
        <v>29</v>
      </c>
      <c r="P4" s="60" t="s">
        <v>30</v>
      </c>
      <c r="Q4" s="60" t="b">
        <v>1</v>
      </c>
      <c r="R4" s="60"/>
      <c r="S4" s="52">
        <v>0.0</v>
      </c>
    </row>
    <row r="5">
      <c r="A5" s="52">
        <v>4.0</v>
      </c>
      <c r="B5" s="53">
        <v>45847.0</v>
      </c>
      <c r="C5" s="52"/>
      <c r="D5" s="52"/>
      <c r="E5" s="52" t="s">
        <v>27</v>
      </c>
      <c r="F5" s="52" t="s">
        <v>33</v>
      </c>
      <c r="G5" s="54">
        <f t="shared" si="1"/>
        <v>12</v>
      </c>
      <c r="H5" s="54">
        <v>12.0</v>
      </c>
      <c r="I5" s="55">
        <v>1100.0</v>
      </c>
      <c r="J5" s="56">
        <f t="shared" si="2"/>
        <v>13200</v>
      </c>
      <c r="K5" s="57">
        <v>0.3</v>
      </c>
      <c r="L5" s="58">
        <f>I5+((K5)*I5)</f>
        <v>1430</v>
      </c>
      <c r="M5" s="59">
        <v>3000.0</v>
      </c>
      <c r="N5" s="59"/>
      <c r="O5" s="52" t="s">
        <v>29</v>
      </c>
      <c r="P5" s="60" t="s">
        <v>30</v>
      </c>
      <c r="Q5" s="60" t="b">
        <v>1</v>
      </c>
      <c r="R5" s="61"/>
      <c r="S5" s="52">
        <v>0.0</v>
      </c>
    </row>
    <row r="6">
      <c r="A6" s="52">
        <v>5.0</v>
      </c>
      <c r="B6" s="53">
        <v>45847.0</v>
      </c>
      <c r="C6" s="52"/>
      <c r="D6" s="52"/>
      <c r="E6" s="52" t="s">
        <v>27</v>
      </c>
      <c r="F6" s="52" t="s">
        <v>34</v>
      </c>
      <c r="G6" s="54">
        <f t="shared" si="1"/>
        <v>12</v>
      </c>
      <c r="H6" s="54">
        <v>12.0</v>
      </c>
      <c r="I6" s="55">
        <v>2250.0</v>
      </c>
      <c r="J6" s="56">
        <f t="shared" si="2"/>
        <v>27000</v>
      </c>
      <c r="K6" s="57">
        <v>0.3</v>
      </c>
      <c r="L6" s="58">
        <v>4000.0</v>
      </c>
      <c r="M6" s="59">
        <v>4000.0</v>
      </c>
      <c r="N6" s="59"/>
      <c r="O6" s="52" t="s">
        <v>29</v>
      </c>
      <c r="P6" s="60" t="s">
        <v>30</v>
      </c>
      <c r="Q6" s="60" t="b">
        <v>1</v>
      </c>
      <c r="R6" s="61"/>
      <c r="S6" s="52">
        <v>0.0</v>
      </c>
    </row>
    <row r="7">
      <c r="A7" s="52">
        <v>6.0</v>
      </c>
      <c r="B7" s="53">
        <v>45847.0</v>
      </c>
      <c r="C7" s="52"/>
      <c r="D7" s="52"/>
      <c r="E7" s="52" t="s">
        <v>27</v>
      </c>
      <c r="F7" s="52" t="s">
        <v>35</v>
      </c>
      <c r="G7" s="54">
        <f t="shared" si="1"/>
        <v>12</v>
      </c>
      <c r="H7" s="54">
        <v>12.0</v>
      </c>
      <c r="I7" s="55">
        <v>1850.0</v>
      </c>
      <c r="J7" s="56">
        <f t="shared" si="2"/>
        <v>22200</v>
      </c>
      <c r="K7" s="57">
        <v>0.3</v>
      </c>
      <c r="L7" s="58">
        <v>4000.0</v>
      </c>
      <c r="M7" s="59">
        <v>3500.0</v>
      </c>
      <c r="N7" s="59"/>
      <c r="O7" s="52" t="s">
        <v>29</v>
      </c>
      <c r="P7" s="60" t="s">
        <v>30</v>
      </c>
      <c r="Q7" s="60" t="b">
        <v>1</v>
      </c>
      <c r="R7" s="61"/>
      <c r="S7" s="52">
        <v>0.0</v>
      </c>
    </row>
    <row r="8">
      <c r="A8" s="52">
        <v>7.0</v>
      </c>
      <c r="B8" s="53">
        <v>45847.0</v>
      </c>
      <c r="C8" s="52">
        <v>8.997777080323E12</v>
      </c>
      <c r="D8" s="52"/>
      <c r="E8" s="52" t="s">
        <v>36</v>
      </c>
      <c r="F8" s="52" t="s">
        <v>37</v>
      </c>
      <c r="G8" s="54">
        <f t="shared" si="1"/>
        <v>20</v>
      </c>
      <c r="H8" s="54">
        <v>20.0</v>
      </c>
      <c r="I8" s="55">
        <v>5150.0</v>
      </c>
      <c r="J8" s="56">
        <f t="shared" si="2"/>
        <v>103000</v>
      </c>
      <c r="K8" s="57">
        <v>0.55</v>
      </c>
      <c r="L8" s="58">
        <f>I8+((K8)*I8)</f>
        <v>7982.5</v>
      </c>
      <c r="M8" s="59">
        <v>8000.0</v>
      </c>
      <c r="N8" s="59">
        <v>8000.0</v>
      </c>
      <c r="O8" s="52" t="s">
        <v>38</v>
      </c>
      <c r="P8" s="60" t="s">
        <v>30</v>
      </c>
      <c r="Q8" s="60" t="b">
        <v>1</v>
      </c>
      <c r="R8" s="61"/>
      <c r="S8" s="52">
        <v>0.0</v>
      </c>
    </row>
    <row r="9">
      <c r="A9" s="52">
        <v>8.0</v>
      </c>
      <c r="B9" s="53">
        <v>45847.0</v>
      </c>
      <c r="C9" s="52"/>
      <c r="D9" s="52"/>
      <c r="E9" s="52" t="s">
        <v>39</v>
      </c>
      <c r="F9" s="52" t="s">
        <v>40</v>
      </c>
      <c r="G9" s="54">
        <f t="shared" si="1"/>
        <v>24</v>
      </c>
      <c r="H9" s="54">
        <v>24.0</v>
      </c>
      <c r="I9" s="55">
        <v>6900.0</v>
      </c>
      <c r="J9" s="56">
        <f t="shared" si="2"/>
        <v>165600</v>
      </c>
      <c r="K9" s="57">
        <v>0.45</v>
      </c>
      <c r="L9" s="58">
        <v>9500.0</v>
      </c>
      <c r="M9" s="59">
        <v>9500.0</v>
      </c>
      <c r="N9" s="59"/>
      <c r="O9" s="52" t="s">
        <v>41</v>
      </c>
      <c r="P9" s="60" t="s">
        <v>30</v>
      </c>
      <c r="Q9" s="60" t="b">
        <v>1</v>
      </c>
      <c r="R9" s="61"/>
      <c r="S9" s="52">
        <v>0.0</v>
      </c>
    </row>
    <row r="10">
      <c r="A10" s="52">
        <v>9.0</v>
      </c>
      <c r="B10" s="53">
        <v>45847.0</v>
      </c>
      <c r="C10" s="61"/>
      <c r="D10" s="61"/>
      <c r="E10" s="52" t="s">
        <v>42</v>
      </c>
      <c r="F10" s="52" t="s">
        <v>43</v>
      </c>
      <c r="G10" s="54">
        <f t="shared" si="1"/>
        <v>60</v>
      </c>
      <c r="H10" s="54">
        <v>60.0</v>
      </c>
      <c r="I10" s="55">
        <v>1150.0</v>
      </c>
      <c r="J10" s="56">
        <f t="shared" si="2"/>
        <v>69000</v>
      </c>
      <c r="K10" s="57">
        <v>0.3</v>
      </c>
      <c r="L10" s="58">
        <f t="shared" ref="L10:L26" si="4">I10+((K10)*I10)</f>
        <v>1495</v>
      </c>
      <c r="M10" s="59">
        <v>3000.0</v>
      </c>
      <c r="N10" s="59"/>
      <c r="O10" s="52" t="s">
        <v>44</v>
      </c>
      <c r="P10" s="60" t="s">
        <v>30</v>
      </c>
      <c r="Q10" s="60" t="b">
        <v>1</v>
      </c>
      <c r="R10" s="61"/>
      <c r="S10" s="52">
        <v>0.0</v>
      </c>
    </row>
    <row r="11">
      <c r="A11" s="52">
        <v>10.0</v>
      </c>
      <c r="B11" s="53">
        <v>45847.0</v>
      </c>
      <c r="C11" s="61"/>
      <c r="D11" s="61"/>
      <c r="E11" s="52" t="s">
        <v>45</v>
      </c>
      <c r="F11" s="52" t="s">
        <v>46</v>
      </c>
      <c r="G11" s="54">
        <f t="shared" si="1"/>
        <v>50</v>
      </c>
      <c r="H11" s="54">
        <v>50.0</v>
      </c>
      <c r="I11" s="55">
        <v>850.0</v>
      </c>
      <c r="J11" s="56">
        <f t="shared" si="2"/>
        <v>42500</v>
      </c>
      <c r="K11" s="57">
        <v>0.5</v>
      </c>
      <c r="L11" s="58">
        <f t="shared" si="4"/>
        <v>1275</v>
      </c>
      <c r="M11" s="59">
        <v>3000.0</v>
      </c>
      <c r="N11" s="59"/>
      <c r="O11" s="52" t="s">
        <v>47</v>
      </c>
      <c r="P11" s="60" t="s">
        <v>30</v>
      </c>
      <c r="Q11" s="60" t="b">
        <v>1</v>
      </c>
      <c r="R11" s="61"/>
      <c r="S11" s="52">
        <v>0.0</v>
      </c>
    </row>
    <row r="12">
      <c r="A12" s="52">
        <v>11.0</v>
      </c>
      <c r="B12" s="53">
        <v>45847.0</v>
      </c>
      <c r="C12" s="61"/>
      <c r="D12" s="61"/>
      <c r="E12" s="52" t="s">
        <v>48</v>
      </c>
      <c r="F12" s="52" t="s">
        <v>49</v>
      </c>
      <c r="G12" s="54">
        <f t="shared" si="1"/>
        <v>1</v>
      </c>
      <c r="H12" s="54">
        <v>1.0</v>
      </c>
      <c r="I12" s="55">
        <v>38000.0</v>
      </c>
      <c r="J12" s="56">
        <f t="shared" si="2"/>
        <v>38000</v>
      </c>
      <c r="K12" s="57">
        <v>0.3</v>
      </c>
      <c r="L12" s="58">
        <f t="shared" si="4"/>
        <v>49400</v>
      </c>
      <c r="M12" s="59">
        <v>48000.0</v>
      </c>
      <c r="N12" s="59"/>
      <c r="O12" s="52" t="s">
        <v>50</v>
      </c>
      <c r="P12" s="60" t="s">
        <v>30</v>
      </c>
      <c r="Q12" s="60" t="b">
        <v>1</v>
      </c>
      <c r="R12" s="61"/>
      <c r="S12" s="52">
        <v>0.0</v>
      </c>
    </row>
    <row r="13">
      <c r="A13" s="52">
        <v>12.0</v>
      </c>
      <c r="B13" s="53">
        <v>45847.0</v>
      </c>
      <c r="C13" s="61"/>
      <c r="D13" s="61"/>
      <c r="E13" s="52" t="s">
        <v>51</v>
      </c>
      <c r="F13" s="52" t="s">
        <v>52</v>
      </c>
      <c r="G13" s="54">
        <f t="shared" si="1"/>
        <v>5</v>
      </c>
      <c r="H13" s="54">
        <v>5.0</v>
      </c>
      <c r="I13" s="55">
        <v>5500.0</v>
      </c>
      <c r="J13" s="56">
        <f t="shared" si="2"/>
        <v>27500</v>
      </c>
      <c r="K13" s="57">
        <v>0.3</v>
      </c>
      <c r="L13" s="58">
        <f t="shared" si="4"/>
        <v>7150</v>
      </c>
      <c r="M13" s="59">
        <v>11000.0</v>
      </c>
      <c r="N13" s="59"/>
      <c r="O13" s="52" t="s">
        <v>53</v>
      </c>
      <c r="P13" s="60" t="s">
        <v>30</v>
      </c>
      <c r="Q13" s="60" t="b">
        <v>1</v>
      </c>
      <c r="R13" s="61"/>
      <c r="S13" s="52">
        <v>0.0</v>
      </c>
    </row>
    <row r="14">
      <c r="A14" s="52">
        <v>13.0</v>
      </c>
      <c r="B14" s="53">
        <v>45847.0</v>
      </c>
      <c r="C14" s="61"/>
      <c r="D14" s="61"/>
      <c r="E14" s="52" t="s">
        <v>51</v>
      </c>
      <c r="F14" s="52" t="s">
        <v>54</v>
      </c>
      <c r="G14" s="54">
        <f t="shared" si="1"/>
        <v>5</v>
      </c>
      <c r="H14" s="54">
        <v>5.0</v>
      </c>
      <c r="I14" s="55">
        <v>5500.0</v>
      </c>
      <c r="J14" s="56">
        <f t="shared" si="2"/>
        <v>27500</v>
      </c>
      <c r="K14" s="57">
        <v>0.3</v>
      </c>
      <c r="L14" s="58">
        <f t="shared" si="4"/>
        <v>7150</v>
      </c>
      <c r="M14" s="59">
        <v>11000.0</v>
      </c>
      <c r="N14" s="59"/>
      <c r="O14" s="52" t="s">
        <v>53</v>
      </c>
      <c r="P14" s="60" t="s">
        <v>30</v>
      </c>
      <c r="Q14" s="60" t="b">
        <v>1</v>
      </c>
      <c r="R14" s="61"/>
      <c r="S14" s="52">
        <v>0.0</v>
      </c>
    </row>
    <row r="15">
      <c r="A15" s="52">
        <v>14.0</v>
      </c>
      <c r="B15" s="53">
        <v>45847.0</v>
      </c>
      <c r="C15" s="61"/>
      <c r="D15" s="61"/>
      <c r="E15" s="52" t="s">
        <v>51</v>
      </c>
      <c r="F15" s="52" t="s">
        <v>55</v>
      </c>
      <c r="G15" s="54">
        <f t="shared" si="1"/>
        <v>5</v>
      </c>
      <c r="H15" s="54">
        <v>5.0</v>
      </c>
      <c r="I15" s="55">
        <v>7000.0</v>
      </c>
      <c r="J15" s="56">
        <f t="shared" si="2"/>
        <v>35000</v>
      </c>
      <c r="K15" s="57">
        <v>0.3</v>
      </c>
      <c r="L15" s="58">
        <f t="shared" si="4"/>
        <v>9100</v>
      </c>
      <c r="M15" s="59">
        <v>14000.0</v>
      </c>
      <c r="N15" s="59"/>
      <c r="O15" s="52" t="s">
        <v>53</v>
      </c>
      <c r="P15" s="60" t="s">
        <v>30</v>
      </c>
      <c r="Q15" s="60" t="b">
        <v>1</v>
      </c>
      <c r="R15" s="61"/>
      <c r="S15" s="52">
        <v>0.0</v>
      </c>
    </row>
    <row r="16">
      <c r="A16" s="52">
        <v>15.0</v>
      </c>
      <c r="B16" s="53">
        <v>45847.0</v>
      </c>
      <c r="C16" s="61"/>
      <c r="D16" s="61"/>
      <c r="E16" s="52" t="s">
        <v>51</v>
      </c>
      <c r="F16" s="52" t="s">
        <v>56</v>
      </c>
      <c r="G16" s="54">
        <f t="shared" si="1"/>
        <v>5</v>
      </c>
      <c r="H16" s="54">
        <v>5.0</v>
      </c>
      <c r="I16" s="55">
        <v>7000.0</v>
      </c>
      <c r="J16" s="56">
        <f t="shared" si="2"/>
        <v>35000</v>
      </c>
      <c r="K16" s="57">
        <v>0.3</v>
      </c>
      <c r="L16" s="58">
        <f t="shared" si="4"/>
        <v>9100</v>
      </c>
      <c r="M16" s="59">
        <v>14000.0</v>
      </c>
      <c r="N16" s="59"/>
      <c r="O16" s="52" t="s">
        <v>53</v>
      </c>
      <c r="P16" s="60" t="s">
        <v>30</v>
      </c>
      <c r="Q16" s="60" t="b">
        <v>1</v>
      </c>
      <c r="R16" s="61"/>
      <c r="S16" s="52">
        <v>0.0</v>
      </c>
    </row>
    <row r="17">
      <c r="A17" s="52">
        <v>16.0</v>
      </c>
      <c r="B17" s="62">
        <v>45847.0</v>
      </c>
      <c r="C17" s="63"/>
      <c r="D17" s="63"/>
      <c r="E17" s="64" t="s">
        <v>57</v>
      </c>
      <c r="F17" s="64" t="s">
        <v>58</v>
      </c>
      <c r="G17" s="54">
        <f t="shared" si="1"/>
        <v>2</v>
      </c>
      <c r="H17" s="65">
        <v>2.0</v>
      </c>
      <c r="I17" s="66">
        <v>106500.0</v>
      </c>
      <c r="J17" s="67">
        <f t="shared" si="2"/>
        <v>213000</v>
      </c>
      <c r="K17" s="68">
        <v>0.700000000000001</v>
      </c>
      <c r="L17" s="58">
        <f t="shared" si="4"/>
        <v>181050</v>
      </c>
      <c r="M17" s="69">
        <v>3500.0</v>
      </c>
      <c r="N17" s="69"/>
      <c r="O17" s="64" t="s">
        <v>59</v>
      </c>
      <c r="P17" s="70" t="s">
        <v>30</v>
      </c>
      <c r="Q17" s="70" t="b">
        <v>1</v>
      </c>
      <c r="R17" s="63"/>
      <c r="S17" s="52">
        <v>0.0</v>
      </c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</row>
    <row r="18">
      <c r="A18" s="52">
        <v>17.0</v>
      </c>
      <c r="B18" s="62">
        <v>45847.0</v>
      </c>
      <c r="C18" s="63"/>
      <c r="D18" s="63"/>
      <c r="E18" s="64" t="s">
        <v>60</v>
      </c>
      <c r="F18" s="64" t="s">
        <v>61</v>
      </c>
      <c r="G18" s="54">
        <f t="shared" si="1"/>
        <v>2</v>
      </c>
      <c r="H18" s="65">
        <v>2.0</v>
      </c>
      <c r="I18" s="66">
        <v>33700.0</v>
      </c>
      <c r="J18" s="67">
        <f t="shared" si="2"/>
        <v>67400</v>
      </c>
      <c r="K18" s="68">
        <v>0.700000000000001</v>
      </c>
      <c r="L18" s="58">
        <f t="shared" si="4"/>
        <v>57290</v>
      </c>
      <c r="M18" s="69">
        <v>3000.0</v>
      </c>
      <c r="N18" s="69"/>
      <c r="O18" s="64" t="s">
        <v>62</v>
      </c>
      <c r="P18" s="70" t="s">
        <v>30</v>
      </c>
      <c r="Q18" s="70" t="b">
        <v>1</v>
      </c>
      <c r="R18" s="63"/>
      <c r="S18" s="52">
        <v>0.0</v>
      </c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</row>
    <row r="19">
      <c r="A19" s="52">
        <v>18.0</v>
      </c>
      <c r="B19" s="62">
        <v>45847.0</v>
      </c>
      <c r="C19" s="63"/>
      <c r="D19" s="63"/>
      <c r="E19" s="64" t="s">
        <v>60</v>
      </c>
      <c r="F19" s="64" t="s">
        <v>63</v>
      </c>
      <c r="G19" s="54">
        <f t="shared" si="1"/>
        <v>2</v>
      </c>
      <c r="H19" s="65">
        <v>2.0</v>
      </c>
      <c r="I19" s="66">
        <v>33700.0</v>
      </c>
      <c r="J19" s="67">
        <f t="shared" si="2"/>
        <v>67400</v>
      </c>
      <c r="K19" s="68">
        <v>0.700000000000001</v>
      </c>
      <c r="L19" s="58">
        <f t="shared" si="4"/>
        <v>57290</v>
      </c>
      <c r="M19" s="69">
        <v>3000.0</v>
      </c>
      <c r="N19" s="69"/>
      <c r="O19" s="64" t="s">
        <v>62</v>
      </c>
      <c r="P19" s="70" t="s">
        <v>30</v>
      </c>
      <c r="Q19" s="70" t="b">
        <v>1</v>
      </c>
      <c r="R19" s="63"/>
      <c r="S19" s="52">
        <v>0.0</v>
      </c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</row>
    <row r="20">
      <c r="A20" s="52">
        <v>19.0</v>
      </c>
      <c r="B20" s="62">
        <v>45847.0</v>
      </c>
      <c r="C20" s="63"/>
      <c r="D20" s="63"/>
      <c r="E20" s="63"/>
      <c r="F20" s="64" t="s">
        <v>64</v>
      </c>
      <c r="G20" s="54">
        <f t="shared" si="1"/>
        <v>5</v>
      </c>
      <c r="H20" s="65">
        <v>5.0</v>
      </c>
      <c r="I20" s="66">
        <v>12000.0</v>
      </c>
      <c r="J20" s="67">
        <f t="shared" si="2"/>
        <v>60000</v>
      </c>
      <c r="K20" s="68">
        <v>0.5</v>
      </c>
      <c r="L20" s="58">
        <f t="shared" si="4"/>
        <v>18000</v>
      </c>
      <c r="M20" s="69">
        <v>18000.0</v>
      </c>
      <c r="N20" s="69"/>
      <c r="O20" s="63"/>
      <c r="P20" s="70" t="s">
        <v>30</v>
      </c>
      <c r="Q20" s="70" t="b">
        <v>1</v>
      </c>
      <c r="R20" s="63"/>
      <c r="S20" s="52">
        <v>0.0</v>
      </c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</row>
    <row r="21">
      <c r="A21" s="52">
        <v>20.0</v>
      </c>
      <c r="B21" s="62">
        <v>45847.0</v>
      </c>
      <c r="C21" s="63"/>
      <c r="D21" s="63"/>
      <c r="E21" s="63"/>
      <c r="F21" s="64" t="s">
        <v>65</v>
      </c>
      <c r="G21" s="54">
        <f t="shared" si="1"/>
        <v>1</v>
      </c>
      <c r="H21" s="65">
        <v>1.0</v>
      </c>
      <c r="I21" s="66">
        <v>17500.0</v>
      </c>
      <c r="J21" s="67">
        <f t="shared" si="2"/>
        <v>17500</v>
      </c>
      <c r="K21" s="68">
        <v>0.700000000000001</v>
      </c>
      <c r="L21" s="58">
        <f t="shared" si="4"/>
        <v>29750</v>
      </c>
      <c r="M21" s="69">
        <v>2000.0</v>
      </c>
      <c r="N21" s="69"/>
      <c r="O21" s="64" t="s">
        <v>66</v>
      </c>
      <c r="P21" s="70" t="s">
        <v>30</v>
      </c>
      <c r="Q21" s="70" t="b">
        <v>1</v>
      </c>
      <c r="R21" s="63"/>
      <c r="S21" s="52">
        <v>0.0</v>
      </c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</row>
    <row r="22">
      <c r="A22" s="52">
        <v>21.0</v>
      </c>
      <c r="B22" s="62">
        <v>45847.0</v>
      </c>
      <c r="C22" s="63"/>
      <c r="D22" s="63"/>
      <c r="E22" s="63"/>
      <c r="F22" s="64" t="s">
        <v>67</v>
      </c>
      <c r="G22" s="54">
        <f t="shared" si="1"/>
        <v>1</v>
      </c>
      <c r="H22" s="65">
        <v>1.0</v>
      </c>
      <c r="I22" s="66">
        <v>17500.0</v>
      </c>
      <c r="J22" s="67">
        <f t="shared" si="2"/>
        <v>17500</v>
      </c>
      <c r="K22" s="68">
        <v>0.700000000000001</v>
      </c>
      <c r="L22" s="58">
        <f t="shared" si="4"/>
        <v>29750</v>
      </c>
      <c r="M22" s="69">
        <v>2000.0</v>
      </c>
      <c r="N22" s="69"/>
      <c r="O22" s="64" t="s">
        <v>66</v>
      </c>
      <c r="P22" s="70" t="s">
        <v>30</v>
      </c>
      <c r="Q22" s="70" t="b">
        <v>1</v>
      </c>
      <c r="R22" s="63"/>
      <c r="S22" s="52">
        <v>0.0</v>
      </c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</row>
    <row r="23">
      <c r="A23" s="52">
        <v>22.0</v>
      </c>
      <c r="B23" s="62">
        <v>45847.0</v>
      </c>
      <c r="C23" s="63"/>
      <c r="D23" s="63"/>
      <c r="E23" s="63"/>
      <c r="F23" s="64" t="s">
        <v>68</v>
      </c>
      <c r="G23" s="54">
        <f t="shared" si="1"/>
        <v>2</v>
      </c>
      <c r="H23" s="65">
        <v>2.0</v>
      </c>
      <c r="I23" s="66">
        <v>50000.0</v>
      </c>
      <c r="J23" s="67">
        <f t="shared" si="2"/>
        <v>100000</v>
      </c>
      <c r="K23" s="68">
        <v>0.3</v>
      </c>
      <c r="L23" s="58">
        <f t="shared" si="4"/>
        <v>65000</v>
      </c>
      <c r="M23" s="69">
        <v>65000.0</v>
      </c>
      <c r="N23" s="69"/>
      <c r="O23" s="63"/>
      <c r="P23" s="70" t="s">
        <v>30</v>
      </c>
      <c r="Q23" s="70" t="b">
        <v>1</v>
      </c>
      <c r="R23" s="63"/>
      <c r="S23" s="52">
        <v>0.0</v>
      </c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</row>
    <row r="24">
      <c r="A24" s="52">
        <v>23.0</v>
      </c>
      <c r="B24" s="62">
        <v>45847.0</v>
      </c>
      <c r="C24" s="63"/>
      <c r="D24" s="63"/>
      <c r="E24" s="63"/>
      <c r="F24" s="64" t="s">
        <v>69</v>
      </c>
      <c r="G24" s="54">
        <f t="shared" si="1"/>
        <v>5</v>
      </c>
      <c r="H24" s="65">
        <v>5.0</v>
      </c>
      <c r="I24" s="66">
        <v>27000.0</v>
      </c>
      <c r="J24" s="67">
        <f t="shared" si="2"/>
        <v>135000</v>
      </c>
      <c r="K24" s="68">
        <v>0.3</v>
      </c>
      <c r="L24" s="58">
        <f t="shared" si="4"/>
        <v>35100</v>
      </c>
      <c r="M24" s="69">
        <v>45000.0</v>
      </c>
      <c r="N24" s="69"/>
      <c r="O24" s="63"/>
      <c r="P24" s="70" t="s">
        <v>30</v>
      </c>
      <c r="Q24" s="70" t="b">
        <v>1</v>
      </c>
      <c r="R24" s="63"/>
      <c r="S24" s="52">
        <v>0.0</v>
      </c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</row>
    <row r="25">
      <c r="A25" s="52">
        <v>24.0</v>
      </c>
      <c r="B25" s="62">
        <v>45847.0</v>
      </c>
      <c r="C25" s="63"/>
      <c r="D25" s="63"/>
      <c r="E25" s="63"/>
      <c r="F25" s="64" t="s">
        <v>70</v>
      </c>
      <c r="G25" s="54">
        <f t="shared" si="1"/>
        <v>5</v>
      </c>
      <c r="H25" s="65">
        <v>5.0</v>
      </c>
      <c r="I25" s="66">
        <v>30000.0</v>
      </c>
      <c r="J25" s="67">
        <f t="shared" si="2"/>
        <v>150000</v>
      </c>
      <c r="K25" s="68">
        <v>0.35</v>
      </c>
      <c r="L25" s="58">
        <f t="shared" si="4"/>
        <v>40500</v>
      </c>
      <c r="M25" s="69">
        <v>40000.0</v>
      </c>
      <c r="N25" s="69"/>
      <c r="O25" s="63"/>
      <c r="P25" s="70" t="s">
        <v>30</v>
      </c>
      <c r="Q25" s="70" t="b">
        <v>1</v>
      </c>
      <c r="R25" s="63"/>
      <c r="S25" s="52">
        <v>0.0</v>
      </c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</row>
    <row r="26">
      <c r="A26" s="52">
        <v>25.0</v>
      </c>
      <c r="B26" s="62">
        <v>45847.0</v>
      </c>
      <c r="C26" s="63"/>
      <c r="D26" s="63"/>
      <c r="E26" s="63"/>
      <c r="F26" s="64" t="s">
        <v>71</v>
      </c>
      <c r="G26" s="54">
        <f t="shared" si="1"/>
        <v>5</v>
      </c>
      <c r="H26" s="65">
        <v>5.0</v>
      </c>
      <c r="I26" s="66">
        <v>11000.0</v>
      </c>
      <c r="J26" s="67">
        <f t="shared" si="2"/>
        <v>55000</v>
      </c>
      <c r="K26" s="68">
        <v>0.3</v>
      </c>
      <c r="L26" s="58">
        <f t="shared" si="4"/>
        <v>14300</v>
      </c>
      <c r="M26" s="69">
        <v>15000.0</v>
      </c>
      <c r="N26" s="69"/>
      <c r="O26" s="63"/>
      <c r="P26" s="70" t="s">
        <v>30</v>
      </c>
      <c r="Q26" s="70" t="b">
        <v>1</v>
      </c>
      <c r="R26" s="63"/>
      <c r="S26" s="52">
        <v>0.0</v>
      </c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</row>
    <row r="27">
      <c r="A27" s="52">
        <v>26.0</v>
      </c>
      <c r="B27" s="62">
        <v>45847.0</v>
      </c>
      <c r="C27" s="63"/>
      <c r="D27" s="63"/>
      <c r="E27" s="64" t="s">
        <v>72</v>
      </c>
      <c r="F27" s="64" t="s">
        <v>73</v>
      </c>
      <c r="G27" s="54">
        <f t="shared" si="1"/>
        <v>60</v>
      </c>
      <c r="H27" s="72">
        <v>20.0</v>
      </c>
      <c r="I27" s="66">
        <v>2900.0</v>
      </c>
      <c r="J27" s="67">
        <f t="shared" si="2"/>
        <v>174000</v>
      </c>
      <c r="K27" s="68">
        <v>0.5</v>
      </c>
      <c r="L27" s="58">
        <v>5000.0</v>
      </c>
      <c r="M27" s="69">
        <v>5000.0</v>
      </c>
      <c r="N27" s="69"/>
      <c r="O27" s="64" t="s">
        <v>74</v>
      </c>
      <c r="P27" s="70" t="s">
        <v>30</v>
      </c>
      <c r="Q27" s="70" t="b">
        <v>1</v>
      </c>
      <c r="R27" s="63"/>
      <c r="S27" s="52">
        <v>40.0</v>
      </c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</row>
    <row r="28">
      <c r="A28" s="52">
        <v>27.0</v>
      </c>
      <c r="B28" s="62">
        <v>45847.0</v>
      </c>
      <c r="C28" s="63"/>
      <c r="D28" s="63"/>
      <c r="E28" s="64" t="s">
        <v>72</v>
      </c>
      <c r="F28" s="64" t="s">
        <v>75</v>
      </c>
      <c r="G28" s="54">
        <f t="shared" si="1"/>
        <v>3</v>
      </c>
      <c r="H28" s="65">
        <v>3.0</v>
      </c>
      <c r="I28" s="66">
        <v>12800.0</v>
      </c>
      <c r="J28" s="67">
        <f t="shared" si="2"/>
        <v>38400</v>
      </c>
      <c r="K28" s="68">
        <v>0.3</v>
      </c>
      <c r="L28" s="58">
        <f t="shared" ref="L28:L34" si="5">I28+((K28)*I28)</f>
        <v>16640</v>
      </c>
      <c r="M28" s="69">
        <v>17000.0</v>
      </c>
      <c r="N28" s="69"/>
      <c r="O28" s="64" t="s">
        <v>74</v>
      </c>
      <c r="P28" s="70" t="s">
        <v>30</v>
      </c>
      <c r="Q28" s="70" t="b">
        <v>1</v>
      </c>
      <c r="R28" s="63"/>
      <c r="S28" s="52">
        <v>0.0</v>
      </c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</row>
    <row r="29">
      <c r="A29" s="52">
        <v>28.0</v>
      </c>
      <c r="B29" s="62">
        <v>45847.0</v>
      </c>
      <c r="C29" s="63"/>
      <c r="D29" s="63"/>
      <c r="E29" s="64" t="s">
        <v>72</v>
      </c>
      <c r="F29" s="64" t="s">
        <v>76</v>
      </c>
      <c r="G29" s="54">
        <f t="shared" si="1"/>
        <v>3</v>
      </c>
      <c r="H29" s="65">
        <v>3.0</v>
      </c>
      <c r="I29" s="66">
        <v>7000.0</v>
      </c>
      <c r="J29" s="67">
        <f t="shared" si="2"/>
        <v>21000</v>
      </c>
      <c r="K29" s="68">
        <v>0.3</v>
      </c>
      <c r="L29" s="58">
        <f t="shared" si="5"/>
        <v>9100</v>
      </c>
      <c r="M29" s="69">
        <v>11000.0</v>
      </c>
      <c r="N29" s="69"/>
      <c r="O29" s="64" t="s">
        <v>74</v>
      </c>
      <c r="P29" s="70" t="s">
        <v>30</v>
      </c>
      <c r="Q29" s="70" t="b">
        <v>1</v>
      </c>
      <c r="R29" s="63"/>
      <c r="S29" s="52">
        <v>0.0</v>
      </c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>
      <c r="A30" s="52">
        <v>29.0</v>
      </c>
      <c r="B30" s="62">
        <v>45847.0</v>
      </c>
      <c r="C30" s="63"/>
      <c r="D30" s="63"/>
      <c r="E30" s="64" t="s">
        <v>72</v>
      </c>
      <c r="F30" s="64" t="s">
        <v>77</v>
      </c>
      <c r="G30" s="54">
        <f t="shared" si="1"/>
        <v>5</v>
      </c>
      <c r="H30" s="65">
        <v>5.0</v>
      </c>
      <c r="I30" s="66">
        <v>5300.0</v>
      </c>
      <c r="J30" s="67">
        <f t="shared" si="2"/>
        <v>26500</v>
      </c>
      <c r="K30" s="68">
        <v>0.3</v>
      </c>
      <c r="L30" s="58">
        <f t="shared" si="5"/>
        <v>6890</v>
      </c>
      <c r="M30" s="69">
        <v>7000.0</v>
      </c>
      <c r="N30" s="69"/>
      <c r="O30" s="64" t="s">
        <v>74</v>
      </c>
      <c r="P30" s="70" t="s">
        <v>30</v>
      </c>
      <c r="Q30" s="70" t="b">
        <v>1</v>
      </c>
      <c r="R30" s="63"/>
      <c r="S30" s="52">
        <v>0.0</v>
      </c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</row>
    <row r="31">
      <c r="A31" s="52">
        <v>30.0</v>
      </c>
      <c r="B31" s="62">
        <v>45847.0</v>
      </c>
      <c r="C31" s="63"/>
      <c r="D31" s="63"/>
      <c r="E31" s="64" t="s">
        <v>72</v>
      </c>
      <c r="F31" s="64" t="s">
        <v>78</v>
      </c>
      <c r="G31" s="54">
        <f t="shared" si="1"/>
        <v>5</v>
      </c>
      <c r="H31" s="65">
        <v>5.0</v>
      </c>
      <c r="I31" s="66">
        <v>4400.0</v>
      </c>
      <c r="J31" s="67">
        <f t="shared" si="2"/>
        <v>22000</v>
      </c>
      <c r="K31" s="68">
        <v>0.3</v>
      </c>
      <c r="L31" s="58">
        <f t="shared" si="5"/>
        <v>5720</v>
      </c>
      <c r="M31" s="69">
        <v>6000.0</v>
      </c>
      <c r="N31" s="69"/>
      <c r="O31" s="64" t="s">
        <v>74</v>
      </c>
      <c r="P31" s="70" t="s">
        <v>30</v>
      </c>
      <c r="Q31" s="70" t="b">
        <v>1</v>
      </c>
      <c r="R31" s="63"/>
      <c r="S31" s="52">
        <v>0.0</v>
      </c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</row>
    <row r="32">
      <c r="A32" s="52">
        <v>31.0</v>
      </c>
      <c r="B32" s="62">
        <v>45847.0</v>
      </c>
      <c r="C32" s="63"/>
      <c r="D32" s="63"/>
      <c r="E32" s="64" t="s">
        <v>72</v>
      </c>
      <c r="F32" s="64" t="s">
        <v>79</v>
      </c>
      <c r="G32" s="54">
        <f t="shared" si="1"/>
        <v>5</v>
      </c>
      <c r="H32" s="65">
        <v>5.0</v>
      </c>
      <c r="I32" s="66">
        <v>6300.0</v>
      </c>
      <c r="J32" s="67">
        <f t="shared" si="2"/>
        <v>31500</v>
      </c>
      <c r="K32" s="68">
        <v>0.3</v>
      </c>
      <c r="L32" s="58">
        <f t="shared" si="5"/>
        <v>8190</v>
      </c>
      <c r="M32" s="69">
        <v>8500.0</v>
      </c>
      <c r="N32" s="69"/>
      <c r="O32" s="64" t="s">
        <v>74</v>
      </c>
      <c r="P32" s="70" t="s">
        <v>30</v>
      </c>
      <c r="Q32" s="70" t="b">
        <v>1</v>
      </c>
      <c r="R32" s="63"/>
      <c r="S32" s="52">
        <v>0.0</v>
      </c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</row>
    <row r="33">
      <c r="A33" s="52">
        <v>32.0</v>
      </c>
      <c r="B33" s="62">
        <v>45847.0</v>
      </c>
      <c r="C33" s="63"/>
      <c r="D33" s="63"/>
      <c r="E33" s="64" t="s">
        <v>72</v>
      </c>
      <c r="F33" s="64" t="s">
        <v>80</v>
      </c>
      <c r="G33" s="54">
        <f t="shared" si="1"/>
        <v>5</v>
      </c>
      <c r="H33" s="65">
        <v>5.0</v>
      </c>
      <c r="I33" s="66">
        <v>3400.0</v>
      </c>
      <c r="J33" s="67">
        <f t="shared" si="2"/>
        <v>17000</v>
      </c>
      <c r="K33" s="68">
        <v>0.3</v>
      </c>
      <c r="L33" s="58">
        <f t="shared" si="5"/>
        <v>4420</v>
      </c>
      <c r="M33" s="69">
        <v>5000.0</v>
      </c>
      <c r="N33" s="69"/>
      <c r="O33" s="64" t="s">
        <v>74</v>
      </c>
      <c r="P33" s="70" t="s">
        <v>30</v>
      </c>
      <c r="Q33" s="70" t="b">
        <v>1</v>
      </c>
      <c r="R33" s="63"/>
      <c r="S33" s="52">
        <v>0.0</v>
      </c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</row>
    <row r="34">
      <c r="A34" s="52">
        <v>33.0</v>
      </c>
      <c r="B34" s="62">
        <v>45847.0</v>
      </c>
      <c r="C34" s="63"/>
      <c r="D34" s="63"/>
      <c r="E34" s="64" t="s">
        <v>72</v>
      </c>
      <c r="F34" s="64" t="s">
        <v>81</v>
      </c>
      <c r="G34" s="54">
        <f t="shared" si="1"/>
        <v>5</v>
      </c>
      <c r="H34" s="65">
        <v>5.0</v>
      </c>
      <c r="I34" s="66">
        <v>2300.0</v>
      </c>
      <c r="J34" s="67">
        <f t="shared" si="2"/>
        <v>11500</v>
      </c>
      <c r="K34" s="68">
        <v>0.3</v>
      </c>
      <c r="L34" s="58">
        <f t="shared" si="5"/>
        <v>2990</v>
      </c>
      <c r="M34" s="69">
        <v>4000.0</v>
      </c>
      <c r="N34" s="69"/>
      <c r="O34" s="64" t="s">
        <v>74</v>
      </c>
      <c r="P34" s="70" t="s">
        <v>30</v>
      </c>
      <c r="Q34" s="70" t="b">
        <v>1</v>
      </c>
      <c r="R34" s="63"/>
      <c r="S34" s="52">
        <v>0.0</v>
      </c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</row>
    <row r="35">
      <c r="A35" s="52">
        <v>34.0</v>
      </c>
      <c r="B35" s="62">
        <v>45847.0</v>
      </c>
      <c r="C35" s="63"/>
      <c r="D35" s="63"/>
      <c r="E35" s="64" t="s">
        <v>82</v>
      </c>
      <c r="F35" s="64" t="s">
        <v>83</v>
      </c>
      <c r="G35" s="54">
        <f t="shared" si="1"/>
        <v>24</v>
      </c>
      <c r="H35" s="65">
        <v>12.0</v>
      </c>
      <c r="I35" s="66">
        <v>4200.0</v>
      </c>
      <c r="J35" s="67">
        <f t="shared" si="2"/>
        <v>100800</v>
      </c>
      <c r="K35" s="68">
        <v>0.5</v>
      </c>
      <c r="L35" s="58">
        <v>6000.0</v>
      </c>
      <c r="M35" s="69">
        <v>6000.0</v>
      </c>
      <c r="N35" s="69"/>
      <c r="O35" s="73" t="s">
        <v>84</v>
      </c>
      <c r="P35" s="70" t="s">
        <v>30</v>
      </c>
      <c r="Q35" s="70" t="b">
        <v>1</v>
      </c>
      <c r="R35" s="63"/>
      <c r="S35" s="52">
        <v>12.0</v>
      </c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</row>
    <row r="36">
      <c r="A36" s="52">
        <v>35.0</v>
      </c>
      <c r="B36" s="62">
        <v>45847.0</v>
      </c>
      <c r="C36" s="63"/>
      <c r="D36" s="63"/>
      <c r="E36" s="64" t="s">
        <v>82</v>
      </c>
      <c r="F36" s="64" t="s">
        <v>85</v>
      </c>
      <c r="G36" s="54">
        <f t="shared" si="1"/>
        <v>24</v>
      </c>
      <c r="H36" s="65">
        <v>12.0</v>
      </c>
      <c r="I36" s="66">
        <v>4200.0</v>
      </c>
      <c r="J36" s="67">
        <f t="shared" si="2"/>
        <v>100800</v>
      </c>
      <c r="K36" s="68">
        <v>0.5</v>
      </c>
      <c r="L36" s="58">
        <v>6000.0</v>
      </c>
      <c r="M36" s="69">
        <v>6000.0</v>
      </c>
      <c r="N36" s="69"/>
      <c r="O36" s="73" t="s">
        <v>86</v>
      </c>
      <c r="P36" s="70" t="s">
        <v>30</v>
      </c>
      <c r="Q36" s="70" t="b">
        <v>1</v>
      </c>
      <c r="R36" s="63"/>
      <c r="S36" s="52">
        <v>12.0</v>
      </c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</row>
    <row r="37">
      <c r="A37" s="52">
        <v>36.0</v>
      </c>
      <c r="B37" s="62">
        <v>45847.0</v>
      </c>
      <c r="C37" s="63"/>
      <c r="D37" s="63"/>
      <c r="E37" s="64" t="s">
        <v>87</v>
      </c>
      <c r="F37" s="64" t="s">
        <v>88</v>
      </c>
      <c r="G37" s="54">
        <f t="shared" si="1"/>
        <v>7</v>
      </c>
      <c r="H37" s="65">
        <v>7.0</v>
      </c>
      <c r="I37" s="66">
        <v>13000.0</v>
      </c>
      <c r="J37" s="67">
        <f t="shared" si="2"/>
        <v>91000</v>
      </c>
      <c r="K37" s="68">
        <v>0.4</v>
      </c>
      <c r="L37" s="58">
        <f t="shared" ref="L37:L39" si="6">I37+((K37)*I37)</f>
        <v>18200</v>
      </c>
      <c r="M37" s="69">
        <v>18000.0</v>
      </c>
      <c r="N37" s="69"/>
      <c r="O37" s="64" t="s">
        <v>89</v>
      </c>
      <c r="P37" s="70" t="s">
        <v>30</v>
      </c>
      <c r="Q37" s="70" t="b">
        <v>1</v>
      </c>
      <c r="R37" s="63"/>
      <c r="S37" s="52">
        <v>0.0</v>
      </c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</row>
    <row r="38">
      <c r="A38" s="52">
        <v>37.0</v>
      </c>
      <c r="B38" s="62">
        <v>45847.0</v>
      </c>
      <c r="C38" s="63"/>
      <c r="D38" s="63"/>
      <c r="E38" s="64" t="s">
        <v>87</v>
      </c>
      <c r="F38" s="64" t="s">
        <v>90</v>
      </c>
      <c r="G38" s="54">
        <f t="shared" si="1"/>
        <v>2</v>
      </c>
      <c r="H38" s="65">
        <v>2.0</v>
      </c>
      <c r="I38" s="66">
        <v>16200.0</v>
      </c>
      <c r="J38" s="67">
        <f t="shared" si="2"/>
        <v>32400</v>
      </c>
      <c r="K38" s="68">
        <v>0.4</v>
      </c>
      <c r="L38" s="58">
        <f t="shared" si="6"/>
        <v>22680</v>
      </c>
      <c r="M38" s="69">
        <v>22000.0</v>
      </c>
      <c r="N38" s="69"/>
      <c r="O38" s="64" t="s">
        <v>89</v>
      </c>
      <c r="P38" s="70" t="s">
        <v>30</v>
      </c>
      <c r="Q38" s="70" t="b">
        <v>1</v>
      </c>
      <c r="R38" s="63"/>
      <c r="S38" s="52">
        <v>0.0</v>
      </c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</row>
    <row r="39">
      <c r="A39" s="52">
        <v>38.0</v>
      </c>
      <c r="B39" s="62">
        <v>45847.0</v>
      </c>
      <c r="C39" s="63"/>
      <c r="D39" s="63"/>
      <c r="E39" s="64" t="s">
        <v>87</v>
      </c>
      <c r="F39" s="64" t="s">
        <v>91</v>
      </c>
      <c r="G39" s="54">
        <f t="shared" si="1"/>
        <v>4</v>
      </c>
      <c r="H39" s="65">
        <v>4.0</v>
      </c>
      <c r="I39" s="66">
        <v>28000.0</v>
      </c>
      <c r="J39" s="67">
        <f t="shared" si="2"/>
        <v>112000</v>
      </c>
      <c r="K39" s="68">
        <v>0.4</v>
      </c>
      <c r="L39" s="58">
        <f t="shared" si="6"/>
        <v>39200</v>
      </c>
      <c r="M39" s="69">
        <v>37000.0</v>
      </c>
      <c r="N39" s="69"/>
      <c r="O39" s="64" t="s">
        <v>89</v>
      </c>
      <c r="P39" s="70" t="s">
        <v>30</v>
      </c>
      <c r="Q39" s="70" t="b">
        <v>1</v>
      </c>
      <c r="R39" s="63"/>
      <c r="S39" s="52">
        <v>0.0</v>
      </c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</row>
    <row r="40">
      <c r="A40" s="52">
        <v>39.0</v>
      </c>
      <c r="B40" s="62">
        <v>45847.0</v>
      </c>
      <c r="C40" s="63"/>
      <c r="D40" s="63"/>
      <c r="E40" s="64" t="s">
        <v>87</v>
      </c>
      <c r="F40" s="64" t="s">
        <v>92</v>
      </c>
      <c r="G40" s="54">
        <f t="shared" si="1"/>
        <v>6</v>
      </c>
      <c r="H40" s="65">
        <v>6.0</v>
      </c>
      <c r="I40" s="66">
        <v>25000.0</v>
      </c>
      <c r="J40" s="67">
        <f t="shared" si="2"/>
        <v>150000</v>
      </c>
      <c r="K40" s="68">
        <v>0.4</v>
      </c>
      <c r="L40" s="58">
        <v>30000.0</v>
      </c>
      <c r="M40" s="69">
        <v>30000.0</v>
      </c>
      <c r="N40" s="69"/>
      <c r="O40" s="64" t="s">
        <v>89</v>
      </c>
      <c r="P40" s="70" t="s">
        <v>30</v>
      </c>
      <c r="Q40" s="70" t="b">
        <v>1</v>
      </c>
      <c r="R40" s="63"/>
      <c r="S40" s="52">
        <v>0.0</v>
      </c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</row>
    <row r="41">
      <c r="A41" s="52">
        <v>40.0</v>
      </c>
      <c r="B41" s="62">
        <v>45847.0</v>
      </c>
      <c r="C41" s="63"/>
      <c r="D41" s="63"/>
      <c r="E41" s="64" t="s">
        <v>93</v>
      </c>
      <c r="F41" s="64" t="s">
        <v>94</v>
      </c>
      <c r="G41" s="54">
        <f t="shared" si="1"/>
        <v>5</v>
      </c>
      <c r="H41" s="65">
        <v>5.0</v>
      </c>
      <c r="I41" s="66">
        <v>7000.0</v>
      </c>
      <c r="J41" s="67">
        <f t="shared" si="2"/>
        <v>35000</v>
      </c>
      <c r="K41" s="68">
        <v>0.4</v>
      </c>
      <c r="L41" s="58">
        <f t="shared" ref="L41:L43" si="7">I41+((K41)*I41)</f>
        <v>9800</v>
      </c>
      <c r="M41" s="69">
        <v>10000.0</v>
      </c>
      <c r="N41" s="69"/>
      <c r="O41" s="64" t="s">
        <v>95</v>
      </c>
      <c r="P41" s="70" t="s">
        <v>30</v>
      </c>
      <c r="Q41" s="70" t="b">
        <v>1</v>
      </c>
      <c r="R41" s="63"/>
      <c r="S41" s="52">
        <v>0.0</v>
      </c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</row>
    <row r="42">
      <c r="A42" s="52">
        <v>41.0</v>
      </c>
      <c r="B42" s="62">
        <v>45847.0</v>
      </c>
      <c r="C42" s="63"/>
      <c r="D42" s="63"/>
      <c r="E42" s="64" t="s">
        <v>93</v>
      </c>
      <c r="F42" s="64" t="s">
        <v>96</v>
      </c>
      <c r="G42" s="54">
        <f t="shared" si="1"/>
        <v>5</v>
      </c>
      <c r="H42" s="65">
        <v>5.0</v>
      </c>
      <c r="I42" s="66">
        <v>5000.0</v>
      </c>
      <c r="J42" s="67">
        <f t="shared" si="2"/>
        <v>25000</v>
      </c>
      <c r="K42" s="68">
        <v>0.4</v>
      </c>
      <c r="L42" s="58">
        <f t="shared" si="7"/>
        <v>7000</v>
      </c>
      <c r="M42" s="69">
        <v>7000.0</v>
      </c>
      <c r="N42" s="69"/>
      <c r="O42" s="64" t="s">
        <v>95</v>
      </c>
      <c r="P42" s="70" t="s">
        <v>30</v>
      </c>
      <c r="Q42" s="70" t="b">
        <v>1</v>
      </c>
      <c r="R42" s="63"/>
      <c r="S42" s="52">
        <v>0.0</v>
      </c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</row>
    <row r="43">
      <c r="A43" s="52">
        <v>42.0</v>
      </c>
      <c r="B43" s="62">
        <v>45847.0</v>
      </c>
      <c r="C43" s="63"/>
      <c r="D43" s="63"/>
      <c r="E43" s="64" t="s">
        <v>93</v>
      </c>
      <c r="F43" s="64" t="s">
        <v>97</v>
      </c>
      <c r="G43" s="54">
        <f t="shared" si="1"/>
        <v>3</v>
      </c>
      <c r="H43" s="65">
        <v>3.0</v>
      </c>
      <c r="I43" s="66">
        <v>15500.0</v>
      </c>
      <c r="J43" s="67">
        <f t="shared" si="2"/>
        <v>46500</v>
      </c>
      <c r="K43" s="68">
        <v>0.4</v>
      </c>
      <c r="L43" s="58">
        <f t="shared" si="7"/>
        <v>21700</v>
      </c>
      <c r="M43" s="69">
        <v>20000.0</v>
      </c>
      <c r="N43" s="69"/>
      <c r="O43" s="64" t="s">
        <v>95</v>
      </c>
      <c r="P43" s="70" t="s">
        <v>30</v>
      </c>
      <c r="Q43" s="70" t="b">
        <v>1</v>
      </c>
      <c r="R43" s="63"/>
      <c r="S43" s="52">
        <v>0.0</v>
      </c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</row>
    <row r="44">
      <c r="A44" s="52">
        <v>43.0</v>
      </c>
      <c r="B44" s="62">
        <v>45847.0</v>
      </c>
      <c r="C44" s="63"/>
      <c r="D44" s="63"/>
      <c r="E44" s="64" t="s">
        <v>93</v>
      </c>
      <c r="F44" s="64" t="s">
        <v>98</v>
      </c>
      <c r="G44" s="54">
        <f t="shared" si="1"/>
        <v>5</v>
      </c>
      <c r="H44" s="65">
        <v>5.0</v>
      </c>
      <c r="I44" s="66">
        <v>8800.0</v>
      </c>
      <c r="J44" s="67">
        <f t="shared" si="2"/>
        <v>44000</v>
      </c>
      <c r="K44" s="68">
        <v>0.4</v>
      </c>
      <c r="L44" s="58">
        <v>13000.0</v>
      </c>
      <c r="M44" s="69">
        <v>13000.0</v>
      </c>
      <c r="N44" s="69"/>
      <c r="O44" s="64" t="s">
        <v>95</v>
      </c>
      <c r="P44" s="70" t="s">
        <v>30</v>
      </c>
      <c r="Q44" s="70" t="b">
        <v>1</v>
      </c>
      <c r="R44" s="63"/>
      <c r="S44" s="52">
        <v>0.0</v>
      </c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</row>
    <row r="45">
      <c r="A45" s="52">
        <v>44.0</v>
      </c>
      <c r="B45" s="62">
        <v>45847.0</v>
      </c>
      <c r="C45" s="63"/>
      <c r="D45" s="63"/>
      <c r="E45" s="64" t="s">
        <v>93</v>
      </c>
      <c r="F45" s="74" t="s">
        <v>99</v>
      </c>
      <c r="G45" s="54">
        <f t="shared" si="1"/>
        <v>5</v>
      </c>
      <c r="H45" s="75">
        <v>5.0</v>
      </c>
      <c r="I45" s="76">
        <v>7800.0</v>
      </c>
      <c r="J45" s="77">
        <f t="shared" si="2"/>
        <v>39000</v>
      </c>
      <c r="K45" s="78">
        <v>0.4</v>
      </c>
      <c r="L45" s="58">
        <f t="shared" ref="L45:L60" si="8">I45+((K45)*I45)</f>
        <v>10920</v>
      </c>
      <c r="M45" s="69"/>
      <c r="N45" s="69"/>
      <c r="O45" s="64" t="s">
        <v>95</v>
      </c>
      <c r="P45" s="70" t="s">
        <v>30</v>
      </c>
      <c r="Q45" s="70" t="b">
        <v>1</v>
      </c>
      <c r="R45" s="63"/>
      <c r="S45" s="52">
        <v>0.0</v>
      </c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</row>
    <row r="46">
      <c r="A46" s="52">
        <v>45.0</v>
      </c>
      <c r="B46" s="62">
        <v>45847.0</v>
      </c>
      <c r="C46" s="63"/>
      <c r="D46" s="63"/>
      <c r="E46" s="64" t="s">
        <v>93</v>
      </c>
      <c r="F46" s="64" t="s">
        <v>100</v>
      </c>
      <c r="G46" s="54">
        <f t="shared" si="1"/>
        <v>5</v>
      </c>
      <c r="H46" s="65">
        <v>5.0</v>
      </c>
      <c r="I46" s="66">
        <v>5800.0</v>
      </c>
      <c r="J46" s="67">
        <f t="shared" si="2"/>
        <v>29000</v>
      </c>
      <c r="K46" s="68">
        <v>0.4</v>
      </c>
      <c r="L46" s="58">
        <f t="shared" si="8"/>
        <v>8120</v>
      </c>
      <c r="M46" s="69">
        <v>8500.0</v>
      </c>
      <c r="N46" s="69"/>
      <c r="O46" s="64" t="s">
        <v>95</v>
      </c>
      <c r="P46" s="70" t="s">
        <v>30</v>
      </c>
      <c r="Q46" s="70" t="b">
        <v>1</v>
      </c>
      <c r="R46" s="63"/>
      <c r="S46" s="52">
        <v>0.0</v>
      </c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</row>
    <row r="47">
      <c r="A47" s="52">
        <v>46.0</v>
      </c>
      <c r="B47" s="62">
        <v>45847.0</v>
      </c>
      <c r="C47" s="63"/>
      <c r="D47" s="63"/>
      <c r="E47" s="64" t="s">
        <v>93</v>
      </c>
      <c r="F47" s="64" t="s">
        <v>101</v>
      </c>
      <c r="G47" s="54">
        <f t="shared" si="1"/>
        <v>4</v>
      </c>
      <c r="H47" s="65">
        <v>4.0</v>
      </c>
      <c r="I47" s="66">
        <v>15000.0</v>
      </c>
      <c r="J47" s="67">
        <f t="shared" si="2"/>
        <v>60000</v>
      </c>
      <c r="K47" s="68">
        <v>0.3</v>
      </c>
      <c r="L47" s="58">
        <f t="shared" si="8"/>
        <v>19500</v>
      </c>
      <c r="M47" s="69"/>
      <c r="N47" s="69"/>
      <c r="O47" s="64" t="s">
        <v>102</v>
      </c>
      <c r="P47" s="70" t="s">
        <v>30</v>
      </c>
      <c r="Q47" s="70" t="b">
        <v>0</v>
      </c>
      <c r="R47" s="63"/>
      <c r="S47" s="52">
        <v>0.0</v>
      </c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</row>
    <row r="48">
      <c r="A48" s="52">
        <v>47.0</v>
      </c>
      <c r="B48" s="62">
        <v>45847.0</v>
      </c>
      <c r="C48" s="63"/>
      <c r="D48" s="63"/>
      <c r="E48" s="64" t="s">
        <v>103</v>
      </c>
      <c r="F48" s="64" t="s">
        <v>104</v>
      </c>
      <c r="G48" s="54">
        <f t="shared" si="1"/>
        <v>10</v>
      </c>
      <c r="H48" s="65">
        <v>10.0</v>
      </c>
      <c r="I48" s="66">
        <v>2200.0</v>
      </c>
      <c r="J48" s="67">
        <f t="shared" si="2"/>
        <v>22000</v>
      </c>
      <c r="K48" s="68">
        <v>0.5</v>
      </c>
      <c r="L48" s="58">
        <f t="shared" si="8"/>
        <v>3300</v>
      </c>
      <c r="M48" s="69">
        <v>7500.0</v>
      </c>
      <c r="N48" s="69"/>
      <c r="O48" s="64" t="s">
        <v>105</v>
      </c>
      <c r="P48" s="70" t="s">
        <v>30</v>
      </c>
      <c r="Q48" s="70" t="b">
        <v>1</v>
      </c>
      <c r="R48" s="63"/>
      <c r="S48" s="52">
        <v>0.0</v>
      </c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</row>
    <row r="49">
      <c r="A49" s="52">
        <v>48.0</v>
      </c>
      <c r="B49" s="62">
        <v>45847.0</v>
      </c>
      <c r="C49" s="63"/>
      <c r="D49" s="63"/>
      <c r="E49" s="64" t="s">
        <v>103</v>
      </c>
      <c r="F49" s="64" t="s">
        <v>106</v>
      </c>
      <c r="G49" s="54">
        <f t="shared" si="1"/>
        <v>5</v>
      </c>
      <c r="H49" s="65">
        <v>5.0</v>
      </c>
      <c r="I49" s="66">
        <v>1100.0</v>
      </c>
      <c r="J49" s="67">
        <f t="shared" si="2"/>
        <v>5500</v>
      </c>
      <c r="K49" s="68">
        <v>0.5</v>
      </c>
      <c r="L49" s="58">
        <f t="shared" si="8"/>
        <v>1650</v>
      </c>
      <c r="M49" s="69">
        <v>3500.0</v>
      </c>
      <c r="N49" s="69"/>
      <c r="O49" s="64" t="s">
        <v>105</v>
      </c>
      <c r="P49" s="70" t="s">
        <v>30</v>
      </c>
      <c r="Q49" s="70" t="b">
        <v>1</v>
      </c>
      <c r="R49" s="63"/>
      <c r="S49" s="52">
        <v>0.0</v>
      </c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</row>
    <row r="50">
      <c r="A50" s="52">
        <v>49.0</v>
      </c>
      <c r="B50" s="62">
        <v>45847.0</v>
      </c>
      <c r="C50" s="63"/>
      <c r="D50" s="63"/>
      <c r="E50" s="64" t="s">
        <v>103</v>
      </c>
      <c r="F50" s="64" t="s">
        <v>107</v>
      </c>
      <c r="G50" s="54">
        <f t="shared" si="1"/>
        <v>10</v>
      </c>
      <c r="H50" s="65">
        <v>10.0</v>
      </c>
      <c r="I50" s="66">
        <v>1500.0</v>
      </c>
      <c r="J50" s="67">
        <f t="shared" si="2"/>
        <v>15000</v>
      </c>
      <c r="K50" s="68">
        <v>0.5</v>
      </c>
      <c r="L50" s="58">
        <f t="shared" si="8"/>
        <v>2250</v>
      </c>
      <c r="M50" s="69">
        <v>5000.0</v>
      </c>
      <c r="N50" s="69"/>
      <c r="O50" s="64" t="s">
        <v>105</v>
      </c>
      <c r="P50" s="70" t="s">
        <v>30</v>
      </c>
      <c r="Q50" s="70" t="b">
        <v>1</v>
      </c>
      <c r="R50" s="63"/>
      <c r="S50" s="52">
        <v>0.0</v>
      </c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</row>
    <row r="51">
      <c r="A51" s="52">
        <v>50.0</v>
      </c>
      <c r="B51" s="62">
        <v>45847.0</v>
      </c>
      <c r="C51" s="63"/>
      <c r="D51" s="63"/>
      <c r="E51" s="64" t="s">
        <v>108</v>
      </c>
      <c r="F51" s="64" t="s">
        <v>109</v>
      </c>
      <c r="G51" s="54">
        <f t="shared" si="1"/>
        <v>5</v>
      </c>
      <c r="H51" s="65">
        <v>5.0</v>
      </c>
      <c r="I51" s="66">
        <v>12000.0</v>
      </c>
      <c r="J51" s="67">
        <f t="shared" si="2"/>
        <v>60000</v>
      </c>
      <c r="K51" s="68">
        <v>0.3</v>
      </c>
      <c r="L51" s="58">
        <f t="shared" si="8"/>
        <v>15600</v>
      </c>
      <c r="M51" s="69">
        <v>17000.0</v>
      </c>
      <c r="N51" s="69"/>
      <c r="O51" s="64" t="s">
        <v>110</v>
      </c>
      <c r="P51" s="70" t="s">
        <v>30</v>
      </c>
      <c r="Q51" s="70" t="b">
        <v>1</v>
      </c>
      <c r="R51" s="63"/>
      <c r="S51" s="52">
        <v>0.0</v>
      </c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</row>
    <row r="52">
      <c r="A52" s="52">
        <v>51.0</v>
      </c>
      <c r="B52" s="62">
        <v>45847.0</v>
      </c>
      <c r="C52" s="63"/>
      <c r="D52" s="63"/>
      <c r="E52" s="64" t="s">
        <v>111</v>
      </c>
      <c r="F52" s="64" t="s">
        <v>112</v>
      </c>
      <c r="G52" s="54">
        <f t="shared" si="1"/>
        <v>5</v>
      </c>
      <c r="H52" s="65">
        <v>5.0</v>
      </c>
      <c r="I52" s="66">
        <v>12500.0</v>
      </c>
      <c r="J52" s="67">
        <f t="shared" si="2"/>
        <v>62500</v>
      </c>
      <c r="K52" s="68">
        <v>0.3</v>
      </c>
      <c r="L52" s="58">
        <f t="shared" si="8"/>
        <v>16250</v>
      </c>
      <c r="M52" s="69">
        <v>17000.0</v>
      </c>
      <c r="N52" s="69"/>
      <c r="O52" s="64" t="s">
        <v>113</v>
      </c>
      <c r="P52" s="70" t="s">
        <v>30</v>
      </c>
      <c r="Q52" s="70" t="b">
        <v>1</v>
      </c>
      <c r="R52" s="63"/>
      <c r="S52" s="52">
        <v>0.0</v>
      </c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</row>
    <row r="53">
      <c r="A53" s="52">
        <v>52.0</v>
      </c>
      <c r="B53" s="62">
        <v>45847.0</v>
      </c>
      <c r="C53" s="63"/>
      <c r="D53" s="63"/>
      <c r="E53" s="64" t="s">
        <v>114</v>
      </c>
      <c r="F53" s="64" t="s">
        <v>115</v>
      </c>
      <c r="G53" s="54">
        <f t="shared" si="1"/>
        <v>2</v>
      </c>
      <c r="H53" s="65">
        <v>2.0</v>
      </c>
      <c r="I53" s="66">
        <v>18400.0</v>
      </c>
      <c r="J53" s="67">
        <f t="shared" si="2"/>
        <v>36800</v>
      </c>
      <c r="K53" s="68">
        <v>0.5</v>
      </c>
      <c r="L53" s="58">
        <f t="shared" si="8"/>
        <v>27600</v>
      </c>
      <c r="M53" s="69">
        <v>25000.0</v>
      </c>
      <c r="N53" s="69"/>
      <c r="O53" s="64" t="s">
        <v>116</v>
      </c>
      <c r="P53" s="70" t="s">
        <v>30</v>
      </c>
      <c r="Q53" s="70" t="b">
        <v>1</v>
      </c>
      <c r="R53" s="63"/>
      <c r="S53" s="52">
        <v>0.0</v>
      </c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</row>
    <row r="54">
      <c r="A54" s="52">
        <v>53.0</v>
      </c>
      <c r="B54" s="62">
        <v>45847.0</v>
      </c>
      <c r="C54" s="63"/>
      <c r="D54" s="63"/>
      <c r="E54" s="64" t="s">
        <v>114</v>
      </c>
      <c r="F54" s="64" t="s">
        <v>117</v>
      </c>
      <c r="G54" s="54">
        <f t="shared" si="1"/>
        <v>3</v>
      </c>
      <c r="H54" s="65">
        <v>3.0</v>
      </c>
      <c r="I54" s="66">
        <v>19600.0</v>
      </c>
      <c r="J54" s="67">
        <f t="shared" si="2"/>
        <v>58800</v>
      </c>
      <c r="K54" s="68">
        <v>0.5</v>
      </c>
      <c r="L54" s="58">
        <f t="shared" si="8"/>
        <v>29400</v>
      </c>
      <c r="M54" s="69">
        <v>28000.0</v>
      </c>
      <c r="N54" s="69"/>
      <c r="O54" s="64" t="s">
        <v>116</v>
      </c>
      <c r="P54" s="70" t="s">
        <v>30</v>
      </c>
      <c r="Q54" s="70" t="b">
        <v>1</v>
      </c>
      <c r="R54" s="63"/>
      <c r="S54" s="52">
        <v>0.0</v>
      </c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</row>
    <row r="55">
      <c r="A55" s="52">
        <v>54.0</v>
      </c>
      <c r="B55" s="62">
        <v>45847.0</v>
      </c>
      <c r="C55" s="63"/>
      <c r="D55" s="63"/>
      <c r="E55" s="64" t="s">
        <v>114</v>
      </c>
      <c r="F55" s="64" t="s">
        <v>118</v>
      </c>
      <c r="G55" s="54">
        <f t="shared" si="1"/>
        <v>6</v>
      </c>
      <c r="H55" s="65">
        <v>6.0</v>
      </c>
      <c r="I55" s="66">
        <v>21000.0</v>
      </c>
      <c r="J55" s="67">
        <f t="shared" si="2"/>
        <v>126000</v>
      </c>
      <c r="K55" s="68">
        <v>0.5</v>
      </c>
      <c r="L55" s="58">
        <f t="shared" si="8"/>
        <v>31500</v>
      </c>
      <c r="M55" s="69">
        <v>32000.0</v>
      </c>
      <c r="N55" s="69"/>
      <c r="O55" s="64" t="s">
        <v>116</v>
      </c>
      <c r="P55" s="70" t="s">
        <v>30</v>
      </c>
      <c r="Q55" s="70" t="b">
        <v>1</v>
      </c>
      <c r="R55" s="63"/>
      <c r="S55" s="52">
        <v>0.0</v>
      </c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</row>
    <row r="56">
      <c r="A56" s="52">
        <v>55.0</v>
      </c>
      <c r="B56" s="62">
        <v>45847.0</v>
      </c>
      <c r="C56" s="63"/>
      <c r="D56" s="63"/>
      <c r="E56" s="64" t="s">
        <v>114</v>
      </c>
      <c r="F56" s="64" t="s">
        <v>119</v>
      </c>
      <c r="G56" s="54">
        <f t="shared" si="1"/>
        <v>2</v>
      </c>
      <c r="H56" s="65">
        <v>2.0</v>
      </c>
      <c r="I56" s="66">
        <v>17000.0</v>
      </c>
      <c r="J56" s="67">
        <f t="shared" si="2"/>
        <v>34000</v>
      </c>
      <c r="K56" s="68">
        <v>0.5</v>
      </c>
      <c r="L56" s="58">
        <f t="shared" si="8"/>
        <v>25500</v>
      </c>
      <c r="M56" s="69">
        <v>21000.0</v>
      </c>
      <c r="N56" s="69"/>
      <c r="O56" s="64" t="s">
        <v>116</v>
      </c>
      <c r="P56" s="70" t="s">
        <v>30</v>
      </c>
      <c r="Q56" s="70" t="b">
        <v>1</v>
      </c>
      <c r="R56" s="63"/>
      <c r="S56" s="52">
        <v>0.0</v>
      </c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</row>
    <row r="57">
      <c r="A57" s="52">
        <v>56.0</v>
      </c>
      <c r="B57" s="62">
        <v>45847.0</v>
      </c>
      <c r="C57" s="63"/>
      <c r="D57" s="63"/>
      <c r="E57" s="64" t="s">
        <v>120</v>
      </c>
      <c r="F57" s="64" t="s">
        <v>121</v>
      </c>
      <c r="G57" s="54">
        <f t="shared" si="1"/>
        <v>3</v>
      </c>
      <c r="H57" s="65">
        <v>3.0</v>
      </c>
      <c r="I57" s="66">
        <v>17000.0</v>
      </c>
      <c r="J57" s="67">
        <f t="shared" si="2"/>
        <v>51000</v>
      </c>
      <c r="K57" s="68">
        <v>0.3</v>
      </c>
      <c r="L57" s="58">
        <f t="shared" si="8"/>
        <v>22100</v>
      </c>
      <c r="M57" s="69">
        <v>21000.0</v>
      </c>
      <c r="N57" s="69"/>
      <c r="O57" s="64" t="s">
        <v>122</v>
      </c>
      <c r="P57" s="70" t="s">
        <v>30</v>
      </c>
      <c r="Q57" s="70" t="b">
        <v>1</v>
      </c>
      <c r="R57" s="63"/>
      <c r="S57" s="52">
        <v>0.0</v>
      </c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</row>
    <row r="58">
      <c r="A58" s="52">
        <v>57.0</v>
      </c>
      <c r="B58" s="62">
        <v>45847.0</v>
      </c>
      <c r="C58" s="63"/>
      <c r="D58" s="63"/>
      <c r="E58" s="64" t="s">
        <v>123</v>
      </c>
      <c r="F58" s="64" t="s">
        <v>124</v>
      </c>
      <c r="G58" s="54">
        <f t="shared" si="1"/>
        <v>25</v>
      </c>
      <c r="H58" s="72">
        <v>5.0</v>
      </c>
      <c r="I58" s="66">
        <v>10000.0</v>
      </c>
      <c r="J58" s="67">
        <f t="shared" si="2"/>
        <v>250000</v>
      </c>
      <c r="K58" s="68">
        <v>0.5</v>
      </c>
      <c r="L58" s="58">
        <f t="shared" si="8"/>
        <v>15000</v>
      </c>
      <c r="M58" s="69">
        <v>13000.0</v>
      </c>
      <c r="N58" s="69"/>
      <c r="O58" s="64" t="s">
        <v>125</v>
      </c>
      <c r="P58" s="70" t="s">
        <v>30</v>
      </c>
      <c r="Q58" s="70" t="b">
        <v>1</v>
      </c>
      <c r="R58" s="63"/>
      <c r="S58" s="52">
        <v>20.0</v>
      </c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</row>
    <row r="59">
      <c r="A59" s="52">
        <v>58.0</v>
      </c>
      <c r="B59" s="62">
        <v>45847.0</v>
      </c>
      <c r="C59" s="63"/>
      <c r="D59" s="63"/>
      <c r="E59" s="64" t="s">
        <v>126</v>
      </c>
      <c r="F59" s="64" t="s">
        <v>127</v>
      </c>
      <c r="G59" s="54">
        <f t="shared" si="1"/>
        <v>2</v>
      </c>
      <c r="H59" s="65">
        <v>2.0</v>
      </c>
      <c r="I59" s="66">
        <v>18200.0</v>
      </c>
      <c r="J59" s="67">
        <f t="shared" si="2"/>
        <v>36400</v>
      </c>
      <c r="K59" s="68">
        <v>0.5</v>
      </c>
      <c r="L59" s="58">
        <f t="shared" si="8"/>
        <v>27300</v>
      </c>
      <c r="M59" s="69">
        <v>21000.0</v>
      </c>
      <c r="N59" s="69"/>
      <c r="O59" s="64" t="s">
        <v>128</v>
      </c>
      <c r="P59" s="70" t="s">
        <v>30</v>
      </c>
      <c r="Q59" s="70" t="b">
        <v>1</v>
      </c>
      <c r="R59" s="63"/>
      <c r="S59" s="52">
        <v>0.0</v>
      </c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</row>
    <row r="60">
      <c r="A60" s="52">
        <v>59.0</v>
      </c>
      <c r="B60" s="62">
        <v>45847.0</v>
      </c>
      <c r="C60" s="63"/>
      <c r="D60" s="63"/>
      <c r="E60" s="63"/>
      <c r="F60" s="64" t="s">
        <v>129</v>
      </c>
      <c r="G60" s="54">
        <f t="shared" si="1"/>
        <v>3</v>
      </c>
      <c r="H60" s="65">
        <v>3.0</v>
      </c>
      <c r="I60" s="66">
        <v>15000.0</v>
      </c>
      <c r="J60" s="67">
        <f t="shared" si="2"/>
        <v>45000</v>
      </c>
      <c r="K60" s="68">
        <v>0.3</v>
      </c>
      <c r="L60" s="58">
        <f t="shared" si="8"/>
        <v>19500</v>
      </c>
      <c r="M60" s="69">
        <v>19000.0</v>
      </c>
      <c r="N60" s="69"/>
      <c r="O60" s="64" t="s">
        <v>130</v>
      </c>
      <c r="P60" s="70" t="s">
        <v>30</v>
      </c>
      <c r="Q60" s="70" t="b">
        <v>1</v>
      </c>
      <c r="R60" s="63"/>
      <c r="S60" s="52">
        <v>0.0</v>
      </c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</row>
    <row r="61">
      <c r="A61" s="52">
        <v>60.0</v>
      </c>
      <c r="B61" s="62">
        <v>45847.0</v>
      </c>
      <c r="C61" s="63"/>
      <c r="D61" s="63"/>
      <c r="E61" s="63"/>
      <c r="F61" s="64" t="s">
        <v>131</v>
      </c>
      <c r="G61" s="54">
        <f t="shared" si="1"/>
        <v>2</v>
      </c>
      <c r="H61" s="65">
        <v>2.0</v>
      </c>
      <c r="I61" s="66">
        <v>25000.0</v>
      </c>
      <c r="J61" s="67">
        <f t="shared" si="2"/>
        <v>50000</v>
      </c>
      <c r="K61" s="68">
        <v>0.25</v>
      </c>
      <c r="L61" s="58">
        <v>30000.0</v>
      </c>
      <c r="M61" s="69">
        <v>31000.0</v>
      </c>
      <c r="N61" s="69"/>
      <c r="O61" s="64" t="s">
        <v>130</v>
      </c>
      <c r="P61" s="70" t="s">
        <v>30</v>
      </c>
      <c r="Q61" s="70" t="b">
        <v>1</v>
      </c>
      <c r="R61" s="63"/>
      <c r="S61" s="52">
        <v>0.0</v>
      </c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</row>
    <row r="62">
      <c r="A62" s="52">
        <v>61.0</v>
      </c>
      <c r="B62" s="62">
        <v>45847.0</v>
      </c>
      <c r="C62" s="63"/>
      <c r="D62" s="63"/>
      <c r="E62" s="63"/>
      <c r="F62" s="64" t="s">
        <v>132</v>
      </c>
      <c r="G62" s="54">
        <f t="shared" si="1"/>
        <v>2</v>
      </c>
      <c r="H62" s="65">
        <v>2.0</v>
      </c>
      <c r="I62" s="66">
        <v>9500.0</v>
      </c>
      <c r="J62" s="67">
        <f t="shared" si="2"/>
        <v>19000</v>
      </c>
      <c r="K62" s="68">
        <v>0.4</v>
      </c>
      <c r="L62" s="58">
        <f t="shared" ref="L62:L93" si="9">I62+((K62)*I62)</f>
        <v>13300</v>
      </c>
      <c r="M62" s="69">
        <v>14000.0</v>
      </c>
      <c r="N62" s="69">
        <v>14000.0</v>
      </c>
      <c r="O62" s="64" t="s">
        <v>130</v>
      </c>
      <c r="P62" s="70" t="s">
        <v>30</v>
      </c>
      <c r="Q62" s="70" t="b">
        <v>1</v>
      </c>
      <c r="R62" s="63"/>
      <c r="S62" s="52">
        <v>0.0</v>
      </c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</row>
    <row r="63">
      <c r="A63" s="52">
        <v>62.0</v>
      </c>
      <c r="B63" s="62">
        <v>45847.0</v>
      </c>
      <c r="C63" s="63"/>
      <c r="D63" s="63"/>
      <c r="E63" s="63"/>
      <c r="F63" s="64" t="s">
        <v>133</v>
      </c>
      <c r="G63" s="54">
        <f t="shared" si="1"/>
        <v>20</v>
      </c>
      <c r="H63" s="65">
        <v>20.0</v>
      </c>
      <c r="I63" s="66">
        <v>1150.0</v>
      </c>
      <c r="J63" s="79">
        <v>23000.0</v>
      </c>
      <c r="K63" s="68">
        <v>0.3</v>
      </c>
      <c r="L63" s="58">
        <f t="shared" si="9"/>
        <v>1495</v>
      </c>
      <c r="M63" s="69">
        <v>1500.0</v>
      </c>
      <c r="N63" s="69"/>
      <c r="O63" s="64" t="s">
        <v>130</v>
      </c>
      <c r="P63" s="70" t="s">
        <v>30</v>
      </c>
      <c r="Q63" s="70" t="b">
        <v>1</v>
      </c>
      <c r="R63" s="63"/>
      <c r="S63" s="52">
        <v>0.0</v>
      </c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</row>
    <row r="64">
      <c r="A64" s="52">
        <v>63.0</v>
      </c>
      <c r="B64" s="62">
        <v>45847.0</v>
      </c>
      <c r="C64" s="63"/>
      <c r="D64" s="63"/>
      <c r="E64" s="63"/>
      <c r="F64" s="64" t="s">
        <v>134</v>
      </c>
      <c r="G64" s="54">
        <f t="shared" si="1"/>
        <v>20</v>
      </c>
      <c r="H64" s="65">
        <v>20.0</v>
      </c>
      <c r="I64" s="66">
        <v>700.0</v>
      </c>
      <c r="J64" s="67">
        <f t="shared" ref="J64:J350" si="10">I64*G64</f>
        <v>14000</v>
      </c>
      <c r="K64" s="68">
        <v>0.5</v>
      </c>
      <c r="L64" s="58">
        <f t="shared" si="9"/>
        <v>1050</v>
      </c>
      <c r="M64" s="69">
        <v>1000.0</v>
      </c>
      <c r="N64" s="69"/>
      <c r="O64" s="64" t="s">
        <v>130</v>
      </c>
      <c r="P64" s="70" t="s">
        <v>30</v>
      </c>
      <c r="Q64" s="70" t="b">
        <v>1</v>
      </c>
      <c r="R64" s="63"/>
      <c r="S64" s="52">
        <v>0.0</v>
      </c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</row>
    <row r="65">
      <c r="A65" s="52">
        <v>64.0</v>
      </c>
      <c r="B65" s="62">
        <v>45847.0</v>
      </c>
      <c r="C65" s="63"/>
      <c r="D65" s="63"/>
      <c r="E65" s="63"/>
      <c r="F65" s="64" t="s">
        <v>135</v>
      </c>
      <c r="G65" s="54">
        <f t="shared" si="1"/>
        <v>2</v>
      </c>
      <c r="H65" s="65">
        <v>2.0</v>
      </c>
      <c r="I65" s="66">
        <v>12000.0</v>
      </c>
      <c r="J65" s="67">
        <f t="shared" si="10"/>
        <v>24000</v>
      </c>
      <c r="K65" s="68">
        <v>0.3</v>
      </c>
      <c r="L65" s="58">
        <f t="shared" si="9"/>
        <v>15600</v>
      </c>
      <c r="M65" s="69">
        <v>20000.0</v>
      </c>
      <c r="N65" s="69">
        <v>16000.0</v>
      </c>
      <c r="O65" s="64" t="s">
        <v>130</v>
      </c>
      <c r="P65" s="70" t="s">
        <v>30</v>
      </c>
      <c r="Q65" s="70" t="b">
        <v>1</v>
      </c>
      <c r="R65" s="63"/>
      <c r="S65" s="52">
        <v>0.0</v>
      </c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</row>
    <row r="66">
      <c r="A66" s="52">
        <v>65.0</v>
      </c>
      <c r="B66" s="62">
        <v>45847.0</v>
      </c>
      <c r="C66" s="63"/>
      <c r="D66" s="63"/>
      <c r="E66" s="63"/>
      <c r="F66" s="64" t="s">
        <v>136</v>
      </c>
      <c r="G66" s="54">
        <f t="shared" si="1"/>
        <v>2</v>
      </c>
      <c r="H66" s="65">
        <v>2.0</v>
      </c>
      <c r="I66" s="66">
        <v>12000.0</v>
      </c>
      <c r="J66" s="67">
        <f t="shared" si="10"/>
        <v>24000</v>
      </c>
      <c r="K66" s="68">
        <v>0.3</v>
      </c>
      <c r="L66" s="58">
        <f t="shared" si="9"/>
        <v>15600</v>
      </c>
      <c r="M66" s="69">
        <v>15600.0</v>
      </c>
      <c r="N66" s="69"/>
      <c r="O66" s="64" t="s">
        <v>130</v>
      </c>
      <c r="P66" s="70" t="s">
        <v>30</v>
      </c>
      <c r="Q66" s="70" t="b">
        <v>1</v>
      </c>
      <c r="R66" s="63"/>
      <c r="S66" s="52">
        <v>0.0</v>
      </c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</row>
    <row r="67">
      <c r="A67" s="52">
        <v>66.0</v>
      </c>
      <c r="B67" s="62">
        <v>45847.0</v>
      </c>
      <c r="C67" s="63"/>
      <c r="D67" s="63"/>
      <c r="E67" s="63"/>
      <c r="F67" s="64" t="s">
        <v>137</v>
      </c>
      <c r="G67" s="54">
        <f t="shared" si="1"/>
        <v>3</v>
      </c>
      <c r="H67" s="65">
        <v>3.0</v>
      </c>
      <c r="I67" s="66">
        <v>7500.0</v>
      </c>
      <c r="J67" s="67">
        <f t="shared" si="10"/>
        <v>22500</v>
      </c>
      <c r="K67" s="68">
        <v>0.3</v>
      </c>
      <c r="L67" s="58">
        <f t="shared" si="9"/>
        <v>9750</v>
      </c>
      <c r="M67" s="69">
        <v>10000.0</v>
      </c>
      <c r="N67" s="69">
        <v>10000.0</v>
      </c>
      <c r="O67" s="64" t="s">
        <v>130</v>
      </c>
      <c r="P67" s="70" t="s">
        <v>30</v>
      </c>
      <c r="Q67" s="70" t="b">
        <v>1</v>
      </c>
      <c r="R67" s="63"/>
      <c r="S67" s="52">
        <v>0.0</v>
      </c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</row>
    <row r="68">
      <c r="A68" s="52">
        <v>67.0</v>
      </c>
      <c r="B68" s="62">
        <v>45847.0</v>
      </c>
      <c r="C68" s="63"/>
      <c r="D68" s="63"/>
      <c r="E68" s="63"/>
      <c r="F68" s="64" t="s">
        <v>138</v>
      </c>
      <c r="G68" s="54">
        <f t="shared" si="1"/>
        <v>2</v>
      </c>
      <c r="H68" s="65">
        <v>2.0</v>
      </c>
      <c r="I68" s="66">
        <v>10500.0</v>
      </c>
      <c r="J68" s="67">
        <f t="shared" si="10"/>
        <v>21000</v>
      </c>
      <c r="K68" s="68">
        <v>0.3</v>
      </c>
      <c r="L68" s="58">
        <f t="shared" si="9"/>
        <v>13650</v>
      </c>
      <c r="M68" s="69">
        <v>14000.0</v>
      </c>
      <c r="N68" s="69">
        <v>14000.0</v>
      </c>
      <c r="O68" s="64" t="s">
        <v>130</v>
      </c>
      <c r="P68" s="70" t="s">
        <v>30</v>
      </c>
      <c r="Q68" s="70" t="b">
        <v>1</v>
      </c>
      <c r="R68" s="63"/>
      <c r="S68" s="52">
        <v>0.0</v>
      </c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</row>
    <row r="69">
      <c r="A69" s="52">
        <v>68.0</v>
      </c>
      <c r="B69" s="62">
        <v>45847.0</v>
      </c>
      <c r="C69" s="63"/>
      <c r="D69" s="63"/>
      <c r="E69" s="63"/>
      <c r="F69" s="64" t="s">
        <v>139</v>
      </c>
      <c r="G69" s="54">
        <f t="shared" si="1"/>
        <v>3</v>
      </c>
      <c r="H69" s="65">
        <v>3.0</v>
      </c>
      <c r="I69" s="66">
        <v>7000.0</v>
      </c>
      <c r="J69" s="67">
        <f t="shared" si="10"/>
        <v>21000</v>
      </c>
      <c r="K69" s="68">
        <v>0.3</v>
      </c>
      <c r="L69" s="58">
        <f t="shared" si="9"/>
        <v>9100</v>
      </c>
      <c r="M69" s="69">
        <v>9000.0</v>
      </c>
      <c r="N69" s="69"/>
      <c r="O69" s="64" t="s">
        <v>130</v>
      </c>
      <c r="P69" s="70" t="s">
        <v>30</v>
      </c>
      <c r="Q69" s="70" t="b">
        <v>1</v>
      </c>
      <c r="R69" s="63"/>
      <c r="S69" s="52">
        <v>0.0</v>
      </c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</row>
    <row r="70">
      <c r="A70" s="52">
        <v>69.0</v>
      </c>
      <c r="B70" s="62">
        <v>45847.0</v>
      </c>
      <c r="C70" s="63"/>
      <c r="D70" s="63"/>
      <c r="E70" s="63"/>
      <c r="F70" s="64" t="s">
        <v>140</v>
      </c>
      <c r="G70" s="54">
        <f t="shared" si="1"/>
        <v>5</v>
      </c>
      <c r="H70" s="65">
        <v>5.0</v>
      </c>
      <c r="I70" s="66">
        <v>3500.0</v>
      </c>
      <c r="J70" s="67">
        <f t="shared" si="10"/>
        <v>17500</v>
      </c>
      <c r="K70" s="68">
        <v>0.3</v>
      </c>
      <c r="L70" s="58">
        <f t="shared" si="9"/>
        <v>4550</v>
      </c>
      <c r="M70" s="69">
        <v>5000.0</v>
      </c>
      <c r="N70" s="69"/>
      <c r="O70" s="64" t="s">
        <v>130</v>
      </c>
      <c r="P70" s="70" t="s">
        <v>30</v>
      </c>
      <c r="Q70" s="70" t="b">
        <v>1</v>
      </c>
      <c r="R70" s="63"/>
      <c r="S70" s="52">
        <v>0.0</v>
      </c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</row>
    <row r="71">
      <c r="A71" s="52">
        <v>70.0</v>
      </c>
      <c r="B71" s="62">
        <v>45847.0</v>
      </c>
      <c r="C71" s="63"/>
      <c r="D71" s="63"/>
      <c r="E71" s="63"/>
      <c r="F71" s="64" t="s">
        <v>141</v>
      </c>
      <c r="G71" s="54">
        <f t="shared" si="1"/>
        <v>4</v>
      </c>
      <c r="H71" s="65">
        <v>4.0</v>
      </c>
      <c r="I71" s="66">
        <v>5500.0</v>
      </c>
      <c r="J71" s="67">
        <f t="shared" si="10"/>
        <v>22000</v>
      </c>
      <c r="K71" s="68">
        <v>0.3</v>
      </c>
      <c r="L71" s="58">
        <f t="shared" si="9"/>
        <v>7150</v>
      </c>
      <c r="M71" s="69">
        <v>7500.0</v>
      </c>
      <c r="N71" s="69">
        <v>7500.0</v>
      </c>
      <c r="O71" s="64" t="s">
        <v>130</v>
      </c>
      <c r="P71" s="70" t="s">
        <v>30</v>
      </c>
      <c r="Q71" s="70" t="b">
        <v>1</v>
      </c>
      <c r="R71" s="63"/>
      <c r="S71" s="52">
        <v>0.0</v>
      </c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</row>
    <row r="72">
      <c r="A72" s="52">
        <v>71.0</v>
      </c>
      <c r="B72" s="62">
        <v>45847.0</v>
      </c>
      <c r="C72" s="63"/>
      <c r="D72" s="63"/>
      <c r="E72" s="64" t="s">
        <v>142</v>
      </c>
      <c r="F72" s="64" t="s">
        <v>143</v>
      </c>
      <c r="G72" s="54">
        <f t="shared" si="1"/>
        <v>1</v>
      </c>
      <c r="H72" s="65">
        <v>1.0</v>
      </c>
      <c r="I72" s="66">
        <v>11000.0</v>
      </c>
      <c r="J72" s="67">
        <f t="shared" si="10"/>
        <v>11000</v>
      </c>
      <c r="K72" s="68">
        <v>0.5</v>
      </c>
      <c r="L72" s="58">
        <f t="shared" si="9"/>
        <v>16500</v>
      </c>
      <c r="M72" s="69">
        <v>16000.0</v>
      </c>
      <c r="N72" s="69"/>
      <c r="O72" s="64" t="s">
        <v>144</v>
      </c>
      <c r="P72" s="70" t="s">
        <v>30</v>
      </c>
      <c r="Q72" s="70" t="b">
        <v>1</v>
      </c>
      <c r="R72" s="63"/>
      <c r="S72" s="52">
        <v>0.0</v>
      </c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</row>
    <row r="73">
      <c r="A73" s="52">
        <v>72.0</v>
      </c>
      <c r="B73" s="62">
        <v>45847.0</v>
      </c>
      <c r="C73" s="63"/>
      <c r="D73" s="63"/>
      <c r="E73" s="64" t="s">
        <v>142</v>
      </c>
      <c r="F73" s="64" t="s">
        <v>145</v>
      </c>
      <c r="G73" s="54">
        <f t="shared" si="1"/>
        <v>1</v>
      </c>
      <c r="H73" s="65">
        <v>1.0</v>
      </c>
      <c r="I73" s="66">
        <v>6500.0</v>
      </c>
      <c r="J73" s="67">
        <f t="shared" si="10"/>
        <v>6500</v>
      </c>
      <c r="K73" s="68">
        <v>0.5</v>
      </c>
      <c r="L73" s="58">
        <f t="shared" si="9"/>
        <v>9750</v>
      </c>
      <c r="M73" s="69">
        <v>6000.0</v>
      </c>
      <c r="N73" s="69"/>
      <c r="O73" s="64" t="s">
        <v>144</v>
      </c>
      <c r="P73" s="70" t="s">
        <v>30</v>
      </c>
      <c r="Q73" s="70" t="b">
        <v>1</v>
      </c>
      <c r="R73" s="63"/>
      <c r="S73" s="52">
        <v>0.0</v>
      </c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</row>
    <row r="74">
      <c r="A74" s="52">
        <v>73.0</v>
      </c>
      <c r="B74" s="62">
        <v>45847.0</v>
      </c>
      <c r="C74" s="63"/>
      <c r="D74" s="63"/>
      <c r="E74" s="64" t="s">
        <v>142</v>
      </c>
      <c r="F74" s="64" t="s">
        <v>146</v>
      </c>
      <c r="G74" s="54">
        <f t="shared" si="1"/>
        <v>1</v>
      </c>
      <c r="H74" s="65">
        <v>1.0</v>
      </c>
      <c r="I74" s="66">
        <v>5300.0</v>
      </c>
      <c r="J74" s="67">
        <f t="shared" si="10"/>
        <v>5300</v>
      </c>
      <c r="K74" s="68">
        <v>0.5</v>
      </c>
      <c r="L74" s="58">
        <f t="shared" si="9"/>
        <v>7950</v>
      </c>
      <c r="M74" s="69">
        <v>11000.0</v>
      </c>
      <c r="N74" s="69"/>
      <c r="O74" s="64" t="s">
        <v>144</v>
      </c>
      <c r="P74" s="70" t="s">
        <v>30</v>
      </c>
      <c r="Q74" s="70" t="b">
        <v>1</v>
      </c>
      <c r="R74" s="63"/>
      <c r="S74" s="52">
        <v>0.0</v>
      </c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</row>
    <row r="75">
      <c r="A75" s="52">
        <v>74.0</v>
      </c>
      <c r="B75" s="62">
        <v>45847.0</v>
      </c>
      <c r="C75" s="63"/>
      <c r="D75" s="63"/>
      <c r="E75" s="64" t="s">
        <v>142</v>
      </c>
      <c r="F75" s="64" t="s">
        <v>147</v>
      </c>
      <c r="G75" s="54">
        <f t="shared" si="1"/>
        <v>3</v>
      </c>
      <c r="H75" s="65">
        <v>3.0</v>
      </c>
      <c r="I75" s="66">
        <v>2850.0</v>
      </c>
      <c r="J75" s="67">
        <f t="shared" si="10"/>
        <v>8550</v>
      </c>
      <c r="K75" s="68">
        <v>0.5</v>
      </c>
      <c r="L75" s="58">
        <f t="shared" si="9"/>
        <v>4275</v>
      </c>
      <c r="M75" s="69">
        <v>6000.0</v>
      </c>
      <c r="N75" s="69"/>
      <c r="O75" s="64" t="s">
        <v>144</v>
      </c>
      <c r="P75" s="70" t="s">
        <v>30</v>
      </c>
      <c r="Q75" s="70" t="b">
        <v>1</v>
      </c>
      <c r="R75" s="63"/>
      <c r="S75" s="52">
        <v>0.0</v>
      </c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</row>
    <row r="76">
      <c r="A76" s="52">
        <v>75.0</v>
      </c>
      <c r="B76" s="62">
        <v>45847.0</v>
      </c>
      <c r="C76" s="63"/>
      <c r="D76" s="63"/>
      <c r="E76" s="64" t="s">
        <v>142</v>
      </c>
      <c r="F76" s="64" t="s">
        <v>143</v>
      </c>
      <c r="G76" s="54">
        <f t="shared" si="1"/>
        <v>1</v>
      </c>
      <c r="H76" s="65">
        <v>1.0</v>
      </c>
      <c r="I76" s="66">
        <v>11000.0</v>
      </c>
      <c r="J76" s="67">
        <f t="shared" si="10"/>
        <v>11000</v>
      </c>
      <c r="K76" s="68">
        <v>0.5</v>
      </c>
      <c r="L76" s="58">
        <f t="shared" si="9"/>
        <v>16500</v>
      </c>
      <c r="M76" s="69">
        <v>16000.0</v>
      </c>
      <c r="N76" s="69"/>
      <c r="O76" s="64" t="s">
        <v>144</v>
      </c>
      <c r="P76" s="70" t="s">
        <v>30</v>
      </c>
      <c r="Q76" s="70" t="b">
        <v>1</v>
      </c>
      <c r="R76" s="63"/>
      <c r="S76" s="52">
        <v>0.0</v>
      </c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</row>
    <row r="77">
      <c r="A77" s="52">
        <v>76.0</v>
      </c>
      <c r="B77" s="62">
        <v>45847.0</v>
      </c>
      <c r="C77" s="63"/>
      <c r="D77" s="63"/>
      <c r="E77" s="64" t="s">
        <v>142</v>
      </c>
      <c r="F77" s="64" t="s">
        <v>148</v>
      </c>
      <c r="G77" s="54">
        <f t="shared" si="1"/>
        <v>1</v>
      </c>
      <c r="H77" s="65">
        <v>1.0</v>
      </c>
      <c r="I77" s="66">
        <v>4100.0</v>
      </c>
      <c r="J77" s="67">
        <f t="shared" si="10"/>
        <v>4100</v>
      </c>
      <c r="K77" s="68">
        <v>0.5</v>
      </c>
      <c r="L77" s="58">
        <f t="shared" si="9"/>
        <v>6150</v>
      </c>
      <c r="M77" s="69">
        <v>6000.0</v>
      </c>
      <c r="N77" s="69"/>
      <c r="O77" s="64" t="s">
        <v>144</v>
      </c>
      <c r="P77" s="70" t="s">
        <v>30</v>
      </c>
      <c r="Q77" s="70" t="b">
        <v>1</v>
      </c>
      <c r="R77" s="63"/>
      <c r="S77" s="52">
        <v>0.0</v>
      </c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</row>
    <row r="78">
      <c r="A78" s="52">
        <v>77.0</v>
      </c>
      <c r="B78" s="62">
        <v>45847.0</v>
      </c>
      <c r="C78" s="63"/>
      <c r="D78" s="63"/>
      <c r="E78" s="64" t="s">
        <v>142</v>
      </c>
      <c r="F78" s="64" t="s">
        <v>149</v>
      </c>
      <c r="G78" s="54">
        <f t="shared" si="1"/>
        <v>1</v>
      </c>
      <c r="H78" s="65">
        <v>1.0</v>
      </c>
      <c r="I78" s="66">
        <v>10300.0</v>
      </c>
      <c r="J78" s="67">
        <f t="shared" si="10"/>
        <v>10300</v>
      </c>
      <c r="K78" s="68">
        <v>0.5</v>
      </c>
      <c r="L78" s="58">
        <f t="shared" si="9"/>
        <v>15450</v>
      </c>
      <c r="M78" s="69">
        <v>14000.0</v>
      </c>
      <c r="N78" s="69"/>
      <c r="O78" s="64" t="s">
        <v>144</v>
      </c>
      <c r="P78" s="70" t="s">
        <v>30</v>
      </c>
      <c r="Q78" s="70" t="b">
        <v>1</v>
      </c>
      <c r="R78" s="63"/>
      <c r="S78" s="52">
        <v>0.0</v>
      </c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</row>
    <row r="79">
      <c r="A79" s="52">
        <v>78.0</v>
      </c>
      <c r="B79" s="62">
        <v>45847.0</v>
      </c>
      <c r="C79" s="63"/>
      <c r="D79" s="63"/>
      <c r="E79" s="64" t="s">
        <v>142</v>
      </c>
      <c r="F79" s="64" t="s">
        <v>150</v>
      </c>
      <c r="G79" s="54">
        <f t="shared" si="1"/>
        <v>1</v>
      </c>
      <c r="H79" s="65">
        <v>1.0</v>
      </c>
      <c r="I79" s="66">
        <v>11000.0</v>
      </c>
      <c r="J79" s="67">
        <f t="shared" si="10"/>
        <v>11000</v>
      </c>
      <c r="K79" s="68">
        <v>0.5</v>
      </c>
      <c r="L79" s="58">
        <f t="shared" si="9"/>
        <v>16500</v>
      </c>
      <c r="M79" s="69">
        <v>11000.0</v>
      </c>
      <c r="N79" s="69"/>
      <c r="O79" s="64" t="s">
        <v>144</v>
      </c>
      <c r="P79" s="70" t="s">
        <v>30</v>
      </c>
      <c r="Q79" s="70" t="b">
        <v>1</v>
      </c>
      <c r="R79" s="63"/>
      <c r="S79" s="52">
        <v>0.0</v>
      </c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</row>
    <row r="80">
      <c r="A80" s="52">
        <v>79.0</v>
      </c>
      <c r="B80" s="62">
        <v>45847.0</v>
      </c>
      <c r="C80" s="63"/>
      <c r="D80" s="63"/>
      <c r="E80" s="64" t="s">
        <v>142</v>
      </c>
      <c r="F80" s="64" t="s">
        <v>147</v>
      </c>
      <c r="G80" s="54">
        <f t="shared" si="1"/>
        <v>1</v>
      </c>
      <c r="H80" s="65">
        <v>1.0</v>
      </c>
      <c r="I80" s="66">
        <v>2850.0</v>
      </c>
      <c r="J80" s="67">
        <f t="shared" si="10"/>
        <v>2850</v>
      </c>
      <c r="K80" s="68">
        <v>0.5</v>
      </c>
      <c r="L80" s="58">
        <f t="shared" si="9"/>
        <v>4275</v>
      </c>
      <c r="M80" s="69">
        <v>4500.0</v>
      </c>
      <c r="N80" s="69"/>
      <c r="O80" s="64" t="s">
        <v>144</v>
      </c>
      <c r="P80" s="70" t="s">
        <v>30</v>
      </c>
      <c r="Q80" s="70" t="b">
        <v>1</v>
      </c>
      <c r="R80" s="63"/>
      <c r="S80" s="52">
        <v>0.0</v>
      </c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</row>
    <row r="81">
      <c r="A81" s="52">
        <v>80.0</v>
      </c>
      <c r="B81" s="62">
        <v>45847.0</v>
      </c>
      <c r="C81" s="63"/>
      <c r="D81" s="63"/>
      <c r="E81" s="64" t="s">
        <v>142</v>
      </c>
      <c r="F81" s="64" t="s">
        <v>151</v>
      </c>
      <c r="G81" s="54">
        <f t="shared" si="1"/>
        <v>1</v>
      </c>
      <c r="H81" s="65">
        <v>1.0</v>
      </c>
      <c r="I81" s="66">
        <v>6500.0</v>
      </c>
      <c r="J81" s="67">
        <f t="shared" si="10"/>
        <v>6500</v>
      </c>
      <c r="K81" s="68">
        <v>0.5</v>
      </c>
      <c r="L81" s="58">
        <f t="shared" si="9"/>
        <v>9750</v>
      </c>
      <c r="M81" s="69">
        <v>6000.0</v>
      </c>
      <c r="N81" s="69"/>
      <c r="O81" s="64" t="s">
        <v>144</v>
      </c>
      <c r="P81" s="70" t="s">
        <v>30</v>
      </c>
      <c r="Q81" s="70" t="b">
        <v>1</v>
      </c>
      <c r="R81" s="63"/>
      <c r="S81" s="52">
        <v>0.0</v>
      </c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</row>
    <row r="82">
      <c r="A82" s="52">
        <v>81.0</v>
      </c>
      <c r="B82" s="62">
        <v>45847.0</v>
      </c>
      <c r="C82" s="63"/>
      <c r="D82" s="63"/>
      <c r="E82" s="64" t="s">
        <v>142</v>
      </c>
      <c r="F82" s="64" t="s">
        <v>150</v>
      </c>
      <c r="G82" s="54">
        <f t="shared" si="1"/>
        <v>1</v>
      </c>
      <c r="H82" s="65">
        <v>1.0</v>
      </c>
      <c r="I82" s="66">
        <v>11000.0</v>
      </c>
      <c r="J82" s="67">
        <f t="shared" si="10"/>
        <v>11000</v>
      </c>
      <c r="K82" s="68">
        <v>0.5</v>
      </c>
      <c r="L82" s="58">
        <f t="shared" si="9"/>
        <v>16500</v>
      </c>
      <c r="M82" s="69">
        <v>11000.0</v>
      </c>
      <c r="N82" s="69"/>
      <c r="O82" s="64" t="s">
        <v>144</v>
      </c>
      <c r="P82" s="70" t="s">
        <v>30</v>
      </c>
      <c r="Q82" s="70" t="b">
        <v>1</v>
      </c>
      <c r="R82" s="63"/>
      <c r="S82" s="52">
        <v>0.0</v>
      </c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</row>
    <row r="83">
      <c r="A83" s="52">
        <v>82.0</v>
      </c>
      <c r="B83" s="62">
        <v>45847.0</v>
      </c>
      <c r="C83" s="63"/>
      <c r="D83" s="63"/>
      <c r="E83" s="64" t="s">
        <v>142</v>
      </c>
      <c r="F83" s="64" t="s">
        <v>152</v>
      </c>
      <c r="G83" s="54">
        <f t="shared" si="1"/>
        <v>1</v>
      </c>
      <c r="H83" s="65">
        <v>1.0</v>
      </c>
      <c r="I83" s="66">
        <v>10300.0</v>
      </c>
      <c r="J83" s="67">
        <f t="shared" si="10"/>
        <v>10300</v>
      </c>
      <c r="K83" s="68">
        <v>0.5</v>
      </c>
      <c r="L83" s="58">
        <f t="shared" si="9"/>
        <v>15450</v>
      </c>
      <c r="M83" s="69">
        <v>14000.0</v>
      </c>
      <c r="N83" s="69"/>
      <c r="O83" s="64" t="s">
        <v>144</v>
      </c>
      <c r="P83" s="70" t="s">
        <v>30</v>
      </c>
      <c r="Q83" s="70" t="b">
        <v>1</v>
      </c>
      <c r="R83" s="63"/>
      <c r="S83" s="52">
        <v>0.0</v>
      </c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</row>
    <row r="84">
      <c r="A84" s="52">
        <v>83.0</v>
      </c>
      <c r="B84" s="62">
        <v>45847.0</v>
      </c>
      <c r="C84" s="63"/>
      <c r="D84" s="63"/>
      <c r="E84" s="64" t="s">
        <v>153</v>
      </c>
      <c r="F84" s="64" t="s">
        <v>154</v>
      </c>
      <c r="G84" s="54">
        <f t="shared" si="1"/>
        <v>1</v>
      </c>
      <c r="H84" s="65">
        <v>1.0</v>
      </c>
      <c r="I84" s="66">
        <v>80000.0</v>
      </c>
      <c r="J84" s="67">
        <f t="shared" si="10"/>
        <v>80000</v>
      </c>
      <c r="K84" s="68">
        <v>0.700000000000003</v>
      </c>
      <c r="L84" s="58">
        <f t="shared" si="9"/>
        <v>136000</v>
      </c>
      <c r="M84" s="69">
        <v>3000.0</v>
      </c>
      <c r="N84" s="69"/>
      <c r="O84" s="64" t="s">
        <v>155</v>
      </c>
      <c r="P84" s="70" t="s">
        <v>30</v>
      </c>
      <c r="Q84" s="70" t="b">
        <v>1</v>
      </c>
      <c r="R84" s="63"/>
      <c r="S84" s="52">
        <v>0.0</v>
      </c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</row>
    <row r="85">
      <c r="A85" s="52">
        <v>84.0</v>
      </c>
      <c r="B85" s="62">
        <v>45847.0</v>
      </c>
      <c r="C85" s="63"/>
      <c r="D85" s="63"/>
      <c r="E85" s="64" t="s">
        <v>153</v>
      </c>
      <c r="F85" s="64" t="s">
        <v>156</v>
      </c>
      <c r="G85" s="54">
        <f t="shared" si="1"/>
        <v>1</v>
      </c>
      <c r="H85" s="65">
        <v>1.0</v>
      </c>
      <c r="I85" s="66">
        <v>165000.0</v>
      </c>
      <c r="J85" s="67">
        <f t="shared" si="10"/>
        <v>165000</v>
      </c>
      <c r="K85" s="68">
        <v>0.700000000000003</v>
      </c>
      <c r="L85" s="58">
        <f t="shared" si="9"/>
        <v>280500</v>
      </c>
      <c r="M85" s="69">
        <v>5000.0</v>
      </c>
      <c r="N85" s="69"/>
      <c r="O85" s="64" t="s">
        <v>155</v>
      </c>
      <c r="P85" s="70" t="s">
        <v>30</v>
      </c>
      <c r="Q85" s="70" t="b">
        <v>1</v>
      </c>
      <c r="R85" s="63"/>
      <c r="S85" s="52">
        <v>0.0</v>
      </c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</row>
    <row r="86">
      <c r="A86" s="52">
        <v>85.0</v>
      </c>
      <c r="B86" s="62">
        <v>45847.0</v>
      </c>
      <c r="C86" s="63"/>
      <c r="D86" s="63"/>
      <c r="E86" s="64" t="s">
        <v>153</v>
      </c>
      <c r="F86" s="64" t="s">
        <v>157</v>
      </c>
      <c r="G86" s="54">
        <f t="shared" si="1"/>
        <v>1</v>
      </c>
      <c r="H86" s="65">
        <v>1.0</v>
      </c>
      <c r="I86" s="66">
        <v>140000.0</v>
      </c>
      <c r="J86" s="67">
        <f t="shared" si="10"/>
        <v>140000</v>
      </c>
      <c r="K86" s="68">
        <v>0.700000000000003</v>
      </c>
      <c r="L86" s="58">
        <f t="shared" si="9"/>
        <v>238000</v>
      </c>
      <c r="M86" s="69">
        <v>4000.0</v>
      </c>
      <c r="N86" s="69"/>
      <c r="O86" s="64" t="s">
        <v>155</v>
      </c>
      <c r="P86" s="70" t="s">
        <v>30</v>
      </c>
      <c r="Q86" s="70" t="b">
        <v>1</v>
      </c>
      <c r="R86" s="63"/>
      <c r="S86" s="52">
        <v>0.0</v>
      </c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</row>
    <row r="87">
      <c r="A87" s="52">
        <v>86.0</v>
      </c>
      <c r="B87" s="62">
        <v>45847.0</v>
      </c>
      <c r="C87" s="63"/>
      <c r="D87" s="63"/>
      <c r="E87" s="64" t="s">
        <v>158</v>
      </c>
      <c r="F87" s="64" t="s">
        <v>159</v>
      </c>
      <c r="G87" s="54">
        <f t="shared" si="1"/>
        <v>5</v>
      </c>
      <c r="H87" s="65">
        <v>5.0</v>
      </c>
      <c r="I87" s="66">
        <v>13000.0</v>
      </c>
      <c r="J87" s="67">
        <f t="shared" si="10"/>
        <v>65000</v>
      </c>
      <c r="K87" s="68">
        <v>0.3</v>
      </c>
      <c r="L87" s="58">
        <f t="shared" si="9"/>
        <v>16900</v>
      </c>
      <c r="M87" s="69">
        <v>17000.0</v>
      </c>
      <c r="N87" s="69"/>
      <c r="O87" s="64" t="s">
        <v>160</v>
      </c>
      <c r="P87" s="70" t="s">
        <v>30</v>
      </c>
      <c r="Q87" s="70" t="b">
        <v>1</v>
      </c>
      <c r="R87" s="63"/>
      <c r="S87" s="52">
        <v>0.0</v>
      </c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</row>
    <row r="88">
      <c r="A88" s="52">
        <v>87.0</v>
      </c>
      <c r="B88" s="62">
        <v>45847.0</v>
      </c>
      <c r="C88" s="63"/>
      <c r="D88" s="63"/>
      <c r="E88" s="64" t="s">
        <v>161</v>
      </c>
      <c r="F88" s="64" t="s">
        <v>162</v>
      </c>
      <c r="G88" s="54">
        <f t="shared" si="1"/>
        <v>3</v>
      </c>
      <c r="H88" s="65">
        <v>3.0</v>
      </c>
      <c r="I88" s="66">
        <v>10500.0</v>
      </c>
      <c r="J88" s="67">
        <f t="shared" si="10"/>
        <v>31500</v>
      </c>
      <c r="K88" s="68">
        <v>0.3</v>
      </c>
      <c r="L88" s="58">
        <f t="shared" si="9"/>
        <v>13650</v>
      </c>
      <c r="M88" s="69">
        <v>17000.0</v>
      </c>
      <c r="N88" s="69"/>
      <c r="O88" s="64" t="s">
        <v>163</v>
      </c>
      <c r="P88" s="70" t="s">
        <v>30</v>
      </c>
      <c r="Q88" s="70" t="b">
        <v>1</v>
      </c>
      <c r="R88" s="63"/>
      <c r="S88" s="52">
        <v>0.0</v>
      </c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</row>
    <row r="89">
      <c r="A89" s="52">
        <v>88.0</v>
      </c>
      <c r="B89" s="62">
        <v>45848.0</v>
      </c>
      <c r="C89" s="63"/>
      <c r="D89" s="63"/>
      <c r="E89" s="64" t="s">
        <v>164</v>
      </c>
      <c r="F89" s="64" t="s">
        <v>165</v>
      </c>
      <c r="G89" s="54">
        <f t="shared" si="1"/>
        <v>6</v>
      </c>
      <c r="H89" s="65">
        <v>6.0</v>
      </c>
      <c r="I89" s="66">
        <v>3600.0</v>
      </c>
      <c r="J89" s="67">
        <f t="shared" si="10"/>
        <v>21600</v>
      </c>
      <c r="K89" s="68">
        <v>0.5</v>
      </c>
      <c r="L89" s="58">
        <f t="shared" si="9"/>
        <v>5400</v>
      </c>
      <c r="M89" s="69">
        <v>6000.0</v>
      </c>
      <c r="N89" s="69"/>
      <c r="O89" s="64" t="s">
        <v>166</v>
      </c>
      <c r="P89" s="70" t="s">
        <v>30</v>
      </c>
      <c r="Q89" s="70" t="b">
        <v>1</v>
      </c>
      <c r="R89" s="63"/>
      <c r="S89" s="52">
        <v>0.0</v>
      </c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</row>
    <row r="90">
      <c r="A90" s="52">
        <v>89.0</v>
      </c>
      <c r="B90" s="62">
        <v>45848.0</v>
      </c>
      <c r="C90" s="63"/>
      <c r="D90" s="63"/>
      <c r="E90" s="64" t="s">
        <v>167</v>
      </c>
      <c r="F90" s="64" t="s">
        <v>168</v>
      </c>
      <c r="G90" s="54">
        <f t="shared" si="1"/>
        <v>12</v>
      </c>
      <c r="H90" s="65">
        <v>12.0</v>
      </c>
      <c r="I90" s="66">
        <v>1700.0</v>
      </c>
      <c r="J90" s="67">
        <f t="shared" si="10"/>
        <v>20400</v>
      </c>
      <c r="K90" s="68">
        <v>0.5</v>
      </c>
      <c r="L90" s="58">
        <f t="shared" si="9"/>
        <v>2550</v>
      </c>
      <c r="M90" s="69">
        <v>5000.0</v>
      </c>
      <c r="N90" s="69"/>
      <c r="O90" s="64" t="s">
        <v>169</v>
      </c>
      <c r="P90" s="70" t="s">
        <v>30</v>
      </c>
      <c r="Q90" s="70" t="b">
        <v>1</v>
      </c>
      <c r="R90" s="63"/>
      <c r="S90" s="52">
        <v>0.0</v>
      </c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</row>
    <row r="91">
      <c r="A91" s="52">
        <v>90.0</v>
      </c>
      <c r="B91" s="62">
        <v>45848.0</v>
      </c>
      <c r="C91" s="63"/>
      <c r="D91" s="63"/>
      <c r="E91" s="64" t="s">
        <v>167</v>
      </c>
      <c r="F91" s="64" t="s">
        <v>170</v>
      </c>
      <c r="G91" s="54">
        <f t="shared" si="1"/>
        <v>12</v>
      </c>
      <c r="H91" s="65">
        <v>12.0</v>
      </c>
      <c r="I91" s="66">
        <v>1700.0</v>
      </c>
      <c r="J91" s="67">
        <f t="shared" si="10"/>
        <v>20400</v>
      </c>
      <c r="K91" s="68">
        <v>0.5</v>
      </c>
      <c r="L91" s="58">
        <f t="shared" si="9"/>
        <v>2550</v>
      </c>
      <c r="M91" s="69">
        <v>5000.0</v>
      </c>
      <c r="N91" s="69"/>
      <c r="O91" s="64" t="s">
        <v>169</v>
      </c>
      <c r="P91" s="70" t="s">
        <v>30</v>
      </c>
      <c r="Q91" s="70" t="b">
        <v>1</v>
      </c>
      <c r="R91" s="63"/>
      <c r="S91" s="52">
        <v>0.0</v>
      </c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</row>
    <row r="92">
      <c r="A92" s="52">
        <v>91.0</v>
      </c>
      <c r="B92" s="62">
        <v>45848.0</v>
      </c>
      <c r="C92" s="63"/>
      <c r="D92" s="63"/>
      <c r="E92" s="64" t="s">
        <v>171</v>
      </c>
      <c r="F92" s="64" t="s">
        <v>172</v>
      </c>
      <c r="G92" s="54">
        <f t="shared" si="1"/>
        <v>6</v>
      </c>
      <c r="H92" s="65">
        <v>6.0</v>
      </c>
      <c r="I92" s="66">
        <v>4500.0</v>
      </c>
      <c r="J92" s="67">
        <f t="shared" si="10"/>
        <v>27000</v>
      </c>
      <c r="K92" s="68">
        <v>0.3</v>
      </c>
      <c r="L92" s="58">
        <f t="shared" si="9"/>
        <v>5850</v>
      </c>
      <c r="M92" s="69">
        <v>8500.0</v>
      </c>
      <c r="N92" s="69"/>
      <c r="O92" s="64" t="s">
        <v>173</v>
      </c>
      <c r="P92" s="70" t="s">
        <v>30</v>
      </c>
      <c r="Q92" s="70" t="b">
        <v>1</v>
      </c>
      <c r="R92" s="63"/>
      <c r="S92" s="52">
        <v>0.0</v>
      </c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</row>
    <row r="93">
      <c r="A93" s="52">
        <v>92.0</v>
      </c>
      <c r="B93" s="62">
        <v>45848.0</v>
      </c>
      <c r="C93" s="63"/>
      <c r="D93" s="63"/>
      <c r="E93" s="64" t="s">
        <v>174</v>
      </c>
      <c r="F93" s="64" t="s">
        <v>175</v>
      </c>
      <c r="G93" s="54">
        <f t="shared" si="1"/>
        <v>20</v>
      </c>
      <c r="H93" s="65">
        <v>20.0</v>
      </c>
      <c r="I93" s="66">
        <v>1750.0</v>
      </c>
      <c r="J93" s="67">
        <f t="shared" si="10"/>
        <v>35000</v>
      </c>
      <c r="K93" s="68">
        <v>0.3</v>
      </c>
      <c r="L93" s="58">
        <f t="shared" si="9"/>
        <v>2275</v>
      </c>
      <c r="M93" s="69">
        <v>5000.0</v>
      </c>
      <c r="N93" s="69"/>
      <c r="O93" s="64" t="s">
        <v>176</v>
      </c>
      <c r="P93" s="70" t="s">
        <v>30</v>
      </c>
      <c r="Q93" s="70" t="b">
        <v>1</v>
      </c>
      <c r="R93" s="63"/>
      <c r="S93" s="52">
        <v>0.0</v>
      </c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</row>
    <row r="94">
      <c r="A94" s="52">
        <v>93.0</v>
      </c>
      <c r="B94" s="62">
        <v>45850.0</v>
      </c>
      <c r="C94" s="63"/>
      <c r="D94" s="63"/>
      <c r="E94" s="64" t="s">
        <v>177</v>
      </c>
      <c r="F94" s="74" t="s">
        <v>178</v>
      </c>
      <c r="G94" s="54">
        <f t="shared" si="1"/>
        <v>24</v>
      </c>
      <c r="H94" s="75">
        <v>24.0</v>
      </c>
      <c r="I94" s="76">
        <v>4700.0</v>
      </c>
      <c r="J94" s="77">
        <f t="shared" si="10"/>
        <v>112800</v>
      </c>
      <c r="K94" s="78"/>
      <c r="L94" s="58"/>
      <c r="M94" s="80"/>
      <c r="N94" s="69"/>
      <c r="O94" s="64" t="s">
        <v>179</v>
      </c>
      <c r="P94" s="70" t="s">
        <v>30</v>
      </c>
      <c r="Q94" s="70" t="b">
        <v>1</v>
      </c>
      <c r="R94" s="63"/>
      <c r="S94" s="52">
        <v>0.0</v>
      </c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</row>
    <row r="95">
      <c r="A95" s="52">
        <v>94.0</v>
      </c>
      <c r="B95" s="62">
        <v>45854.0</v>
      </c>
      <c r="C95" s="63"/>
      <c r="D95" s="63"/>
      <c r="E95" s="64" t="s">
        <v>180</v>
      </c>
      <c r="F95" s="64" t="s">
        <v>181</v>
      </c>
      <c r="G95" s="54">
        <f t="shared" si="1"/>
        <v>4</v>
      </c>
      <c r="H95" s="65">
        <v>4.0</v>
      </c>
      <c r="I95" s="66">
        <v>14400.0</v>
      </c>
      <c r="J95" s="67">
        <f t="shared" si="10"/>
        <v>57600</v>
      </c>
      <c r="K95" s="68">
        <v>0.3</v>
      </c>
      <c r="L95" s="58">
        <f t="shared" ref="L95:L100" si="11">I95+((K95)*I95)</f>
        <v>18720</v>
      </c>
      <c r="M95" s="69">
        <v>25000.0</v>
      </c>
      <c r="N95" s="69"/>
      <c r="O95" s="64" t="s">
        <v>182</v>
      </c>
      <c r="P95" s="70" t="s">
        <v>30</v>
      </c>
      <c r="Q95" s="70" t="b">
        <v>1</v>
      </c>
      <c r="R95" s="81">
        <v>45861.0</v>
      </c>
      <c r="S95" s="52">
        <v>0.0</v>
      </c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</row>
    <row r="96">
      <c r="A96" s="52">
        <v>95.0</v>
      </c>
      <c r="B96" s="62">
        <v>45854.0</v>
      </c>
      <c r="C96" s="63"/>
      <c r="D96" s="63"/>
      <c r="E96" s="64" t="s">
        <v>180</v>
      </c>
      <c r="F96" s="64" t="s">
        <v>183</v>
      </c>
      <c r="G96" s="54">
        <f t="shared" si="1"/>
        <v>20</v>
      </c>
      <c r="H96" s="65">
        <v>10.0</v>
      </c>
      <c r="I96" s="66">
        <v>13500.0</v>
      </c>
      <c r="J96" s="67">
        <f t="shared" si="10"/>
        <v>270000</v>
      </c>
      <c r="K96" s="68">
        <v>0.3</v>
      </c>
      <c r="L96" s="58">
        <f t="shared" si="11"/>
        <v>17550</v>
      </c>
      <c r="M96" s="69">
        <v>24000.0</v>
      </c>
      <c r="N96" s="69"/>
      <c r="O96" s="64" t="s">
        <v>182</v>
      </c>
      <c r="P96" s="70" t="s">
        <v>30</v>
      </c>
      <c r="Q96" s="70" t="b">
        <v>1</v>
      </c>
      <c r="R96" s="81">
        <v>45861.0</v>
      </c>
      <c r="S96" s="52">
        <v>10.0</v>
      </c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</row>
    <row r="97">
      <c r="A97" s="52">
        <v>96.0</v>
      </c>
      <c r="B97" s="62">
        <v>45854.0</v>
      </c>
      <c r="C97" s="63"/>
      <c r="D97" s="63"/>
      <c r="E97" s="64" t="s">
        <v>180</v>
      </c>
      <c r="F97" s="64" t="s">
        <v>184</v>
      </c>
      <c r="G97" s="54">
        <f t="shared" si="1"/>
        <v>20</v>
      </c>
      <c r="H97" s="65">
        <v>10.0</v>
      </c>
      <c r="I97" s="66">
        <v>13500.0</v>
      </c>
      <c r="J97" s="67">
        <f t="shared" si="10"/>
        <v>270000</v>
      </c>
      <c r="K97" s="68">
        <v>0.3</v>
      </c>
      <c r="L97" s="58">
        <f t="shared" si="11"/>
        <v>17550</v>
      </c>
      <c r="M97" s="69">
        <v>24000.0</v>
      </c>
      <c r="N97" s="69"/>
      <c r="O97" s="64" t="s">
        <v>182</v>
      </c>
      <c r="P97" s="70" t="s">
        <v>30</v>
      </c>
      <c r="Q97" s="70" t="b">
        <v>1</v>
      </c>
      <c r="R97" s="81">
        <v>45861.0</v>
      </c>
      <c r="S97" s="52">
        <v>10.0</v>
      </c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</row>
    <row r="98">
      <c r="A98" s="52">
        <v>97.0</v>
      </c>
      <c r="B98" s="53">
        <v>45861.0</v>
      </c>
      <c r="C98" s="61"/>
      <c r="D98" s="61"/>
      <c r="E98" s="52" t="s">
        <v>185</v>
      </c>
      <c r="F98" s="52" t="s">
        <v>186</v>
      </c>
      <c r="G98" s="54">
        <f t="shared" si="1"/>
        <v>4</v>
      </c>
      <c r="H98" s="54">
        <v>4.0</v>
      </c>
      <c r="I98" s="55">
        <v>15200.0</v>
      </c>
      <c r="J98" s="56">
        <f t="shared" si="10"/>
        <v>60800</v>
      </c>
      <c r="K98" s="57">
        <v>0.3</v>
      </c>
      <c r="L98" s="58">
        <f t="shared" si="11"/>
        <v>19760</v>
      </c>
      <c r="M98" s="59">
        <v>25000.0</v>
      </c>
      <c r="N98" s="59"/>
      <c r="O98" s="64" t="s">
        <v>182</v>
      </c>
      <c r="P98" s="60" t="s">
        <v>30</v>
      </c>
      <c r="Q98" s="70" t="b">
        <v>1</v>
      </c>
      <c r="R98" s="82">
        <v>45875.0</v>
      </c>
      <c r="S98" s="52">
        <v>0.0</v>
      </c>
    </row>
    <row r="99">
      <c r="A99" s="52">
        <v>98.0</v>
      </c>
      <c r="B99" s="53">
        <v>45861.0</v>
      </c>
      <c r="C99" s="61"/>
      <c r="D99" s="61"/>
      <c r="E99" s="52" t="s">
        <v>185</v>
      </c>
      <c r="F99" s="52" t="s">
        <v>187</v>
      </c>
      <c r="G99" s="54">
        <f t="shared" si="1"/>
        <v>4</v>
      </c>
      <c r="H99" s="54">
        <v>4.0</v>
      </c>
      <c r="I99" s="55">
        <v>14100.0</v>
      </c>
      <c r="J99" s="56">
        <f t="shared" si="10"/>
        <v>56400</v>
      </c>
      <c r="K99" s="57">
        <v>0.3</v>
      </c>
      <c r="L99" s="58">
        <f t="shared" si="11"/>
        <v>18330</v>
      </c>
      <c r="M99" s="59">
        <v>25000.0</v>
      </c>
      <c r="N99" s="59"/>
      <c r="O99" s="64" t="s">
        <v>182</v>
      </c>
      <c r="P99" s="60" t="s">
        <v>30</v>
      </c>
      <c r="Q99" s="70" t="b">
        <v>1</v>
      </c>
      <c r="R99" s="82">
        <v>45875.0</v>
      </c>
      <c r="S99" s="52">
        <v>0.0</v>
      </c>
    </row>
    <row r="100">
      <c r="A100" s="52">
        <v>99.0</v>
      </c>
      <c r="B100" s="53">
        <v>45861.0</v>
      </c>
      <c r="C100" s="61"/>
      <c r="D100" s="61"/>
      <c r="E100" s="52" t="s">
        <v>185</v>
      </c>
      <c r="F100" s="52" t="s">
        <v>188</v>
      </c>
      <c r="G100" s="54">
        <f t="shared" si="1"/>
        <v>15</v>
      </c>
      <c r="H100" s="54">
        <v>5.0</v>
      </c>
      <c r="I100" s="55">
        <v>13500.0</v>
      </c>
      <c r="J100" s="56">
        <f t="shared" si="10"/>
        <v>202500</v>
      </c>
      <c r="K100" s="57">
        <v>0.3</v>
      </c>
      <c r="L100" s="58">
        <f t="shared" si="11"/>
        <v>17550</v>
      </c>
      <c r="M100" s="59">
        <v>24000.0</v>
      </c>
      <c r="N100" s="59"/>
      <c r="O100" s="64" t="s">
        <v>182</v>
      </c>
      <c r="P100" s="60" t="s">
        <v>30</v>
      </c>
      <c r="Q100" s="70" t="b">
        <v>1</v>
      </c>
      <c r="R100" s="82">
        <v>45875.0</v>
      </c>
      <c r="S100" s="52">
        <v>10.0</v>
      </c>
    </row>
    <row r="101">
      <c r="A101" s="52">
        <v>100.0</v>
      </c>
      <c r="B101" s="53">
        <v>45861.0</v>
      </c>
      <c r="C101" s="61"/>
      <c r="D101" s="61"/>
      <c r="E101" s="61"/>
      <c r="F101" s="52" t="s">
        <v>189</v>
      </c>
      <c r="G101" s="54">
        <f t="shared" si="1"/>
        <v>10</v>
      </c>
      <c r="H101" s="54">
        <v>10.0</v>
      </c>
      <c r="I101" s="55">
        <v>22000.0</v>
      </c>
      <c r="J101" s="56">
        <f t="shared" si="10"/>
        <v>220000</v>
      </c>
      <c r="K101" s="57">
        <v>0.23</v>
      </c>
      <c r="L101" s="58">
        <v>26000.0</v>
      </c>
      <c r="M101" s="59">
        <v>27000.0</v>
      </c>
      <c r="N101" s="59"/>
      <c r="O101" s="64" t="s">
        <v>182</v>
      </c>
      <c r="P101" s="60" t="s">
        <v>30</v>
      </c>
      <c r="Q101" s="70" t="b">
        <v>1</v>
      </c>
      <c r="R101" s="82">
        <v>45869.0</v>
      </c>
      <c r="S101" s="52">
        <v>0.0</v>
      </c>
    </row>
    <row r="102">
      <c r="A102" s="52">
        <v>101.0</v>
      </c>
      <c r="B102" s="53">
        <v>45861.0</v>
      </c>
      <c r="C102" s="61"/>
      <c r="D102" s="61"/>
      <c r="E102" s="61"/>
      <c r="F102" s="52" t="s">
        <v>190</v>
      </c>
      <c r="G102" s="54">
        <f t="shared" si="1"/>
        <v>10</v>
      </c>
      <c r="H102" s="54">
        <v>10.0</v>
      </c>
      <c r="I102" s="55">
        <v>37000.0</v>
      </c>
      <c r="J102" s="56">
        <f t="shared" si="10"/>
        <v>370000</v>
      </c>
      <c r="K102" s="57">
        <v>0.23</v>
      </c>
      <c r="L102" s="58">
        <v>43000.0</v>
      </c>
      <c r="M102" s="59">
        <v>44000.0</v>
      </c>
      <c r="N102" s="59"/>
      <c r="O102" s="64" t="s">
        <v>182</v>
      </c>
      <c r="P102" s="60" t="s">
        <v>30</v>
      </c>
      <c r="Q102" s="70" t="b">
        <v>1</v>
      </c>
      <c r="R102" s="82">
        <v>45869.0</v>
      </c>
      <c r="S102" s="52">
        <v>0.0</v>
      </c>
    </row>
    <row r="103">
      <c r="A103" s="52">
        <v>102.0</v>
      </c>
      <c r="B103" s="53">
        <v>45861.0</v>
      </c>
      <c r="C103" s="61"/>
      <c r="D103" s="61"/>
      <c r="E103" s="61"/>
      <c r="F103" s="52" t="s">
        <v>191</v>
      </c>
      <c r="G103" s="54">
        <f t="shared" si="1"/>
        <v>5</v>
      </c>
      <c r="H103" s="54">
        <v>5.0</v>
      </c>
      <c r="I103" s="55">
        <v>58000.0</v>
      </c>
      <c r="J103" s="56">
        <f t="shared" si="10"/>
        <v>290000</v>
      </c>
      <c r="K103" s="57">
        <v>0.3</v>
      </c>
      <c r="L103" s="58">
        <v>73000.0</v>
      </c>
      <c r="M103" s="59">
        <v>74000.0</v>
      </c>
      <c r="N103" s="59"/>
      <c r="O103" s="64" t="s">
        <v>182</v>
      </c>
      <c r="P103" s="60" t="s">
        <v>30</v>
      </c>
      <c r="Q103" s="70" t="b">
        <v>1</v>
      </c>
      <c r="R103" s="82">
        <v>45869.0</v>
      </c>
      <c r="S103" s="52">
        <v>0.0</v>
      </c>
    </row>
    <row r="104">
      <c r="A104" s="52">
        <v>103.0</v>
      </c>
      <c r="B104" s="53">
        <v>45861.0</v>
      </c>
      <c r="C104" s="61"/>
      <c r="D104" s="61"/>
      <c r="E104" s="61"/>
      <c r="F104" s="52" t="s">
        <v>192</v>
      </c>
      <c r="G104" s="54">
        <f t="shared" si="1"/>
        <v>20</v>
      </c>
      <c r="H104" s="54">
        <v>20.0</v>
      </c>
      <c r="I104" s="55">
        <v>21500.0</v>
      </c>
      <c r="J104" s="56">
        <f t="shared" si="10"/>
        <v>430000</v>
      </c>
      <c r="K104" s="57">
        <v>0.2</v>
      </c>
      <c r="L104" s="58">
        <f t="shared" ref="L104:L117" si="12">I104+((K104)*I104)</f>
        <v>25800</v>
      </c>
      <c r="M104" s="59">
        <v>30000.0</v>
      </c>
      <c r="N104" s="59"/>
      <c r="O104" s="64" t="s">
        <v>182</v>
      </c>
      <c r="P104" s="60" t="s">
        <v>30</v>
      </c>
      <c r="Q104" s="70" t="b">
        <v>1</v>
      </c>
      <c r="R104" s="82">
        <v>45869.0</v>
      </c>
      <c r="S104" s="52">
        <v>0.0</v>
      </c>
    </row>
    <row r="105">
      <c r="A105" s="52">
        <v>104.0</v>
      </c>
      <c r="B105" s="53">
        <v>45861.0</v>
      </c>
      <c r="C105" s="61"/>
      <c r="D105" s="61"/>
      <c r="E105" s="61"/>
      <c r="F105" s="52" t="s">
        <v>193</v>
      </c>
      <c r="G105" s="54">
        <f t="shared" si="1"/>
        <v>10</v>
      </c>
      <c r="H105" s="54">
        <v>10.0</v>
      </c>
      <c r="I105" s="55">
        <v>28500.0</v>
      </c>
      <c r="J105" s="56">
        <f t="shared" si="10"/>
        <v>285000</v>
      </c>
      <c r="K105" s="57">
        <v>0.2</v>
      </c>
      <c r="L105" s="58">
        <f t="shared" si="12"/>
        <v>34200</v>
      </c>
      <c r="M105" s="59">
        <v>28500.0</v>
      </c>
      <c r="N105" s="59"/>
      <c r="O105" s="64" t="s">
        <v>182</v>
      </c>
      <c r="P105" s="60" t="s">
        <v>30</v>
      </c>
      <c r="Q105" s="70" t="b">
        <v>1</v>
      </c>
      <c r="R105" s="82">
        <v>45869.0</v>
      </c>
      <c r="S105" s="52">
        <v>0.0</v>
      </c>
    </row>
    <row r="106">
      <c r="A106" s="52">
        <v>105.0</v>
      </c>
      <c r="B106" s="53">
        <v>45861.0</v>
      </c>
      <c r="C106" s="61"/>
      <c r="D106" s="61"/>
      <c r="E106" s="61"/>
      <c r="F106" s="52" t="s">
        <v>194</v>
      </c>
      <c r="G106" s="54">
        <f t="shared" si="1"/>
        <v>10</v>
      </c>
      <c r="H106" s="54">
        <v>10.0</v>
      </c>
      <c r="I106" s="55">
        <v>39000.0</v>
      </c>
      <c r="J106" s="56">
        <f t="shared" si="10"/>
        <v>390000</v>
      </c>
      <c r="K106" s="57">
        <v>0.1</v>
      </c>
      <c r="L106" s="58">
        <f t="shared" si="12"/>
        <v>42900</v>
      </c>
      <c r="M106" s="59">
        <v>51500.0</v>
      </c>
      <c r="N106" s="59"/>
      <c r="O106" s="64" t="s">
        <v>182</v>
      </c>
      <c r="P106" s="60" t="s">
        <v>30</v>
      </c>
      <c r="Q106" s="70" t="b">
        <v>1</v>
      </c>
      <c r="R106" s="82">
        <v>45869.0</v>
      </c>
      <c r="S106" s="52">
        <v>0.0</v>
      </c>
    </row>
    <row r="107">
      <c r="A107" s="52">
        <v>106.0</v>
      </c>
      <c r="B107" s="53">
        <v>45861.0</v>
      </c>
      <c r="C107" s="61"/>
      <c r="D107" s="61"/>
      <c r="E107" s="61"/>
      <c r="F107" s="52" t="s">
        <v>195</v>
      </c>
      <c r="G107" s="54">
        <f t="shared" si="1"/>
        <v>10</v>
      </c>
      <c r="H107" s="54">
        <v>10.0</v>
      </c>
      <c r="I107" s="55">
        <v>85000.0</v>
      </c>
      <c r="J107" s="56">
        <f t="shared" si="10"/>
        <v>850000</v>
      </c>
      <c r="K107" s="57">
        <v>0.1</v>
      </c>
      <c r="L107" s="58">
        <f t="shared" si="12"/>
        <v>93500</v>
      </c>
      <c r="M107" s="59">
        <v>110500.0</v>
      </c>
      <c r="N107" s="59"/>
      <c r="O107" s="64" t="s">
        <v>182</v>
      </c>
      <c r="P107" s="60" t="s">
        <v>30</v>
      </c>
      <c r="Q107" s="70" t="b">
        <v>1</v>
      </c>
      <c r="R107" s="82">
        <v>45869.0</v>
      </c>
      <c r="S107" s="52">
        <v>0.0</v>
      </c>
    </row>
    <row r="108">
      <c r="A108" s="52">
        <v>107.0</v>
      </c>
      <c r="B108" s="53">
        <v>45861.0</v>
      </c>
      <c r="C108" s="61"/>
      <c r="D108" s="61"/>
      <c r="E108" s="61"/>
      <c r="F108" s="52" t="s">
        <v>196</v>
      </c>
      <c r="G108" s="54">
        <f t="shared" si="1"/>
        <v>12</v>
      </c>
      <c r="H108" s="54">
        <v>12.0</v>
      </c>
      <c r="I108" s="55">
        <v>39000.0</v>
      </c>
      <c r="J108" s="56">
        <f t="shared" si="10"/>
        <v>468000</v>
      </c>
      <c r="K108" s="57">
        <v>0.1</v>
      </c>
      <c r="L108" s="58">
        <f t="shared" si="12"/>
        <v>42900</v>
      </c>
      <c r="M108" s="59"/>
      <c r="N108" s="59"/>
      <c r="O108" s="64"/>
      <c r="P108" s="60"/>
      <c r="Q108" s="70" t="b">
        <v>0</v>
      </c>
      <c r="R108" s="82"/>
      <c r="S108" s="52">
        <v>0.0</v>
      </c>
    </row>
    <row r="109">
      <c r="A109" s="52">
        <v>108.0</v>
      </c>
      <c r="B109" s="53">
        <v>45861.0</v>
      </c>
      <c r="C109" s="61"/>
      <c r="D109" s="61"/>
      <c r="E109" s="61"/>
      <c r="F109" s="52" t="s">
        <v>197</v>
      </c>
      <c r="G109" s="54">
        <f t="shared" si="1"/>
        <v>10</v>
      </c>
      <c r="H109" s="54">
        <v>10.0</v>
      </c>
      <c r="I109" s="55">
        <v>24000.0</v>
      </c>
      <c r="J109" s="56">
        <f t="shared" si="10"/>
        <v>240000</v>
      </c>
      <c r="K109" s="57">
        <v>0.1</v>
      </c>
      <c r="L109" s="58">
        <f t="shared" si="12"/>
        <v>26400</v>
      </c>
      <c r="M109" s="59"/>
      <c r="N109" s="59"/>
      <c r="O109" s="64"/>
      <c r="P109" s="60"/>
      <c r="Q109" s="70" t="b">
        <v>0</v>
      </c>
      <c r="R109" s="82"/>
      <c r="S109" s="52">
        <v>0.0</v>
      </c>
    </row>
    <row r="110">
      <c r="A110" s="52">
        <v>109.0</v>
      </c>
      <c r="B110" s="53">
        <v>45861.0</v>
      </c>
      <c r="C110" s="61"/>
      <c r="D110" s="61"/>
      <c r="E110" s="61"/>
      <c r="F110" s="52" t="s">
        <v>198</v>
      </c>
      <c r="G110" s="54">
        <f t="shared" si="1"/>
        <v>25</v>
      </c>
      <c r="H110" s="54">
        <v>25.0</v>
      </c>
      <c r="I110" s="55">
        <v>9600.0</v>
      </c>
      <c r="J110" s="56">
        <f t="shared" si="10"/>
        <v>240000</v>
      </c>
      <c r="K110" s="57">
        <v>0.1</v>
      </c>
      <c r="L110" s="58">
        <f t="shared" si="12"/>
        <v>10560</v>
      </c>
      <c r="M110" s="59"/>
      <c r="N110" s="59"/>
      <c r="O110" s="64"/>
      <c r="P110" s="60"/>
      <c r="Q110" s="70" t="b">
        <v>0</v>
      </c>
      <c r="R110" s="82"/>
      <c r="S110" s="52">
        <v>0.0</v>
      </c>
    </row>
    <row r="111">
      <c r="A111" s="52">
        <v>110.0</v>
      </c>
      <c r="B111" s="53">
        <v>45862.0</v>
      </c>
      <c r="C111" s="61"/>
      <c r="D111" s="61"/>
      <c r="E111" s="61"/>
      <c r="F111" s="52" t="s">
        <v>199</v>
      </c>
      <c r="G111" s="54">
        <f t="shared" si="1"/>
        <v>1</v>
      </c>
      <c r="H111" s="54">
        <v>1.0</v>
      </c>
      <c r="I111" s="55">
        <v>33580.0</v>
      </c>
      <c r="J111" s="56">
        <f t="shared" si="10"/>
        <v>33580</v>
      </c>
      <c r="K111" s="57">
        <v>0.700000000000004</v>
      </c>
      <c r="L111" s="58">
        <f t="shared" si="12"/>
        <v>57086</v>
      </c>
      <c r="M111" s="59">
        <v>65000.0</v>
      </c>
      <c r="N111" s="59"/>
      <c r="O111" s="64" t="s">
        <v>200</v>
      </c>
      <c r="P111" s="60" t="s">
        <v>30</v>
      </c>
      <c r="Q111" s="70" t="b">
        <v>1</v>
      </c>
      <c r="R111" s="61"/>
      <c r="S111" s="52">
        <v>0.0</v>
      </c>
    </row>
    <row r="112">
      <c r="A112" s="52">
        <v>111.0</v>
      </c>
      <c r="B112" s="53">
        <v>45862.0</v>
      </c>
      <c r="C112" s="61"/>
      <c r="D112" s="61"/>
      <c r="E112" s="61"/>
      <c r="F112" s="52" t="s">
        <v>201</v>
      </c>
      <c r="G112" s="54">
        <f t="shared" si="1"/>
        <v>2</v>
      </c>
      <c r="H112" s="54">
        <v>2.0</v>
      </c>
      <c r="I112" s="55">
        <v>20000.0</v>
      </c>
      <c r="J112" s="56">
        <f t="shared" si="10"/>
        <v>40000</v>
      </c>
      <c r="K112" s="57">
        <v>0.700000000000004</v>
      </c>
      <c r="L112" s="58">
        <f t="shared" si="12"/>
        <v>34000</v>
      </c>
      <c r="M112" s="59">
        <v>45000.0</v>
      </c>
      <c r="N112" s="59"/>
      <c r="O112" s="52" t="s">
        <v>202</v>
      </c>
      <c r="P112" s="60" t="s">
        <v>30</v>
      </c>
      <c r="Q112" s="70" t="b">
        <v>1</v>
      </c>
      <c r="R112" s="61"/>
      <c r="S112" s="52">
        <v>0.0</v>
      </c>
    </row>
    <row r="113">
      <c r="A113" s="52">
        <v>112.0</v>
      </c>
      <c r="B113" s="53">
        <v>45862.0</v>
      </c>
      <c r="C113" s="61"/>
      <c r="D113" s="61"/>
      <c r="E113" s="61"/>
      <c r="F113" s="52" t="s">
        <v>203</v>
      </c>
      <c r="G113" s="54">
        <f t="shared" si="1"/>
        <v>100</v>
      </c>
      <c r="H113" s="54">
        <v>100.0</v>
      </c>
      <c r="I113" s="55">
        <v>250.0</v>
      </c>
      <c r="J113" s="56">
        <f t="shared" si="10"/>
        <v>25000</v>
      </c>
      <c r="K113" s="57">
        <v>1.0</v>
      </c>
      <c r="L113" s="58">
        <f t="shared" si="12"/>
        <v>500</v>
      </c>
      <c r="M113" s="59">
        <v>700.0</v>
      </c>
      <c r="N113" s="59"/>
      <c r="O113" s="52" t="s">
        <v>204</v>
      </c>
      <c r="P113" s="60" t="s">
        <v>30</v>
      </c>
      <c r="Q113" s="70" t="b">
        <v>1</v>
      </c>
      <c r="R113" s="61"/>
      <c r="S113" s="52">
        <v>0.0</v>
      </c>
    </row>
    <row r="114">
      <c r="A114" s="52">
        <v>113.0</v>
      </c>
      <c r="B114" s="53">
        <v>45862.0</v>
      </c>
      <c r="C114" s="61"/>
      <c r="D114" s="61"/>
      <c r="E114" s="61"/>
      <c r="F114" s="52" t="s">
        <v>205</v>
      </c>
      <c r="G114" s="54">
        <f t="shared" si="1"/>
        <v>100</v>
      </c>
      <c r="H114" s="54">
        <v>100.0</v>
      </c>
      <c r="I114" s="55">
        <v>300.0</v>
      </c>
      <c r="J114" s="56">
        <f t="shared" si="10"/>
        <v>30000</v>
      </c>
      <c r="K114" s="57">
        <v>1.0</v>
      </c>
      <c r="L114" s="58">
        <f t="shared" si="12"/>
        <v>600</v>
      </c>
      <c r="M114" s="59">
        <v>800.0</v>
      </c>
      <c r="N114" s="59"/>
      <c r="O114" s="52" t="s">
        <v>204</v>
      </c>
      <c r="P114" s="60" t="s">
        <v>30</v>
      </c>
      <c r="Q114" s="70" t="b">
        <v>1</v>
      </c>
      <c r="R114" s="61"/>
      <c r="S114" s="52">
        <v>0.0</v>
      </c>
    </row>
    <row r="115">
      <c r="A115" s="52">
        <v>114.0</v>
      </c>
      <c r="B115" s="53">
        <v>45862.0</v>
      </c>
      <c r="C115" s="61"/>
      <c r="D115" s="61"/>
      <c r="E115" s="61"/>
      <c r="F115" s="52" t="s">
        <v>206</v>
      </c>
      <c r="G115" s="54">
        <f t="shared" si="1"/>
        <v>100</v>
      </c>
      <c r="H115" s="54">
        <v>100.0</v>
      </c>
      <c r="I115" s="55">
        <v>170.0</v>
      </c>
      <c r="J115" s="56">
        <f t="shared" si="10"/>
        <v>17000</v>
      </c>
      <c r="K115" s="57">
        <v>1.0</v>
      </c>
      <c r="L115" s="58">
        <f t="shared" si="12"/>
        <v>340</v>
      </c>
      <c r="M115" s="59">
        <v>500.0</v>
      </c>
      <c r="N115" s="59"/>
      <c r="O115" s="52" t="s">
        <v>204</v>
      </c>
      <c r="P115" s="60" t="s">
        <v>30</v>
      </c>
      <c r="Q115" s="70" t="b">
        <v>1</v>
      </c>
      <c r="R115" s="61"/>
      <c r="S115" s="52">
        <v>0.0</v>
      </c>
    </row>
    <row r="116">
      <c r="A116" s="52">
        <v>115.0</v>
      </c>
      <c r="B116" s="53">
        <v>45862.0</v>
      </c>
      <c r="C116" s="61"/>
      <c r="D116" s="61"/>
      <c r="E116" s="61"/>
      <c r="F116" s="52" t="s">
        <v>207</v>
      </c>
      <c r="G116" s="54">
        <f t="shared" si="1"/>
        <v>100</v>
      </c>
      <c r="H116" s="54">
        <v>100.0</v>
      </c>
      <c r="I116" s="55">
        <v>220.0</v>
      </c>
      <c r="J116" s="56">
        <f t="shared" si="10"/>
        <v>22000</v>
      </c>
      <c r="K116" s="57">
        <v>1.0</v>
      </c>
      <c r="L116" s="58">
        <f t="shared" si="12"/>
        <v>440</v>
      </c>
      <c r="M116" s="59">
        <v>600.0</v>
      </c>
      <c r="N116" s="59"/>
      <c r="O116" s="52" t="s">
        <v>204</v>
      </c>
      <c r="P116" s="60" t="s">
        <v>30</v>
      </c>
      <c r="Q116" s="70" t="b">
        <v>1</v>
      </c>
      <c r="R116" s="61"/>
      <c r="S116" s="52">
        <v>0.0</v>
      </c>
    </row>
    <row r="117">
      <c r="A117" s="52">
        <v>116.0</v>
      </c>
      <c r="B117" s="53">
        <v>45862.0</v>
      </c>
      <c r="C117" s="61"/>
      <c r="D117" s="61"/>
      <c r="E117" s="61"/>
      <c r="F117" s="52" t="s">
        <v>208</v>
      </c>
      <c r="G117" s="54">
        <f t="shared" si="1"/>
        <v>100</v>
      </c>
      <c r="H117" s="54">
        <v>100.0</v>
      </c>
      <c r="I117" s="55">
        <v>150.0</v>
      </c>
      <c r="J117" s="56">
        <f t="shared" si="10"/>
        <v>15000</v>
      </c>
      <c r="K117" s="57">
        <v>1.0</v>
      </c>
      <c r="L117" s="58">
        <f t="shared" si="12"/>
        <v>300</v>
      </c>
      <c r="M117" s="59">
        <v>400.0</v>
      </c>
      <c r="N117" s="59"/>
      <c r="O117" s="52" t="s">
        <v>204</v>
      </c>
      <c r="P117" s="60" t="s">
        <v>30</v>
      </c>
      <c r="Q117" s="70" t="b">
        <v>1</v>
      </c>
      <c r="R117" s="61"/>
      <c r="S117" s="52">
        <v>0.0</v>
      </c>
    </row>
    <row r="118">
      <c r="A118" s="52">
        <v>117.0</v>
      </c>
      <c r="B118" s="53">
        <v>45869.0</v>
      </c>
      <c r="C118" s="61"/>
      <c r="D118" s="61"/>
      <c r="E118" s="61"/>
      <c r="F118" s="52" t="s">
        <v>209</v>
      </c>
      <c r="G118" s="54">
        <f t="shared" si="1"/>
        <v>570</v>
      </c>
      <c r="H118" s="54">
        <v>300.0</v>
      </c>
      <c r="I118" s="55">
        <v>8000.0</v>
      </c>
      <c r="J118" s="56">
        <f t="shared" si="10"/>
        <v>4560000</v>
      </c>
      <c r="K118" s="57">
        <v>0.37</v>
      </c>
      <c r="L118" s="58">
        <v>12000.0</v>
      </c>
      <c r="M118" s="59">
        <v>12000.0</v>
      </c>
      <c r="N118" s="59"/>
      <c r="O118" s="52"/>
      <c r="P118" s="60"/>
      <c r="Q118" s="70" t="b">
        <v>0</v>
      </c>
      <c r="R118" s="61"/>
      <c r="S118" s="52">
        <v>270.0</v>
      </c>
    </row>
    <row r="119">
      <c r="A119" s="52">
        <v>118.0</v>
      </c>
      <c r="B119" s="53">
        <v>45875.0</v>
      </c>
      <c r="C119" s="61"/>
      <c r="D119" s="61"/>
      <c r="E119" s="61"/>
      <c r="F119" s="52" t="s">
        <v>210</v>
      </c>
      <c r="G119" s="54">
        <f t="shared" si="1"/>
        <v>5</v>
      </c>
      <c r="H119" s="54">
        <v>5.0</v>
      </c>
      <c r="I119" s="55">
        <v>67000.0</v>
      </c>
      <c r="J119" s="56">
        <f t="shared" si="10"/>
        <v>335000</v>
      </c>
      <c r="K119" s="57">
        <v>0.05</v>
      </c>
      <c r="L119" s="58">
        <f t="shared" ref="L119:L126" si="13">I119+((K119)*I119)</f>
        <v>70350</v>
      </c>
      <c r="M119" s="59">
        <v>69000.0</v>
      </c>
      <c r="N119" s="59"/>
      <c r="O119" s="52" t="s">
        <v>211</v>
      </c>
      <c r="P119" s="60" t="s">
        <v>30</v>
      </c>
      <c r="Q119" s="70" t="b">
        <v>1</v>
      </c>
      <c r="R119" s="61"/>
      <c r="S119" s="52">
        <v>0.0</v>
      </c>
    </row>
    <row r="120">
      <c r="A120" s="52">
        <v>119.0</v>
      </c>
      <c r="B120" s="53">
        <v>45875.0</v>
      </c>
      <c r="C120" s="61"/>
      <c r="D120" s="61"/>
      <c r="E120" s="61"/>
      <c r="F120" s="52" t="s">
        <v>212</v>
      </c>
      <c r="G120" s="54">
        <f t="shared" si="1"/>
        <v>10</v>
      </c>
      <c r="H120" s="54">
        <v>10.0</v>
      </c>
      <c r="I120" s="55">
        <v>56500.0</v>
      </c>
      <c r="J120" s="56">
        <f t="shared" si="10"/>
        <v>565000</v>
      </c>
      <c r="K120" s="57">
        <v>0.05</v>
      </c>
      <c r="L120" s="58">
        <f t="shared" si="13"/>
        <v>59325</v>
      </c>
      <c r="M120" s="59">
        <v>57500.0</v>
      </c>
      <c r="N120" s="59"/>
      <c r="O120" s="52" t="s">
        <v>211</v>
      </c>
      <c r="P120" s="60" t="s">
        <v>30</v>
      </c>
      <c r="Q120" s="70" t="b">
        <v>1</v>
      </c>
      <c r="R120" s="61"/>
      <c r="S120" s="52">
        <v>0.0</v>
      </c>
    </row>
    <row r="121">
      <c r="A121" s="52">
        <v>120.0</v>
      </c>
      <c r="B121" s="53">
        <v>45875.0</v>
      </c>
      <c r="C121" s="61"/>
      <c r="D121" s="61"/>
      <c r="E121" s="61"/>
      <c r="F121" s="52" t="s">
        <v>213</v>
      </c>
      <c r="G121" s="54">
        <f t="shared" si="1"/>
        <v>10</v>
      </c>
      <c r="H121" s="54">
        <v>10.0</v>
      </c>
      <c r="I121" s="55">
        <v>38500.0</v>
      </c>
      <c r="J121" s="56">
        <f t="shared" si="10"/>
        <v>385000</v>
      </c>
      <c r="K121" s="57">
        <v>0.05</v>
      </c>
      <c r="L121" s="58">
        <f t="shared" si="13"/>
        <v>40425</v>
      </c>
      <c r="M121" s="59">
        <v>39500.0</v>
      </c>
      <c r="N121" s="59"/>
      <c r="O121" s="52" t="s">
        <v>211</v>
      </c>
      <c r="P121" s="60" t="s">
        <v>30</v>
      </c>
      <c r="Q121" s="70" t="b">
        <v>1</v>
      </c>
      <c r="R121" s="61"/>
      <c r="S121" s="52">
        <v>0.0</v>
      </c>
    </row>
    <row r="122">
      <c r="A122" s="52">
        <v>121.0</v>
      </c>
      <c r="B122" s="53">
        <v>45880.0</v>
      </c>
      <c r="C122" s="61"/>
      <c r="D122" s="61"/>
      <c r="E122" s="61"/>
      <c r="F122" s="52" t="s">
        <v>214</v>
      </c>
      <c r="G122" s="54">
        <f t="shared" si="1"/>
        <v>105</v>
      </c>
      <c r="H122" s="54">
        <v>50.0</v>
      </c>
      <c r="I122" s="55">
        <v>55000.0</v>
      </c>
      <c r="J122" s="56">
        <f t="shared" si="10"/>
        <v>5775000</v>
      </c>
      <c r="K122" s="83">
        <v>0.027</v>
      </c>
      <c r="L122" s="58">
        <f t="shared" si="13"/>
        <v>56485</v>
      </c>
      <c r="M122" s="59">
        <v>56500.0</v>
      </c>
      <c r="N122" s="59"/>
      <c r="O122" s="52" t="s">
        <v>215</v>
      </c>
      <c r="P122" s="60" t="s">
        <v>30</v>
      </c>
      <c r="Q122" s="70" t="b">
        <v>1</v>
      </c>
      <c r="R122" s="61"/>
      <c r="S122" s="52">
        <v>55.0</v>
      </c>
    </row>
    <row r="123">
      <c r="A123" s="52">
        <v>122.0</v>
      </c>
      <c r="B123" s="53">
        <v>45880.0</v>
      </c>
      <c r="C123" s="61"/>
      <c r="D123" s="61"/>
      <c r="E123" s="61"/>
      <c r="F123" s="52" t="s">
        <v>216</v>
      </c>
      <c r="G123" s="54">
        <f t="shared" si="1"/>
        <v>100</v>
      </c>
      <c r="H123" s="54">
        <v>100.0</v>
      </c>
      <c r="I123" s="55">
        <v>17000.0</v>
      </c>
      <c r="J123" s="56">
        <f t="shared" si="10"/>
        <v>1700000</v>
      </c>
      <c r="K123" s="57">
        <v>0.1</v>
      </c>
      <c r="L123" s="58">
        <f t="shared" si="13"/>
        <v>18700</v>
      </c>
      <c r="M123" s="59">
        <v>18500.0</v>
      </c>
      <c r="N123" s="59"/>
      <c r="O123" s="52"/>
      <c r="P123" s="60" t="s">
        <v>30</v>
      </c>
      <c r="Q123" s="70" t="b">
        <v>1</v>
      </c>
      <c r="R123" s="61"/>
      <c r="S123" s="52">
        <v>0.0</v>
      </c>
    </row>
    <row r="124">
      <c r="A124" s="52">
        <v>123.0</v>
      </c>
      <c r="B124" s="53">
        <v>45881.0</v>
      </c>
      <c r="C124" s="61"/>
      <c r="D124" s="61"/>
      <c r="E124" s="61"/>
      <c r="F124" s="52" t="s">
        <v>217</v>
      </c>
      <c r="G124" s="54">
        <f t="shared" si="1"/>
        <v>1</v>
      </c>
      <c r="H124" s="54">
        <v>1.0</v>
      </c>
      <c r="I124" s="55">
        <v>1000000.0</v>
      </c>
      <c r="J124" s="56">
        <f t="shared" si="10"/>
        <v>1000000</v>
      </c>
      <c r="K124" s="57">
        <v>0.1</v>
      </c>
      <c r="L124" s="58">
        <f t="shared" si="13"/>
        <v>1100000</v>
      </c>
      <c r="M124" s="59"/>
      <c r="N124" s="59"/>
      <c r="O124" s="61"/>
      <c r="P124" s="60" t="s">
        <v>30</v>
      </c>
      <c r="Q124" s="70" t="b">
        <v>1</v>
      </c>
      <c r="R124" s="61"/>
      <c r="S124" s="52">
        <v>0.0</v>
      </c>
    </row>
    <row r="125">
      <c r="A125" s="52">
        <v>124.0</v>
      </c>
      <c r="B125" s="53">
        <v>45884.0</v>
      </c>
      <c r="C125" s="61"/>
      <c r="D125" s="61"/>
      <c r="E125" s="52" t="s">
        <v>218</v>
      </c>
      <c r="F125" s="52" t="s">
        <v>219</v>
      </c>
      <c r="G125" s="54">
        <f t="shared" si="1"/>
        <v>5</v>
      </c>
      <c r="H125" s="54">
        <v>5.0</v>
      </c>
      <c r="I125" s="55">
        <v>4125.0</v>
      </c>
      <c r="J125" s="56">
        <f t="shared" si="10"/>
        <v>20625</v>
      </c>
      <c r="K125" s="60">
        <v>100.0</v>
      </c>
      <c r="L125" s="58">
        <f t="shared" si="13"/>
        <v>416625</v>
      </c>
      <c r="M125" s="59">
        <v>8000.0</v>
      </c>
      <c r="N125" s="59"/>
      <c r="O125" s="52" t="s">
        <v>204</v>
      </c>
      <c r="P125" s="60" t="s">
        <v>30</v>
      </c>
      <c r="Q125" s="70" t="b">
        <v>1</v>
      </c>
      <c r="R125" s="61"/>
      <c r="S125" s="52">
        <v>0.0</v>
      </c>
    </row>
    <row r="126">
      <c r="A126" s="52">
        <v>125.0</v>
      </c>
      <c r="B126" s="53">
        <v>45884.0</v>
      </c>
      <c r="C126" s="61"/>
      <c r="D126" s="61"/>
      <c r="E126" s="52" t="s">
        <v>218</v>
      </c>
      <c r="F126" s="52" t="s">
        <v>220</v>
      </c>
      <c r="G126" s="54">
        <f t="shared" si="1"/>
        <v>5</v>
      </c>
      <c r="H126" s="54">
        <v>5.0</v>
      </c>
      <c r="I126" s="55">
        <v>5250.0</v>
      </c>
      <c r="J126" s="56">
        <f t="shared" si="10"/>
        <v>26250</v>
      </c>
      <c r="K126" s="57">
        <v>0.700000000000004</v>
      </c>
      <c r="L126" s="58">
        <f t="shared" si="13"/>
        <v>8925</v>
      </c>
      <c r="M126" s="59">
        <v>10000.0</v>
      </c>
      <c r="N126" s="59"/>
      <c r="O126" s="52" t="s">
        <v>204</v>
      </c>
      <c r="P126" s="60" t="s">
        <v>30</v>
      </c>
      <c r="Q126" s="70" t="b">
        <v>1</v>
      </c>
      <c r="R126" s="61"/>
      <c r="S126" s="52">
        <v>0.0</v>
      </c>
    </row>
    <row r="127">
      <c r="A127" s="52">
        <v>126.0</v>
      </c>
      <c r="B127" s="53">
        <v>45884.0</v>
      </c>
      <c r="C127" s="61"/>
      <c r="D127" s="61"/>
      <c r="E127" s="52" t="s">
        <v>218</v>
      </c>
      <c r="F127" s="52" t="s">
        <v>221</v>
      </c>
      <c r="G127" s="54">
        <f t="shared" si="1"/>
        <v>5</v>
      </c>
      <c r="H127" s="54">
        <v>5.0</v>
      </c>
      <c r="I127" s="55">
        <v>6750.0</v>
      </c>
      <c r="J127" s="56">
        <f t="shared" si="10"/>
        <v>33750</v>
      </c>
      <c r="K127" s="57">
        <v>0.700000000000004</v>
      </c>
      <c r="L127" s="58">
        <v>14000.0</v>
      </c>
      <c r="M127" s="59">
        <v>14000.0</v>
      </c>
      <c r="N127" s="59"/>
      <c r="O127" s="52" t="s">
        <v>204</v>
      </c>
      <c r="P127" s="60" t="s">
        <v>30</v>
      </c>
      <c r="Q127" s="70" t="b">
        <v>1</v>
      </c>
      <c r="R127" s="61"/>
      <c r="S127" s="52">
        <v>0.0</v>
      </c>
    </row>
    <row r="128">
      <c r="A128" s="52">
        <v>127.0</v>
      </c>
      <c r="B128" s="53">
        <v>45884.0</v>
      </c>
      <c r="C128" s="61"/>
      <c r="D128" s="61"/>
      <c r="E128" s="52" t="s">
        <v>218</v>
      </c>
      <c r="F128" s="52" t="s">
        <v>222</v>
      </c>
      <c r="G128" s="54">
        <f t="shared" si="1"/>
        <v>5</v>
      </c>
      <c r="H128" s="54">
        <v>5.0</v>
      </c>
      <c r="I128" s="55">
        <v>8100.0</v>
      </c>
      <c r="J128" s="56">
        <f t="shared" si="10"/>
        <v>40500</v>
      </c>
      <c r="K128" s="57">
        <v>0.700000000000004</v>
      </c>
      <c r="L128" s="58">
        <v>16000.0</v>
      </c>
      <c r="M128" s="59">
        <v>16000.0</v>
      </c>
      <c r="N128" s="59"/>
      <c r="O128" s="52" t="s">
        <v>204</v>
      </c>
      <c r="P128" s="60" t="s">
        <v>30</v>
      </c>
      <c r="Q128" s="70" t="b">
        <v>1</v>
      </c>
      <c r="R128" s="61"/>
      <c r="S128" s="52">
        <v>0.0</v>
      </c>
    </row>
    <row r="129">
      <c r="A129" s="52">
        <v>128.0</v>
      </c>
      <c r="B129" s="53">
        <v>45884.0</v>
      </c>
      <c r="C129" s="61"/>
      <c r="D129" s="61"/>
      <c r="E129" s="52" t="s">
        <v>218</v>
      </c>
      <c r="F129" s="52" t="s">
        <v>223</v>
      </c>
      <c r="G129" s="54">
        <f t="shared" si="1"/>
        <v>5</v>
      </c>
      <c r="H129" s="54">
        <v>5.0</v>
      </c>
      <c r="I129" s="55">
        <v>9750.0</v>
      </c>
      <c r="J129" s="56">
        <f t="shared" si="10"/>
        <v>48750</v>
      </c>
      <c r="K129" s="57">
        <v>0.700000000000004</v>
      </c>
      <c r="L129" s="58">
        <f t="shared" ref="L129:L157" si="14">I129+((K129)*I129)</f>
        <v>16575</v>
      </c>
      <c r="M129" s="59">
        <v>50000.0</v>
      </c>
      <c r="N129" s="59"/>
      <c r="O129" s="52" t="s">
        <v>204</v>
      </c>
      <c r="P129" s="60" t="s">
        <v>30</v>
      </c>
      <c r="Q129" s="70" t="b">
        <v>1</v>
      </c>
      <c r="R129" s="61"/>
      <c r="S129" s="52">
        <v>0.0</v>
      </c>
    </row>
    <row r="130">
      <c r="A130" s="52">
        <v>129.0</v>
      </c>
      <c r="B130" s="53">
        <v>45887.0</v>
      </c>
      <c r="C130" s="61"/>
      <c r="D130" s="61"/>
      <c r="E130" s="61"/>
      <c r="F130" s="52" t="s">
        <v>224</v>
      </c>
      <c r="G130" s="54">
        <f t="shared" si="1"/>
        <v>24</v>
      </c>
      <c r="H130" s="54">
        <v>24.0</v>
      </c>
      <c r="I130" s="55">
        <v>2600.0</v>
      </c>
      <c r="J130" s="56">
        <f t="shared" si="10"/>
        <v>62400</v>
      </c>
      <c r="K130" s="57">
        <v>0.5</v>
      </c>
      <c r="L130" s="58">
        <f t="shared" si="14"/>
        <v>3900</v>
      </c>
      <c r="M130" s="59">
        <v>3500.0</v>
      </c>
      <c r="N130" s="59"/>
      <c r="O130" s="52" t="s">
        <v>225</v>
      </c>
      <c r="P130" s="21"/>
      <c r="Q130" s="70" t="b">
        <v>1</v>
      </c>
      <c r="R130" s="61"/>
      <c r="S130" s="52">
        <v>0.0</v>
      </c>
    </row>
    <row r="131">
      <c r="A131" s="52">
        <v>130.0</v>
      </c>
      <c r="B131" s="53">
        <v>45890.0</v>
      </c>
      <c r="C131" s="61"/>
      <c r="D131" s="61"/>
      <c r="E131" s="61"/>
      <c r="F131" s="52" t="s">
        <v>226</v>
      </c>
      <c r="G131" s="54">
        <f t="shared" si="1"/>
        <v>5</v>
      </c>
      <c r="H131" s="54">
        <v>5.0</v>
      </c>
      <c r="I131" s="55">
        <v>17500.0</v>
      </c>
      <c r="J131" s="56">
        <f t="shared" si="10"/>
        <v>87500</v>
      </c>
      <c r="K131" s="57">
        <v>0.5</v>
      </c>
      <c r="L131" s="58">
        <f t="shared" si="14"/>
        <v>26250</v>
      </c>
      <c r="M131" s="59">
        <v>18500.0</v>
      </c>
      <c r="N131" s="59"/>
      <c r="O131" s="52" t="s">
        <v>227</v>
      </c>
      <c r="P131" s="21"/>
      <c r="Q131" s="70" t="b">
        <v>1</v>
      </c>
      <c r="R131" s="61"/>
      <c r="S131" s="52">
        <v>0.0</v>
      </c>
    </row>
    <row r="132">
      <c r="A132" s="52">
        <v>131.0</v>
      </c>
      <c r="B132" s="53">
        <v>45890.0</v>
      </c>
      <c r="C132" s="61"/>
      <c r="D132" s="61"/>
      <c r="E132" s="61"/>
      <c r="F132" s="52" t="s">
        <v>228</v>
      </c>
      <c r="G132" s="54">
        <f t="shared" si="1"/>
        <v>5</v>
      </c>
      <c r="H132" s="54">
        <v>5.0</v>
      </c>
      <c r="I132" s="55">
        <v>18500.0</v>
      </c>
      <c r="J132" s="56">
        <f t="shared" si="10"/>
        <v>92500</v>
      </c>
      <c r="K132" s="57">
        <v>0.5</v>
      </c>
      <c r="L132" s="58">
        <f t="shared" si="14"/>
        <v>27750</v>
      </c>
      <c r="M132" s="59">
        <v>18000.0</v>
      </c>
      <c r="N132" s="59"/>
      <c r="O132" s="52" t="s">
        <v>227</v>
      </c>
      <c r="P132" s="21"/>
      <c r="Q132" s="70" t="b">
        <v>1</v>
      </c>
      <c r="R132" s="61"/>
      <c r="S132" s="52">
        <v>0.0</v>
      </c>
    </row>
    <row r="133">
      <c r="A133" s="52">
        <v>132.0</v>
      </c>
      <c r="B133" s="53">
        <v>45890.0</v>
      </c>
      <c r="C133" s="61"/>
      <c r="D133" s="61"/>
      <c r="E133" s="61"/>
      <c r="F133" s="52" t="s">
        <v>229</v>
      </c>
      <c r="G133" s="54">
        <f t="shared" si="1"/>
        <v>5</v>
      </c>
      <c r="H133" s="54">
        <v>5.0</v>
      </c>
      <c r="I133" s="55">
        <v>16500.0</v>
      </c>
      <c r="J133" s="56">
        <f t="shared" si="10"/>
        <v>82500</v>
      </c>
      <c r="K133" s="57">
        <v>0.5</v>
      </c>
      <c r="L133" s="58">
        <f t="shared" si="14"/>
        <v>24750</v>
      </c>
      <c r="M133" s="59">
        <v>18000.0</v>
      </c>
      <c r="N133" s="59"/>
      <c r="O133" s="52" t="s">
        <v>227</v>
      </c>
      <c r="P133" s="21"/>
      <c r="Q133" s="70" t="b">
        <v>1</v>
      </c>
      <c r="R133" s="61"/>
      <c r="S133" s="52">
        <v>0.0</v>
      </c>
    </row>
    <row r="134">
      <c r="A134" s="52">
        <v>133.0</v>
      </c>
      <c r="B134" s="53">
        <v>45890.0</v>
      </c>
      <c r="C134" s="61"/>
      <c r="D134" s="61"/>
      <c r="E134" s="61"/>
      <c r="F134" s="52" t="s">
        <v>230</v>
      </c>
      <c r="G134" s="54">
        <f t="shared" si="1"/>
        <v>9</v>
      </c>
      <c r="H134" s="54">
        <v>9.0</v>
      </c>
      <c r="I134" s="55">
        <v>1200.0</v>
      </c>
      <c r="J134" s="56">
        <f t="shared" si="10"/>
        <v>10800</v>
      </c>
      <c r="K134" s="57">
        <v>0.700000000000004</v>
      </c>
      <c r="L134" s="58">
        <f t="shared" si="14"/>
        <v>2040</v>
      </c>
      <c r="M134" s="59">
        <v>3000.0</v>
      </c>
      <c r="N134" s="59"/>
      <c r="O134" s="52" t="s">
        <v>227</v>
      </c>
      <c r="P134" s="21"/>
      <c r="Q134" s="70" t="b">
        <v>1</v>
      </c>
      <c r="R134" s="61"/>
      <c r="S134" s="52">
        <v>0.0</v>
      </c>
    </row>
    <row r="135">
      <c r="A135" s="52">
        <v>134.0</v>
      </c>
      <c r="B135" s="53">
        <v>45901.0</v>
      </c>
      <c r="C135" s="61"/>
      <c r="D135" s="61"/>
      <c r="E135" s="52" t="s">
        <v>231</v>
      </c>
      <c r="F135" s="52" t="s">
        <v>232</v>
      </c>
      <c r="G135" s="54">
        <f t="shared" si="1"/>
        <v>5</v>
      </c>
      <c r="H135" s="54">
        <v>5.0</v>
      </c>
      <c r="I135" s="55">
        <v>8000.0</v>
      </c>
      <c r="J135" s="56">
        <f t="shared" si="10"/>
        <v>40000</v>
      </c>
      <c r="K135" s="57">
        <v>1.15</v>
      </c>
      <c r="L135" s="58">
        <f t="shared" si="14"/>
        <v>17200</v>
      </c>
      <c r="M135" s="59"/>
      <c r="N135" s="59"/>
      <c r="O135" s="52" t="s">
        <v>233</v>
      </c>
      <c r="P135" s="21"/>
      <c r="Q135" s="70" t="b">
        <v>1</v>
      </c>
      <c r="R135" s="61"/>
      <c r="S135" s="52">
        <v>0.0</v>
      </c>
    </row>
    <row r="136">
      <c r="A136" s="52">
        <v>135.0</v>
      </c>
      <c r="B136" s="53">
        <v>45901.0</v>
      </c>
      <c r="C136" s="61"/>
      <c r="D136" s="61"/>
      <c r="E136" s="52" t="s">
        <v>231</v>
      </c>
      <c r="F136" s="52" t="s">
        <v>234</v>
      </c>
      <c r="G136" s="54">
        <f t="shared" si="1"/>
        <v>2</v>
      </c>
      <c r="H136" s="54">
        <v>2.0</v>
      </c>
      <c r="I136" s="55">
        <v>7500.0</v>
      </c>
      <c r="J136" s="56">
        <f t="shared" si="10"/>
        <v>15000</v>
      </c>
      <c r="K136" s="57">
        <v>1.55</v>
      </c>
      <c r="L136" s="58">
        <f t="shared" si="14"/>
        <v>19125</v>
      </c>
      <c r="M136" s="59"/>
      <c r="N136" s="59"/>
      <c r="O136" s="52" t="s">
        <v>233</v>
      </c>
      <c r="P136" s="21"/>
      <c r="Q136" s="70" t="b">
        <v>1</v>
      </c>
      <c r="R136" s="61"/>
      <c r="S136" s="52">
        <v>0.0</v>
      </c>
    </row>
    <row r="137">
      <c r="A137" s="52">
        <v>136.0</v>
      </c>
      <c r="B137" s="53">
        <v>45901.0</v>
      </c>
      <c r="C137" s="61"/>
      <c r="D137" s="61"/>
      <c r="E137" s="52" t="s">
        <v>231</v>
      </c>
      <c r="F137" s="52" t="s">
        <v>235</v>
      </c>
      <c r="G137" s="54">
        <f t="shared" si="1"/>
        <v>2</v>
      </c>
      <c r="H137" s="54">
        <v>2.0</v>
      </c>
      <c r="I137" s="55">
        <v>9000.0</v>
      </c>
      <c r="J137" s="56">
        <f t="shared" si="10"/>
        <v>18000</v>
      </c>
      <c r="K137" s="57">
        <v>1.3</v>
      </c>
      <c r="L137" s="58">
        <f t="shared" si="14"/>
        <v>20700</v>
      </c>
      <c r="M137" s="59"/>
      <c r="N137" s="59"/>
      <c r="O137" s="52" t="s">
        <v>233</v>
      </c>
      <c r="P137" s="21"/>
      <c r="Q137" s="70" t="b">
        <v>1</v>
      </c>
      <c r="R137" s="61"/>
      <c r="S137" s="52">
        <v>0.0</v>
      </c>
    </row>
    <row r="138">
      <c r="A138" s="52">
        <v>137.0</v>
      </c>
      <c r="B138" s="53">
        <v>45901.0</v>
      </c>
      <c r="C138" s="61"/>
      <c r="D138" s="61"/>
      <c r="E138" s="61"/>
      <c r="F138" s="52" t="s">
        <v>236</v>
      </c>
      <c r="G138" s="54">
        <f t="shared" si="1"/>
        <v>5</v>
      </c>
      <c r="H138" s="54">
        <v>5.0</v>
      </c>
      <c r="I138" s="55">
        <v>4500.0</v>
      </c>
      <c r="J138" s="56">
        <f t="shared" si="10"/>
        <v>22500</v>
      </c>
      <c r="K138" s="57">
        <v>0.24</v>
      </c>
      <c r="L138" s="58">
        <f t="shared" si="14"/>
        <v>5580</v>
      </c>
      <c r="M138" s="59"/>
      <c r="N138" s="59"/>
      <c r="O138" s="52" t="s">
        <v>227</v>
      </c>
      <c r="P138" s="21"/>
      <c r="Q138" s="70" t="b">
        <v>1</v>
      </c>
      <c r="R138" s="61"/>
      <c r="S138" s="52">
        <v>0.0</v>
      </c>
    </row>
    <row r="139">
      <c r="A139" s="52">
        <v>138.0</v>
      </c>
      <c r="B139" s="53">
        <v>45901.0</v>
      </c>
      <c r="C139" s="61"/>
      <c r="D139" s="61"/>
      <c r="E139" s="61"/>
      <c r="F139" s="52" t="s">
        <v>237</v>
      </c>
      <c r="G139" s="54">
        <f t="shared" si="1"/>
        <v>5</v>
      </c>
      <c r="H139" s="54">
        <v>5.0</v>
      </c>
      <c r="I139" s="55">
        <v>4500.0</v>
      </c>
      <c r="J139" s="56">
        <f t="shared" si="10"/>
        <v>22500</v>
      </c>
      <c r="K139" s="57">
        <v>0.24</v>
      </c>
      <c r="L139" s="58">
        <f t="shared" si="14"/>
        <v>5580</v>
      </c>
      <c r="M139" s="59"/>
      <c r="N139" s="59"/>
      <c r="O139" s="52" t="s">
        <v>227</v>
      </c>
      <c r="P139" s="21"/>
      <c r="Q139" s="70" t="b">
        <v>1</v>
      </c>
      <c r="R139" s="61"/>
      <c r="S139" s="52">
        <v>0.0</v>
      </c>
    </row>
    <row r="140">
      <c r="A140" s="52">
        <v>139.0</v>
      </c>
      <c r="B140" s="53">
        <v>45901.0</v>
      </c>
      <c r="C140" s="61"/>
      <c r="D140" s="61"/>
      <c r="E140" s="61"/>
      <c r="F140" s="52" t="s">
        <v>238</v>
      </c>
      <c r="G140" s="54">
        <f t="shared" si="1"/>
        <v>5</v>
      </c>
      <c r="H140" s="54">
        <v>5.0</v>
      </c>
      <c r="I140" s="55">
        <v>4500.0</v>
      </c>
      <c r="J140" s="56">
        <f t="shared" si="10"/>
        <v>22500</v>
      </c>
      <c r="K140" s="57">
        <v>0.24</v>
      </c>
      <c r="L140" s="58">
        <f t="shared" si="14"/>
        <v>5580</v>
      </c>
      <c r="M140" s="59"/>
      <c r="N140" s="59"/>
      <c r="O140" s="52" t="s">
        <v>227</v>
      </c>
      <c r="P140" s="21"/>
      <c r="Q140" s="70" t="b">
        <v>1</v>
      </c>
      <c r="R140" s="61"/>
      <c r="S140" s="52">
        <v>0.0</v>
      </c>
    </row>
    <row r="141">
      <c r="A141" s="52">
        <v>140.0</v>
      </c>
      <c r="B141" s="53">
        <v>45901.0</v>
      </c>
      <c r="C141" s="61"/>
      <c r="D141" s="61"/>
      <c r="E141" s="61"/>
      <c r="F141" s="52" t="s">
        <v>239</v>
      </c>
      <c r="G141" s="54">
        <f t="shared" si="1"/>
        <v>5</v>
      </c>
      <c r="H141" s="54">
        <v>5.0</v>
      </c>
      <c r="I141" s="55">
        <v>4500.0</v>
      </c>
      <c r="J141" s="56">
        <f t="shared" si="10"/>
        <v>22500</v>
      </c>
      <c r="K141" s="57">
        <v>0.24</v>
      </c>
      <c r="L141" s="58">
        <f t="shared" si="14"/>
        <v>5580</v>
      </c>
      <c r="M141" s="59"/>
      <c r="N141" s="59"/>
      <c r="O141" s="52" t="s">
        <v>227</v>
      </c>
      <c r="P141" s="21"/>
      <c r="Q141" s="70" t="b">
        <v>1</v>
      </c>
      <c r="R141" s="61"/>
      <c r="S141" s="52">
        <v>0.0</v>
      </c>
    </row>
    <row r="142">
      <c r="A142" s="52">
        <v>141.0</v>
      </c>
      <c r="B142" s="53">
        <v>45901.0</v>
      </c>
      <c r="C142" s="61"/>
      <c r="D142" s="61"/>
      <c r="E142" s="61"/>
      <c r="F142" s="52" t="s">
        <v>240</v>
      </c>
      <c r="G142" s="54">
        <f t="shared" si="1"/>
        <v>5</v>
      </c>
      <c r="H142" s="54">
        <v>5.0</v>
      </c>
      <c r="I142" s="55">
        <v>4500.0</v>
      </c>
      <c r="J142" s="56">
        <f t="shared" si="10"/>
        <v>22500</v>
      </c>
      <c r="K142" s="57">
        <v>0.24</v>
      </c>
      <c r="L142" s="58">
        <f t="shared" si="14"/>
        <v>5580</v>
      </c>
      <c r="M142" s="59"/>
      <c r="N142" s="59"/>
      <c r="O142" s="52" t="s">
        <v>227</v>
      </c>
      <c r="P142" s="21"/>
      <c r="Q142" s="70" t="b">
        <v>1</v>
      </c>
      <c r="R142" s="61"/>
      <c r="S142" s="52">
        <v>0.0</v>
      </c>
    </row>
    <row r="143">
      <c r="A143" s="52">
        <v>142.0</v>
      </c>
      <c r="B143" s="53">
        <v>45901.0</v>
      </c>
      <c r="C143" s="61"/>
      <c r="D143" s="61"/>
      <c r="E143" s="61"/>
      <c r="F143" s="52" t="s">
        <v>241</v>
      </c>
      <c r="G143" s="54">
        <f t="shared" si="1"/>
        <v>1</v>
      </c>
      <c r="H143" s="54">
        <v>1.0</v>
      </c>
      <c r="I143" s="55">
        <v>73000.0</v>
      </c>
      <c r="J143" s="56">
        <f t="shared" si="10"/>
        <v>73000</v>
      </c>
      <c r="K143" s="57">
        <v>0.05</v>
      </c>
      <c r="L143" s="58">
        <f t="shared" si="14"/>
        <v>76650</v>
      </c>
      <c r="M143" s="59"/>
      <c r="N143" s="59"/>
      <c r="O143" s="52" t="s">
        <v>215</v>
      </c>
      <c r="P143" s="21"/>
      <c r="Q143" s="70" t="b">
        <v>1</v>
      </c>
      <c r="R143" s="61"/>
      <c r="S143" s="52">
        <v>0.0</v>
      </c>
    </row>
    <row r="144">
      <c r="A144" s="52">
        <v>143.0</v>
      </c>
      <c r="B144" s="53">
        <v>45901.0</v>
      </c>
      <c r="C144" s="61"/>
      <c r="D144" s="61"/>
      <c r="E144" s="61"/>
      <c r="F144" s="52" t="s">
        <v>242</v>
      </c>
      <c r="G144" s="54">
        <f t="shared" si="1"/>
        <v>1</v>
      </c>
      <c r="H144" s="54">
        <v>1.0</v>
      </c>
      <c r="I144" s="55">
        <v>73000.0</v>
      </c>
      <c r="J144" s="56">
        <f t="shared" si="10"/>
        <v>73000</v>
      </c>
      <c r="K144" s="57">
        <v>0.05</v>
      </c>
      <c r="L144" s="58">
        <f t="shared" si="14"/>
        <v>76650</v>
      </c>
      <c r="M144" s="59"/>
      <c r="N144" s="59"/>
      <c r="O144" s="52" t="s">
        <v>215</v>
      </c>
      <c r="P144" s="21"/>
      <c r="Q144" s="70" t="b">
        <v>1</v>
      </c>
      <c r="R144" s="61"/>
      <c r="S144" s="52">
        <v>0.0</v>
      </c>
    </row>
    <row r="145">
      <c r="A145" s="52">
        <v>144.0</v>
      </c>
      <c r="B145" s="53">
        <v>45901.0</v>
      </c>
      <c r="C145" s="61"/>
      <c r="D145" s="61"/>
      <c r="E145" s="61"/>
      <c r="F145" s="52" t="s">
        <v>243</v>
      </c>
      <c r="G145" s="54">
        <f t="shared" si="1"/>
        <v>1</v>
      </c>
      <c r="H145" s="54">
        <v>1.0</v>
      </c>
      <c r="I145" s="55">
        <v>73000.0</v>
      </c>
      <c r="J145" s="56">
        <f t="shared" si="10"/>
        <v>73000</v>
      </c>
      <c r="K145" s="57">
        <v>0.05</v>
      </c>
      <c r="L145" s="58">
        <f t="shared" si="14"/>
        <v>76650</v>
      </c>
      <c r="M145" s="59"/>
      <c r="N145" s="59"/>
      <c r="O145" s="52" t="s">
        <v>215</v>
      </c>
      <c r="P145" s="21"/>
      <c r="Q145" s="70" t="b">
        <v>1</v>
      </c>
      <c r="R145" s="61"/>
      <c r="S145" s="52">
        <v>0.0</v>
      </c>
    </row>
    <row r="146">
      <c r="A146" s="52">
        <v>145.0</v>
      </c>
      <c r="B146" s="53">
        <v>45901.0</v>
      </c>
      <c r="C146" s="61"/>
      <c r="D146" s="61"/>
      <c r="E146" s="61"/>
      <c r="F146" s="52" t="s">
        <v>244</v>
      </c>
      <c r="G146" s="54">
        <f t="shared" si="1"/>
        <v>1</v>
      </c>
      <c r="H146" s="54">
        <v>1.0</v>
      </c>
      <c r="I146" s="55">
        <v>73000.0</v>
      </c>
      <c r="J146" s="56">
        <f t="shared" si="10"/>
        <v>73000</v>
      </c>
      <c r="K146" s="57">
        <v>0.05</v>
      </c>
      <c r="L146" s="58">
        <f t="shared" si="14"/>
        <v>76650</v>
      </c>
      <c r="M146" s="59"/>
      <c r="N146" s="59"/>
      <c r="O146" s="52" t="s">
        <v>215</v>
      </c>
      <c r="P146" s="21"/>
      <c r="Q146" s="70" t="b">
        <v>1</v>
      </c>
      <c r="R146" s="61"/>
      <c r="S146" s="52">
        <v>0.0</v>
      </c>
    </row>
    <row r="147">
      <c r="A147" s="52">
        <v>146.0</v>
      </c>
      <c r="B147" s="53">
        <v>45901.0</v>
      </c>
      <c r="C147" s="61"/>
      <c r="D147" s="61"/>
      <c r="E147" s="61"/>
      <c r="F147" s="52" t="s">
        <v>245</v>
      </c>
      <c r="G147" s="54">
        <f t="shared" si="1"/>
        <v>1</v>
      </c>
      <c r="H147" s="54">
        <v>1.0</v>
      </c>
      <c r="I147" s="55">
        <v>68000.0</v>
      </c>
      <c r="J147" s="56">
        <f t="shared" si="10"/>
        <v>68000</v>
      </c>
      <c r="K147" s="57">
        <v>0.07</v>
      </c>
      <c r="L147" s="58">
        <f t="shared" si="14"/>
        <v>72760</v>
      </c>
      <c r="M147" s="59"/>
      <c r="N147" s="59"/>
      <c r="O147" s="52" t="s">
        <v>215</v>
      </c>
      <c r="P147" s="21"/>
      <c r="Q147" s="70" t="b">
        <v>1</v>
      </c>
      <c r="R147" s="61"/>
      <c r="S147" s="52">
        <v>0.0</v>
      </c>
    </row>
    <row r="148">
      <c r="A148" s="52">
        <v>147.0</v>
      </c>
      <c r="B148" s="53">
        <v>45901.0</v>
      </c>
      <c r="C148" s="61"/>
      <c r="D148" s="61"/>
      <c r="E148" s="61"/>
      <c r="F148" s="52" t="s">
        <v>246</v>
      </c>
      <c r="G148" s="54">
        <f t="shared" si="1"/>
        <v>1</v>
      </c>
      <c r="H148" s="54">
        <v>1.0</v>
      </c>
      <c r="I148" s="55">
        <v>68000.0</v>
      </c>
      <c r="J148" s="56">
        <f t="shared" si="10"/>
        <v>68000</v>
      </c>
      <c r="K148" s="57">
        <v>0.07</v>
      </c>
      <c r="L148" s="58">
        <f t="shared" si="14"/>
        <v>72760</v>
      </c>
      <c r="M148" s="59"/>
      <c r="N148" s="59"/>
      <c r="O148" s="52" t="s">
        <v>215</v>
      </c>
      <c r="P148" s="21"/>
      <c r="Q148" s="70" t="b">
        <v>1</v>
      </c>
      <c r="R148" s="61"/>
      <c r="S148" s="52">
        <v>0.0</v>
      </c>
    </row>
    <row r="149">
      <c r="A149" s="52">
        <v>148.0</v>
      </c>
      <c r="B149" s="53">
        <v>45901.0</v>
      </c>
      <c r="C149" s="61"/>
      <c r="D149" s="61"/>
      <c r="E149" s="61"/>
      <c r="F149" s="52" t="s">
        <v>247</v>
      </c>
      <c r="G149" s="54">
        <f t="shared" si="1"/>
        <v>1</v>
      </c>
      <c r="H149" s="54">
        <v>1.0</v>
      </c>
      <c r="I149" s="55">
        <v>68000.0</v>
      </c>
      <c r="J149" s="56">
        <f t="shared" si="10"/>
        <v>68000</v>
      </c>
      <c r="K149" s="57">
        <v>0.07</v>
      </c>
      <c r="L149" s="58">
        <f t="shared" si="14"/>
        <v>72760</v>
      </c>
      <c r="M149" s="59"/>
      <c r="N149" s="59"/>
      <c r="O149" s="52" t="s">
        <v>215</v>
      </c>
      <c r="P149" s="21"/>
      <c r="Q149" s="70" t="b">
        <v>1</v>
      </c>
      <c r="R149" s="61"/>
      <c r="S149" s="52">
        <v>0.0</v>
      </c>
    </row>
    <row r="150">
      <c r="A150" s="52">
        <v>149.0</v>
      </c>
      <c r="B150" s="53">
        <v>45901.0</v>
      </c>
      <c r="C150" s="61"/>
      <c r="D150" s="61"/>
      <c r="E150" s="61"/>
      <c r="F150" s="52" t="s">
        <v>248</v>
      </c>
      <c r="G150" s="54">
        <f t="shared" si="1"/>
        <v>2</v>
      </c>
      <c r="H150" s="54">
        <v>2.0</v>
      </c>
      <c r="I150" s="55">
        <v>122500.0</v>
      </c>
      <c r="J150" s="56">
        <f t="shared" si="10"/>
        <v>245000</v>
      </c>
      <c r="K150" s="57">
        <v>0.1</v>
      </c>
      <c r="L150" s="58">
        <f t="shared" si="14"/>
        <v>134750</v>
      </c>
      <c r="M150" s="59"/>
      <c r="N150" s="59"/>
      <c r="O150" s="52" t="s">
        <v>215</v>
      </c>
      <c r="P150" s="21"/>
      <c r="Q150" s="70" t="b">
        <v>1</v>
      </c>
      <c r="R150" s="61"/>
      <c r="S150" s="52">
        <v>0.0</v>
      </c>
    </row>
    <row r="151">
      <c r="A151" s="52">
        <v>150.0</v>
      </c>
      <c r="B151" s="53">
        <v>45901.0</v>
      </c>
      <c r="C151" s="61"/>
      <c r="D151" s="61"/>
      <c r="E151" s="61"/>
      <c r="F151" s="52" t="s">
        <v>249</v>
      </c>
      <c r="G151" s="54">
        <f t="shared" si="1"/>
        <v>4</v>
      </c>
      <c r="H151" s="54">
        <v>4.0</v>
      </c>
      <c r="I151" s="55">
        <v>32500.0</v>
      </c>
      <c r="J151" s="56">
        <f t="shared" si="10"/>
        <v>130000</v>
      </c>
      <c r="K151" s="57">
        <v>0.1</v>
      </c>
      <c r="L151" s="58">
        <f t="shared" si="14"/>
        <v>35750</v>
      </c>
      <c r="M151" s="59"/>
      <c r="N151" s="59"/>
      <c r="O151" s="52" t="s">
        <v>215</v>
      </c>
      <c r="P151" s="21"/>
      <c r="Q151" s="70" t="b">
        <v>1</v>
      </c>
      <c r="R151" s="61"/>
      <c r="S151" s="52">
        <v>0.0</v>
      </c>
    </row>
    <row r="152">
      <c r="A152" s="52">
        <v>151.0</v>
      </c>
      <c r="B152" s="53">
        <v>45901.0</v>
      </c>
      <c r="C152" s="61"/>
      <c r="D152" s="61"/>
      <c r="E152" s="61"/>
      <c r="F152" s="52" t="s">
        <v>250</v>
      </c>
      <c r="G152" s="54">
        <f t="shared" si="1"/>
        <v>4</v>
      </c>
      <c r="H152" s="54">
        <v>4.0</v>
      </c>
      <c r="I152" s="55">
        <v>53500.0</v>
      </c>
      <c r="J152" s="56">
        <f t="shared" si="10"/>
        <v>214000</v>
      </c>
      <c r="K152" s="57">
        <v>0.1</v>
      </c>
      <c r="L152" s="58">
        <f t="shared" si="14"/>
        <v>58850</v>
      </c>
      <c r="M152" s="59"/>
      <c r="N152" s="59"/>
      <c r="O152" s="52" t="s">
        <v>215</v>
      </c>
      <c r="P152" s="21"/>
      <c r="Q152" s="70" t="b">
        <v>1</v>
      </c>
      <c r="R152" s="61"/>
      <c r="S152" s="52">
        <v>0.0</v>
      </c>
    </row>
    <row r="153">
      <c r="A153" s="52">
        <v>152.0</v>
      </c>
      <c r="B153" s="53">
        <v>45901.0</v>
      </c>
      <c r="C153" s="61"/>
      <c r="D153" s="61"/>
      <c r="E153" s="61"/>
      <c r="F153" s="52" t="s">
        <v>251</v>
      </c>
      <c r="G153" s="54">
        <f t="shared" si="1"/>
        <v>2</v>
      </c>
      <c r="H153" s="54">
        <v>2.0</v>
      </c>
      <c r="I153" s="55">
        <v>35500.0</v>
      </c>
      <c r="J153" s="56">
        <f t="shared" si="10"/>
        <v>71000</v>
      </c>
      <c r="K153" s="57">
        <v>0.1</v>
      </c>
      <c r="L153" s="58">
        <f t="shared" si="14"/>
        <v>39050</v>
      </c>
      <c r="M153" s="59"/>
      <c r="N153" s="59"/>
      <c r="O153" s="52" t="s">
        <v>215</v>
      </c>
      <c r="P153" s="21"/>
      <c r="Q153" s="70" t="b">
        <v>1</v>
      </c>
      <c r="R153" s="61"/>
      <c r="S153" s="52">
        <v>0.0</v>
      </c>
    </row>
    <row r="154">
      <c r="A154" s="52">
        <v>153.0</v>
      </c>
      <c r="B154" s="53">
        <v>45901.0</v>
      </c>
      <c r="C154" s="61"/>
      <c r="D154" s="61"/>
      <c r="E154" s="61"/>
      <c r="F154" s="52" t="s">
        <v>252</v>
      </c>
      <c r="G154" s="54">
        <f t="shared" si="1"/>
        <v>2</v>
      </c>
      <c r="H154" s="54">
        <v>2.0</v>
      </c>
      <c r="I154" s="55">
        <v>35500.0</v>
      </c>
      <c r="J154" s="56">
        <f t="shared" si="10"/>
        <v>71000</v>
      </c>
      <c r="K154" s="57">
        <v>0.1</v>
      </c>
      <c r="L154" s="58">
        <f t="shared" si="14"/>
        <v>39050</v>
      </c>
      <c r="M154" s="59"/>
      <c r="N154" s="59"/>
      <c r="O154" s="52" t="s">
        <v>215</v>
      </c>
      <c r="P154" s="21"/>
      <c r="Q154" s="70" t="b">
        <v>1</v>
      </c>
      <c r="R154" s="61"/>
      <c r="S154" s="52">
        <v>0.0</v>
      </c>
    </row>
    <row r="155">
      <c r="A155" s="52">
        <v>154.0</v>
      </c>
      <c r="B155" s="53">
        <v>45901.0</v>
      </c>
      <c r="C155" s="61"/>
      <c r="D155" s="61"/>
      <c r="E155" s="61"/>
      <c r="F155" s="52" t="s">
        <v>253</v>
      </c>
      <c r="G155" s="54">
        <f t="shared" si="1"/>
        <v>2</v>
      </c>
      <c r="H155" s="54">
        <v>2.0</v>
      </c>
      <c r="I155" s="55">
        <v>35500.0</v>
      </c>
      <c r="J155" s="56">
        <f t="shared" si="10"/>
        <v>71000</v>
      </c>
      <c r="K155" s="57">
        <v>0.1</v>
      </c>
      <c r="L155" s="58">
        <f t="shared" si="14"/>
        <v>39050</v>
      </c>
      <c r="M155" s="59"/>
      <c r="N155" s="59"/>
      <c r="O155" s="52" t="s">
        <v>215</v>
      </c>
      <c r="P155" s="21"/>
      <c r="Q155" s="70" t="b">
        <v>1</v>
      </c>
      <c r="R155" s="61"/>
      <c r="S155" s="52">
        <v>0.0</v>
      </c>
    </row>
    <row r="156">
      <c r="A156" s="52">
        <v>155.0</v>
      </c>
      <c r="B156" s="53">
        <v>45901.0</v>
      </c>
      <c r="C156" s="61"/>
      <c r="D156" s="61"/>
      <c r="E156" s="61"/>
      <c r="F156" s="52" t="s">
        <v>254</v>
      </c>
      <c r="G156" s="54">
        <f t="shared" si="1"/>
        <v>2</v>
      </c>
      <c r="H156" s="54">
        <v>2.0</v>
      </c>
      <c r="I156" s="55">
        <v>35500.0</v>
      </c>
      <c r="J156" s="56">
        <f t="shared" si="10"/>
        <v>71000</v>
      </c>
      <c r="K156" s="57">
        <v>0.1</v>
      </c>
      <c r="L156" s="58">
        <f t="shared" si="14"/>
        <v>39050</v>
      </c>
      <c r="M156" s="59"/>
      <c r="N156" s="59"/>
      <c r="O156" s="52" t="s">
        <v>215</v>
      </c>
      <c r="P156" s="21"/>
      <c r="Q156" s="70" t="b">
        <v>1</v>
      </c>
      <c r="R156" s="61"/>
      <c r="S156" s="52">
        <v>0.0</v>
      </c>
    </row>
    <row r="157">
      <c r="A157" s="52">
        <v>156.0</v>
      </c>
      <c r="B157" s="53">
        <v>45901.0</v>
      </c>
      <c r="C157" s="61"/>
      <c r="D157" s="61"/>
      <c r="E157" s="61"/>
      <c r="F157" s="52" t="s">
        <v>255</v>
      </c>
      <c r="G157" s="54">
        <f t="shared" si="1"/>
        <v>2</v>
      </c>
      <c r="H157" s="54">
        <v>2.0</v>
      </c>
      <c r="I157" s="55">
        <v>35500.0</v>
      </c>
      <c r="J157" s="56">
        <f t="shared" si="10"/>
        <v>71000</v>
      </c>
      <c r="K157" s="57">
        <v>0.1</v>
      </c>
      <c r="L157" s="58">
        <f t="shared" si="14"/>
        <v>39050</v>
      </c>
      <c r="M157" s="59"/>
      <c r="N157" s="59"/>
      <c r="O157" s="52" t="s">
        <v>215</v>
      </c>
      <c r="P157" s="21"/>
      <c r="Q157" s="70" t="b">
        <v>1</v>
      </c>
      <c r="R157" s="61"/>
      <c r="S157" s="52">
        <v>0.0</v>
      </c>
    </row>
    <row r="158">
      <c r="A158" s="52">
        <v>157.0</v>
      </c>
      <c r="B158" s="21"/>
      <c r="C158" s="61"/>
      <c r="D158" s="61"/>
      <c r="E158" s="61"/>
      <c r="F158" s="84" t="s">
        <v>256</v>
      </c>
      <c r="G158" s="85">
        <f t="shared" si="1"/>
        <v>46</v>
      </c>
      <c r="H158" s="86" t="s">
        <v>257</v>
      </c>
      <c r="I158" s="87">
        <v>2500.0</v>
      </c>
      <c r="J158" s="56">
        <f t="shared" si="10"/>
        <v>115000</v>
      </c>
      <c r="K158" s="57"/>
      <c r="L158" s="88">
        <v>2500.0</v>
      </c>
      <c r="M158" s="59"/>
      <c r="N158" s="59"/>
      <c r="O158" s="61"/>
      <c r="P158" s="21"/>
      <c r="Q158" s="61"/>
      <c r="R158" s="61"/>
      <c r="S158" s="52">
        <v>25.0</v>
      </c>
    </row>
    <row r="159">
      <c r="A159" s="52">
        <v>158.0</v>
      </c>
      <c r="B159" s="21"/>
      <c r="C159" s="61"/>
      <c r="D159" s="61"/>
      <c r="E159" s="61"/>
      <c r="F159" s="84" t="s">
        <v>258</v>
      </c>
      <c r="G159" s="85">
        <f t="shared" si="1"/>
        <v>38</v>
      </c>
      <c r="H159" s="86" t="s">
        <v>259</v>
      </c>
      <c r="I159" s="87">
        <v>3500.0</v>
      </c>
      <c r="J159" s="56">
        <f t="shared" si="10"/>
        <v>133000</v>
      </c>
      <c r="K159" s="57"/>
      <c r="L159" s="88">
        <v>3500.0</v>
      </c>
      <c r="M159" s="59"/>
      <c r="N159" s="59"/>
      <c r="O159" s="61"/>
      <c r="P159" s="21"/>
      <c r="Q159" s="61"/>
      <c r="R159" s="61"/>
      <c r="S159" s="52">
        <v>30.0</v>
      </c>
    </row>
    <row r="160">
      <c r="A160" s="52">
        <v>159.0</v>
      </c>
      <c r="B160" s="21"/>
      <c r="C160" s="61"/>
      <c r="D160" s="61"/>
      <c r="E160" s="61"/>
      <c r="F160" s="84" t="s">
        <v>260</v>
      </c>
      <c r="G160" s="85">
        <f t="shared" si="1"/>
        <v>8</v>
      </c>
      <c r="H160" s="86" t="s">
        <v>259</v>
      </c>
      <c r="I160" s="87">
        <v>4500.0</v>
      </c>
      <c r="J160" s="56">
        <f t="shared" si="10"/>
        <v>36000</v>
      </c>
      <c r="K160" s="57"/>
      <c r="L160" s="88">
        <v>4500.0</v>
      </c>
      <c r="M160" s="59"/>
      <c r="N160" s="59"/>
      <c r="O160" s="61"/>
      <c r="P160" s="21"/>
      <c r="Q160" s="61"/>
      <c r="R160" s="61"/>
      <c r="S160" s="52">
        <v>0.0</v>
      </c>
    </row>
    <row r="161">
      <c r="A161" s="52">
        <v>160.0</v>
      </c>
      <c r="B161" s="21"/>
      <c r="C161" s="61"/>
      <c r="D161" s="61"/>
      <c r="E161" s="61"/>
      <c r="F161" s="84" t="s">
        <v>261</v>
      </c>
      <c r="G161" s="85">
        <f t="shared" si="1"/>
        <v>1</v>
      </c>
      <c r="H161" s="86" t="s">
        <v>262</v>
      </c>
      <c r="I161" s="87">
        <v>25000.0</v>
      </c>
      <c r="J161" s="56">
        <f t="shared" si="10"/>
        <v>25000</v>
      </c>
      <c r="K161" s="57"/>
      <c r="L161" s="88">
        <v>25000.0</v>
      </c>
      <c r="M161" s="59"/>
      <c r="N161" s="59"/>
      <c r="O161" s="61"/>
      <c r="P161" s="21"/>
      <c r="Q161" s="61"/>
      <c r="R161" s="61"/>
      <c r="S161" s="52">
        <v>0.0</v>
      </c>
    </row>
    <row r="162">
      <c r="A162" s="52">
        <v>161.0</v>
      </c>
      <c r="B162" s="21"/>
      <c r="C162" s="61"/>
      <c r="D162" s="61"/>
      <c r="E162" s="61"/>
      <c r="F162" s="84" t="s">
        <v>263</v>
      </c>
      <c r="G162" s="85">
        <f t="shared" si="1"/>
        <v>1</v>
      </c>
      <c r="H162" s="89" t="s">
        <v>262</v>
      </c>
      <c r="I162" s="87">
        <v>25000.0</v>
      </c>
      <c r="J162" s="56">
        <f t="shared" si="10"/>
        <v>25000</v>
      </c>
      <c r="K162" s="57"/>
      <c r="L162" s="88">
        <v>25000.0</v>
      </c>
      <c r="M162" s="59"/>
      <c r="N162" s="59"/>
      <c r="O162" s="61"/>
      <c r="P162" s="21"/>
      <c r="Q162" s="61"/>
      <c r="R162" s="61"/>
      <c r="S162" s="52">
        <v>0.0</v>
      </c>
    </row>
    <row r="163">
      <c r="A163" s="52">
        <v>162.0</v>
      </c>
      <c r="B163" s="61"/>
      <c r="C163" s="61"/>
      <c r="D163" s="61"/>
      <c r="E163" s="61"/>
      <c r="F163" s="84" t="s">
        <v>264</v>
      </c>
      <c r="G163" s="85">
        <f t="shared" si="1"/>
        <v>9</v>
      </c>
      <c r="H163" s="86" t="s">
        <v>265</v>
      </c>
      <c r="I163" s="87">
        <v>2500.0</v>
      </c>
      <c r="J163" s="56">
        <f t="shared" si="10"/>
        <v>22500</v>
      </c>
      <c r="K163" s="57"/>
      <c r="L163" s="88">
        <v>2500.0</v>
      </c>
      <c r="M163" s="59"/>
      <c r="N163" s="59"/>
      <c r="O163" s="61"/>
      <c r="P163" s="61"/>
      <c r="Q163" s="61"/>
      <c r="R163" s="61"/>
      <c r="S163" s="52">
        <v>0.0</v>
      </c>
    </row>
    <row r="164">
      <c r="A164" s="52">
        <v>163.0</v>
      </c>
      <c r="B164" s="61"/>
      <c r="C164" s="61"/>
      <c r="D164" s="61"/>
      <c r="E164" s="61"/>
      <c r="F164" s="84" t="s">
        <v>266</v>
      </c>
      <c r="G164" s="85">
        <f t="shared" si="1"/>
        <v>18</v>
      </c>
      <c r="H164" s="86" t="s">
        <v>267</v>
      </c>
      <c r="I164" s="87">
        <v>4000.0</v>
      </c>
      <c r="J164" s="56">
        <f t="shared" si="10"/>
        <v>72000</v>
      </c>
      <c r="K164" s="90"/>
      <c r="L164" s="88">
        <v>4000.0</v>
      </c>
      <c r="M164" s="61"/>
      <c r="N164" s="61"/>
      <c r="O164" s="61"/>
      <c r="P164" s="61"/>
      <c r="Q164" s="61"/>
      <c r="R164" s="61"/>
      <c r="S164" s="52">
        <v>0.0</v>
      </c>
    </row>
    <row r="165">
      <c r="A165" s="52">
        <v>164.0</v>
      </c>
      <c r="B165" s="61"/>
      <c r="C165" s="61"/>
      <c r="D165" s="61"/>
      <c r="E165" s="61"/>
      <c r="F165" s="84" t="s">
        <v>268</v>
      </c>
      <c r="G165" s="85">
        <f t="shared" si="1"/>
        <v>15</v>
      </c>
      <c r="H165" s="86" t="s">
        <v>269</v>
      </c>
      <c r="I165" s="87">
        <v>2500.0</v>
      </c>
      <c r="J165" s="56">
        <f t="shared" si="10"/>
        <v>37500</v>
      </c>
      <c r="K165" s="90"/>
      <c r="L165" s="88">
        <v>2500.0</v>
      </c>
      <c r="M165" s="61"/>
      <c r="N165" s="61"/>
      <c r="O165" s="61"/>
      <c r="P165" s="61"/>
      <c r="Q165" s="61"/>
      <c r="R165" s="61"/>
      <c r="S165" s="52">
        <v>0.0</v>
      </c>
    </row>
    <row r="166">
      <c r="A166" s="52">
        <v>165.0</v>
      </c>
      <c r="B166" s="61"/>
      <c r="C166" s="61"/>
      <c r="D166" s="61"/>
      <c r="E166" s="61"/>
      <c r="F166" s="84" t="s">
        <v>270</v>
      </c>
      <c r="G166" s="85">
        <f t="shared" si="1"/>
        <v>5</v>
      </c>
      <c r="H166" s="86" t="s">
        <v>271</v>
      </c>
      <c r="I166" s="87">
        <v>2500.0</v>
      </c>
      <c r="J166" s="56">
        <f t="shared" si="10"/>
        <v>12500</v>
      </c>
      <c r="K166" s="90"/>
      <c r="L166" s="88">
        <v>2500.0</v>
      </c>
      <c r="M166" s="61"/>
      <c r="N166" s="61"/>
      <c r="O166" s="61"/>
      <c r="P166" s="61"/>
      <c r="Q166" s="61"/>
      <c r="R166" s="61"/>
      <c r="S166" s="52">
        <v>0.0</v>
      </c>
    </row>
    <row r="167">
      <c r="A167" s="52">
        <v>166.0</v>
      </c>
      <c r="B167" s="61"/>
      <c r="C167" s="61"/>
      <c r="D167" s="61"/>
      <c r="E167" s="61"/>
      <c r="F167" s="84" t="s">
        <v>272</v>
      </c>
      <c r="G167" s="85">
        <f t="shared" si="1"/>
        <v>24</v>
      </c>
      <c r="H167" s="86" t="s">
        <v>273</v>
      </c>
      <c r="I167" s="87">
        <v>5000.0</v>
      </c>
      <c r="J167" s="56">
        <f t="shared" si="10"/>
        <v>120000</v>
      </c>
      <c r="K167" s="90"/>
      <c r="L167" s="88">
        <v>5000.0</v>
      </c>
      <c r="M167" s="61"/>
      <c r="N167" s="61"/>
      <c r="O167" s="61"/>
      <c r="P167" s="61"/>
      <c r="Q167" s="61"/>
      <c r="R167" s="61"/>
      <c r="S167" s="52">
        <v>0.0</v>
      </c>
    </row>
    <row r="168">
      <c r="A168" s="52">
        <v>167.0</v>
      </c>
      <c r="B168" s="61"/>
      <c r="C168" s="61"/>
      <c r="D168" s="61"/>
      <c r="E168" s="61"/>
      <c r="F168" s="84" t="s">
        <v>274</v>
      </c>
      <c r="G168" s="85">
        <f t="shared" si="1"/>
        <v>11</v>
      </c>
      <c r="H168" s="86" t="s">
        <v>275</v>
      </c>
      <c r="I168" s="87">
        <v>3500.0</v>
      </c>
      <c r="J168" s="56">
        <f t="shared" si="10"/>
        <v>38500</v>
      </c>
      <c r="K168" s="90"/>
      <c r="L168" s="88">
        <v>3500.0</v>
      </c>
      <c r="M168" s="61"/>
      <c r="N168" s="61"/>
      <c r="O168" s="61"/>
      <c r="P168" s="61"/>
      <c r="Q168" s="61"/>
      <c r="R168" s="61"/>
      <c r="S168" s="52">
        <v>0.0</v>
      </c>
    </row>
    <row r="169">
      <c r="A169" s="52">
        <v>168.0</v>
      </c>
      <c r="B169" s="61"/>
      <c r="C169" s="61"/>
      <c r="D169" s="61"/>
      <c r="E169" s="61"/>
      <c r="F169" s="84" t="s">
        <v>276</v>
      </c>
      <c r="G169" s="85">
        <f t="shared" si="1"/>
        <v>10</v>
      </c>
      <c r="H169" s="86" t="s">
        <v>277</v>
      </c>
      <c r="I169" s="87">
        <v>4500.0</v>
      </c>
      <c r="J169" s="56">
        <f t="shared" si="10"/>
        <v>45000</v>
      </c>
      <c r="K169" s="90"/>
      <c r="L169" s="88">
        <v>4500.0</v>
      </c>
      <c r="M169" s="61"/>
      <c r="N169" s="61"/>
      <c r="O169" s="61"/>
      <c r="P169" s="61"/>
      <c r="Q169" s="61"/>
      <c r="R169" s="61"/>
      <c r="S169" s="52">
        <v>0.0</v>
      </c>
    </row>
    <row r="170">
      <c r="A170" s="52">
        <v>169.0</v>
      </c>
      <c r="B170" s="61"/>
      <c r="C170" s="61"/>
      <c r="D170" s="61"/>
      <c r="E170" s="61"/>
      <c r="F170" s="84" t="s">
        <v>278</v>
      </c>
      <c r="G170" s="85">
        <f t="shared" si="1"/>
        <v>10</v>
      </c>
      <c r="H170" s="86" t="s">
        <v>277</v>
      </c>
      <c r="I170" s="87">
        <v>3000.0</v>
      </c>
      <c r="J170" s="56">
        <f t="shared" si="10"/>
        <v>30000</v>
      </c>
      <c r="K170" s="90"/>
      <c r="L170" s="88">
        <v>3000.0</v>
      </c>
      <c r="M170" s="61"/>
      <c r="N170" s="61"/>
      <c r="O170" s="61"/>
      <c r="P170" s="61"/>
      <c r="Q170" s="61"/>
      <c r="R170" s="61"/>
      <c r="S170" s="52">
        <v>0.0</v>
      </c>
    </row>
    <row r="171">
      <c r="A171" s="52">
        <v>170.0</v>
      </c>
      <c r="B171" s="61"/>
      <c r="C171" s="61"/>
      <c r="D171" s="61"/>
      <c r="E171" s="61"/>
      <c r="F171" s="84" t="s">
        <v>279</v>
      </c>
      <c r="G171" s="85">
        <f t="shared" si="1"/>
        <v>7</v>
      </c>
      <c r="H171" s="86" t="s">
        <v>280</v>
      </c>
      <c r="I171" s="87">
        <v>4000.0</v>
      </c>
      <c r="J171" s="56">
        <f t="shared" si="10"/>
        <v>28000</v>
      </c>
      <c r="K171" s="90"/>
      <c r="L171" s="88">
        <v>4000.0</v>
      </c>
      <c r="M171" s="61"/>
      <c r="N171" s="61"/>
      <c r="O171" s="61"/>
      <c r="P171" s="61"/>
      <c r="Q171" s="61"/>
      <c r="R171" s="61"/>
      <c r="S171" s="52">
        <v>0.0</v>
      </c>
    </row>
    <row r="172">
      <c r="A172" s="52">
        <v>171.0</v>
      </c>
      <c r="B172" s="61"/>
      <c r="C172" s="61"/>
      <c r="D172" s="61"/>
      <c r="E172" s="61"/>
      <c r="F172" s="84" t="s">
        <v>281</v>
      </c>
      <c r="G172" s="85">
        <f t="shared" si="1"/>
        <v>12</v>
      </c>
      <c r="H172" s="86" t="s">
        <v>282</v>
      </c>
      <c r="I172" s="87">
        <v>2500.0</v>
      </c>
      <c r="J172" s="56">
        <f t="shared" si="10"/>
        <v>30000</v>
      </c>
      <c r="K172" s="90"/>
      <c r="L172" s="88">
        <v>2500.0</v>
      </c>
      <c r="M172" s="61"/>
      <c r="N172" s="61"/>
      <c r="O172" s="61"/>
      <c r="P172" s="61"/>
      <c r="Q172" s="61"/>
      <c r="R172" s="61"/>
      <c r="S172" s="52">
        <v>0.0</v>
      </c>
    </row>
    <row r="173">
      <c r="A173" s="52">
        <v>172.0</v>
      </c>
      <c r="B173" s="61"/>
      <c r="C173" s="61"/>
      <c r="D173" s="61"/>
      <c r="E173" s="61"/>
      <c r="F173" s="84" t="s">
        <v>283</v>
      </c>
      <c r="G173" s="85">
        <f t="shared" si="1"/>
        <v>13</v>
      </c>
      <c r="H173" s="86" t="s">
        <v>284</v>
      </c>
      <c r="I173" s="87">
        <v>3500.0</v>
      </c>
      <c r="J173" s="56">
        <f t="shared" si="10"/>
        <v>45500</v>
      </c>
      <c r="K173" s="90"/>
      <c r="L173" s="88">
        <v>3500.0</v>
      </c>
      <c r="M173" s="61"/>
      <c r="N173" s="61"/>
      <c r="O173" s="61"/>
      <c r="P173" s="61"/>
      <c r="Q173" s="61"/>
      <c r="R173" s="61"/>
      <c r="S173" s="52">
        <v>0.0</v>
      </c>
    </row>
    <row r="174">
      <c r="A174" s="52">
        <v>173.0</v>
      </c>
      <c r="B174" s="61"/>
      <c r="C174" s="61"/>
      <c r="D174" s="61"/>
      <c r="E174" s="61"/>
      <c r="F174" s="84" t="s">
        <v>285</v>
      </c>
      <c r="G174" s="85">
        <f t="shared" si="1"/>
        <v>320</v>
      </c>
      <c r="H174" s="91" t="s">
        <v>286</v>
      </c>
      <c r="I174" s="55">
        <v>930.0</v>
      </c>
      <c r="J174" s="56">
        <f t="shared" si="10"/>
        <v>297600</v>
      </c>
      <c r="K174" s="90"/>
      <c r="L174" s="88">
        <v>2500.0</v>
      </c>
      <c r="M174" s="61"/>
      <c r="N174" s="61"/>
      <c r="O174" s="61"/>
      <c r="P174" s="61"/>
      <c r="Q174" s="61"/>
      <c r="R174" s="61"/>
      <c r="S174" s="52">
        <v>20.0</v>
      </c>
    </row>
    <row r="175">
      <c r="A175" s="52">
        <v>174.0</v>
      </c>
      <c r="B175" s="61"/>
      <c r="C175" s="61"/>
      <c r="D175" s="61"/>
      <c r="E175" s="61"/>
      <c r="F175" s="84" t="s">
        <v>287</v>
      </c>
      <c r="G175" s="85">
        <f t="shared" si="1"/>
        <v>350</v>
      </c>
      <c r="H175" s="91" t="s">
        <v>286</v>
      </c>
      <c r="I175" s="55">
        <v>622.0</v>
      </c>
      <c r="J175" s="56">
        <f t="shared" si="10"/>
        <v>217700</v>
      </c>
      <c r="K175" s="90"/>
      <c r="L175" s="88">
        <v>2000.0</v>
      </c>
      <c r="M175" s="61"/>
      <c r="N175" s="61"/>
      <c r="O175" s="61"/>
      <c r="P175" s="61"/>
      <c r="Q175" s="61"/>
      <c r="R175" s="61"/>
      <c r="S175" s="52">
        <v>50.0</v>
      </c>
    </row>
    <row r="176">
      <c r="A176" s="52">
        <v>175.0</v>
      </c>
      <c r="B176" s="61"/>
      <c r="C176" s="61"/>
      <c r="D176" s="61"/>
      <c r="E176" s="61"/>
      <c r="F176" s="84" t="s">
        <v>288</v>
      </c>
      <c r="G176" s="85">
        <f t="shared" si="1"/>
        <v>350</v>
      </c>
      <c r="H176" s="91" t="s">
        <v>286</v>
      </c>
      <c r="I176" s="55">
        <v>835.0</v>
      </c>
      <c r="J176" s="56">
        <f t="shared" si="10"/>
        <v>292250</v>
      </c>
      <c r="K176" s="90"/>
      <c r="L176" s="88">
        <v>3000.0</v>
      </c>
      <c r="M176" s="61"/>
      <c r="N176" s="61"/>
      <c r="O176" s="61"/>
      <c r="P176" s="61"/>
      <c r="Q176" s="61"/>
      <c r="R176" s="61"/>
      <c r="S176" s="52">
        <v>50.0</v>
      </c>
    </row>
    <row r="177">
      <c r="A177" s="52">
        <v>176.0</v>
      </c>
      <c r="B177" s="61"/>
      <c r="C177" s="61"/>
      <c r="D177" s="61"/>
      <c r="E177" s="61"/>
      <c r="F177" s="84" t="s">
        <v>289</v>
      </c>
      <c r="G177" s="85">
        <f t="shared" si="1"/>
        <v>11</v>
      </c>
      <c r="H177" s="86" t="s">
        <v>275</v>
      </c>
      <c r="I177" s="87">
        <v>3500.0</v>
      </c>
      <c r="J177" s="56">
        <f t="shared" si="10"/>
        <v>38500</v>
      </c>
      <c r="K177" s="90"/>
      <c r="L177" s="88">
        <v>3500.0</v>
      </c>
      <c r="M177" s="61"/>
      <c r="N177" s="61"/>
      <c r="O177" s="61"/>
      <c r="P177" s="61"/>
      <c r="Q177" s="61"/>
      <c r="R177" s="61"/>
      <c r="S177" s="52">
        <v>0.0</v>
      </c>
    </row>
    <row r="178">
      <c r="A178" s="52">
        <v>177.0</v>
      </c>
      <c r="B178" s="61"/>
      <c r="C178" s="61"/>
      <c r="D178" s="61"/>
      <c r="E178" s="61"/>
      <c r="F178" s="84" t="s">
        <v>290</v>
      </c>
      <c r="G178" s="85">
        <f t="shared" si="1"/>
        <v>8</v>
      </c>
      <c r="H178" s="86" t="s">
        <v>259</v>
      </c>
      <c r="I178" s="92">
        <v>2000.0</v>
      </c>
      <c r="J178" s="56">
        <f t="shared" si="10"/>
        <v>16000</v>
      </c>
      <c r="K178" s="90"/>
      <c r="L178" s="93">
        <v>2000.0</v>
      </c>
      <c r="M178" s="61"/>
      <c r="N178" s="61"/>
      <c r="O178" s="61"/>
      <c r="P178" s="61"/>
      <c r="Q178" s="61"/>
      <c r="R178" s="61"/>
      <c r="S178" s="52">
        <v>0.0</v>
      </c>
    </row>
    <row r="179">
      <c r="A179" s="52">
        <v>178.0</v>
      </c>
      <c r="B179" s="61"/>
      <c r="C179" s="61"/>
      <c r="D179" s="61"/>
      <c r="E179" s="61"/>
      <c r="F179" s="84" t="s">
        <v>291</v>
      </c>
      <c r="G179" s="85">
        <f t="shared" si="1"/>
        <v>17</v>
      </c>
      <c r="H179" s="86" t="s">
        <v>292</v>
      </c>
      <c r="I179" s="87">
        <v>3500.0</v>
      </c>
      <c r="J179" s="56">
        <f t="shared" si="10"/>
        <v>59500</v>
      </c>
      <c r="K179" s="90"/>
      <c r="L179" s="88">
        <v>3500.0</v>
      </c>
      <c r="M179" s="61"/>
      <c r="N179" s="61"/>
      <c r="O179" s="61"/>
      <c r="P179" s="61"/>
      <c r="Q179" s="61"/>
      <c r="R179" s="61"/>
      <c r="S179" s="52">
        <v>0.0</v>
      </c>
    </row>
    <row r="180">
      <c r="A180" s="52">
        <v>179.0</v>
      </c>
      <c r="B180" s="61"/>
      <c r="C180" s="61"/>
      <c r="D180" s="61"/>
      <c r="E180" s="61"/>
      <c r="F180" s="84" t="s">
        <v>293</v>
      </c>
      <c r="G180" s="85">
        <f t="shared" si="1"/>
        <v>8</v>
      </c>
      <c r="H180" s="86" t="s">
        <v>259</v>
      </c>
      <c r="I180" s="87">
        <v>7500.0</v>
      </c>
      <c r="J180" s="56">
        <f t="shared" si="10"/>
        <v>60000</v>
      </c>
      <c r="K180" s="90"/>
      <c r="L180" s="88">
        <v>7500.0</v>
      </c>
      <c r="M180" s="61"/>
      <c r="N180" s="61"/>
      <c r="O180" s="61"/>
      <c r="P180" s="61"/>
      <c r="Q180" s="61"/>
      <c r="R180" s="61"/>
      <c r="S180" s="52">
        <v>0.0</v>
      </c>
    </row>
    <row r="181">
      <c r="A181" s="52">
        <v>180.0</v>
      </c>
      <c r="B181" s="61"/>
      <c r="C181" s="61"/>
      <c r="D181" s="61"/>
      <c r="E181" s="61"/>
      <c r="F181" s="84" t="s">
        <v>294</v>
      </c>
      <c r="G181" s="85">
        <f t="shared" si="1"/>
        <v>9</v>
      </c>
      <c r="H181" s="86" t="s">
        <v>265</v>
      </c>
      <c r="I181" s="87">
        <v>3500.0</v>
      </c>
      <c r="J181" s="56">
        <f t="shared" si="10"/>
        <v>31500</v>
      </c>
      <c r="K181" s="90"/>
      <c r="L181" s="88">
        <v>3500.0</v>
      </c>
      <c r="M181" s="61"/>
      <c r="N181" s="61"/>
      <c r="O181" s="61"/>
      <c r="P181" s="61"/>
      <c r="Q181" s="61"/>
      <c r="R181" s="61"/>
      <c r="S181" s="52">
        <v>0.0</v>
      </c>
    </row>
    <row r="182">
      <c r="A182" s="52">
        <v>181.0</v>
      </c>
      <c r="B182" s="61"/>
      <c r="C182" s="61"/>
      <c r="D182" s="61"/>
      <c r="E182" s="61"/>
      <c r="F182" s="84" t="s">
        <v>295</v>
      </c>
      <c r="G182" s="85">
        <f t="shared" si="1"/>
        <v>5</v>
      </c>
      <c r="H182" s="86" t="s">
        <v>271</v>
      </c>
      <c r="I182" s="87">
        <v>4000.0</v>
      </c>
      <c r="J182" s="56">
        <f t="shared" si="10"/>
        <v>20000</v>
      </c>
      <c r="K182" s="90"/>
      <c r="L182" s="88">
        <v>4000.0</v>
      </c>
      <c r="M182" s="61"/>
      <c r="N182" s="61"/>
      <c r="O182" s="61"/>
      <c r="P182" s="61"/>
      <c r="Q182" s="61"/>
      <c r="R182" s="61"/>
      <c r="S182" s="52">
        <v>0.0</v>
      </c>
    </row>
    <row r="183">
      <c r="A183" s="52">
        <v>182.0</v>
      </c>
      <c r="B183" s="61"/>
      <c r="C183" s="61"/>
      <c r="D183" s="61"/>
      <c r="E183" s="61"/>
      <c r="F183" s="84" t="s">
        <v>296</v>
      </c>
      <c r="G183" s="85">
        <f t="shared" si="1"/>
        <v>7</v>
      </c>
      <c r="H183" s="86" t="s">
        <v>280</v>
      </c>
      <c r="I183" s="87">
        <v>3000.0</v>
      </c>
      <c r="J183" s="56">
        <f t="shared" si="10"/>
        <v>21000</v>
      </c>
      <c r="K183" s="90"/>
      <c r="L183" s="88">
        <v>3000.0</v>
      </c>
      <c r="M183" s="61"/>
      <c r="N183" s="61"/>
      <c r="O183" s="61"/>
      <c r="P183" s="61"/>
      <c r="Q183" s="61"/>
      <c r="R183" s="61"/>
      <c r="S183" s="52">
        <v>0.0</v>
      </c>
    </row>
    <row r="184">
      <c r="A184" s="52">
        <v>183.0</v>
      </c>
      <c r="B184" s="61"/>
      <c r="C184" s="61"/>
      <c r="D184" s="61"/>
      <c r="E184" s="61"/>
      <c r="F184" s="84" t="s">
        <v>297</v>
      </c>
      <c r="G184" s="85">
        <f t="shared" si="1"/>
        <v>26</v>
      </c>
      <c r="H184" s="86" t="s">
        <v>298</v>
      </c>
      <c r="I184" s="87">
        <v>2500.0</v>
      </c>
      <c r="J184" s="56">
        <f t="shared" si="10"/>
        <v>65000</v>
      </c>
      <c r="K184" s="90"/>
      <c r="L184" s="88">
        <v>2500.0</v>
      </c>
      <c r="M184" s="61"/>
      <c r="N184" s="61"/>
      <c r="O184" s="61"/>
      <c r="P184" s="61"/>
      <c r="Q184" s="61"/>
      <c r="R184" s="61"/>
      <c r="S184" s="52">
        <v>0.0</v>
      </c>
    </row>
    <row r="185">
      <c r="A185" s="52">
        <v>184.0</v>
      </c>
      <c r="B185" s="61"/>
      <c r="C185" s="61"/>
      <c r="D185" s="61"/>
      <c r="E185" s="61"/>
      <c r="F185" s="84" t="s">
        <v>299</v>
      </c>
      <c r="G185" s="85">
        <f t="shared" si="1"/>
        <v>6</v>
      </c>
      <c r="H185" s="86" t="s">
        <v>300</v>
      </c>
      <c r="I185" s="87">
        <v>3000.0</v>
      </c>
      <c r="J185" s="56">
        <f t="shared" si="10"/>
        <v>18000</v>
      </c>
      <c r="K185" s="90"/>
      <c r="L185" s="88">
        <v>3000.0</v>
      </c>
      <c r="M185" s="61"/>
      <c r="N185" s="61"/>
      <c r="O185" s="61"/>
      <c r="P185" s="61"/>
      <c r="Q185" s="61"/>
      <c r="R185" s="61"/>
      <c r="S185" s="52">
        <v>0.0</v>
      </c>
    </row>
    <row r="186">
      <c r="A186" s="52">
        <v>185.0</v>
      </c>
      <c r="B186" s="61"/>
      <c r="C186" s="61"/>
      <c r="D186" s="61"/>
      <c r="E186" s="61"/>
      <c r="F186" s="84" t="s">
        <v>301</v>
      </c>
      <c r="G186" s="85">
        <f t="shared" si="1"/>
        <v>13</v>
      </c>
      <c r="H186" s="86" t="s">
        <v>284</v>
      </c>
      <c r="I186" s="87">
        <v>7500.0</v>
      </c>
      <c r="J186" s="56">
        <f t="shared" si="10"/>
        <v>97500</v>
      </c>
      <c r="K186" s="90"/>
      <c r="L186" s="88">
        <v>7500.0</v>
      </c>
      <c r="M186" s="61"/>
      <c r="N186" s="61"/>
      <c r="O186" s="61"/>
      <c r="P186" s="61"/>
      <c r="Q186" s="61"/>
      <c r="R186" s="61"/>
      <c r="S186" s="52">
        <v>0.0</v>
      </c>
    </row>
    <row r="187">
      <c r="A187" s="52">
        <v>186.0</v>
      </c>
      <c r="B187" s="61"/>
      <c r="C187" s="61"/>
      <c r="D187" s="61"/>
      <c r="E187" s="61"/>
      <c r="F187" s="84" t="s">
        <v>302</v>
      </c>
      <c r="G187" s="85">
        <f t="shared" si="1"/>
        <v>5</v>
      </c>
      <c r="H187" s="86" t="s">
        <v>271</v>
      </c>
      <c r="I187" s="87">
        <v>5500.0</v>
      </c>
      <c r="J187" s="56">
        <f t="shared" si="10"/>
        <v>27500</v>
      </c>
      <c r="K187" s="90"/>
      <c r="L187" s="88">
        <v>5500.0</v>
      </c>
      <c r="M187" s="61"/>
      <c r="N187" s="61"/>
      <c r="O187" s="61"/>
      <c r="P187" s="61"/>
      <c r="Q187" s="61"/>
      <c r="R187" s="61"/>
      <c r="S187" s="52">
        <v>0.0</v>
      </c>
    </row>
    <row r="188">
      <c r="A188" s="52">
        <v>187.0</v>
      </c>
      <c r="B188" s="61"/>
      <c r="C188" s="61"/>
      <c r="D188" s="61"/>
      <c r="E188" s="61"/>
      <c r="F188" s="84" t="s">
        <v>303</v>
      </c>
      <c r="G188" s="85">
        <f t="shared" si="1"/>
        <v>5</v>
      </c>
      <c r="H188" s="86" t="s">
        <v>271</v>
      </c>
      <c r="I188" s="87">
        <v>6500.0</v>
      </c>
      <c r="J188" s="56">
        <f t="shared" si="10"/>
        <v>32500</v>
      </c>
      <c r="K188" s="90"/>
      <c r="L188" s="88">
        <v>6500.0</v>
      </c>
      <c r="M188" s="61"/>
      <c r="N188" s="61"/>
      <c r="O188" s="61"/>
      <c r="P188" s="61"/>
      <c r="Q188" s="61"/>
      <c r="R188" s="61"/>
      <c r="S188" s="52">
        <v>0.0</v>
      </c>
    </row>
    <row r="189">
      <c r="A189" s="52">
        <v>188.0</v>
      </c>
      <c r="B189" s="61"/>
      <c r="C189" s="61"/>
      <c r="D189" s="61"/>
      <c r="E189" s="61"/>
      <c r="F189" s="84" t="s">
        <v>304</v>
      </c>
      <c r="G189" s="85">
        <f t="shared" si="1"/>
        <v>3</v>
      </c>
      <c r="H189" s="86" t="s">
        <v>305</v>
      </c>
      <c r="I189" s="87">
        <v>8000.0</v>
      </c>
      <c r="J189" s="56">
        <f t="shared" si="10"/>
        <v>24000</v>
      </c>
      <c r="K189" s="90"/>
      <c r="L189" s="88">
        <v>8000.0</v>
      </c>
      <c r="M189" s="61"/>
      <c r="N189" s="61"/>
      <c r="O189" s="61"/>
      <c r="P189" s="61"/>
      <c r="Q189" s="61"/>
      <c r="R189" s="61"/>
      <c r="S189" s="52">
        <v>0.0</v>
      </c>
    </row>
    <row r="190">
      <c r="A190" s="52">
        <v>189.0</v>
      </c>
      <c r="B190" s="61"/>
      <c r="C190" s="61"/>
      <c r="D190" s="61"/>
      <c r="E190" s="61"/>
      <c r="F190" s="84" t="s">
        <v>306</v>
      </c>
      <c r="G190" s="85">
        <f t="shared" si="1"/>
        <v>1</v>
      </c>
      <c r="H190" s="86" t="s">
        <v>262</v>
      </c>
      <c r="I190" s="87">
        <v>3500.0</v>
      </c>
      <c r="J190" s="56">
        <f t="shared" si="10"/>
        <v>3500</v>
      </c>
      <c r="K190" s="90"/>
      <c r="L190" s="88">
        <v>3500.0</v>
      </c>
      <c r="M190" s="61"/>
      <c r="N190" s="61"/>
      <c r="O190" s="61"/>
      <c r="P190" s="61"/>
      <c r="Q190" s="61"/>
      <c r="R190" s="61"/>
      <c r="S190" s="52">
        <v>0.0</v>
      </c>
    </row>
    <row r="191">
      <c r="A191" s="52">
        <v>190.0</v>
      </c>
      <c r="B191" s="61"/>
      <c r="C191" s="61"/>
      <c r="D191" s="61"/>
      <c r="E191" s="61"/>
      <c r="F191" s="84" t="s">
        <v>307</v>
      </c>
      <c r="G191" s="85">
        <f t="shared" si="1"/>
        <v>8</v>
      </c>
      <c r="H191" s="86" t="s">
        <v>259</v>
      </c>
      <c r="I191" s="87">
        <v>7500.0</v>
      </c>
      <c r="J191" s="56">
        <f t="shared" si="10"/>
        <v>60000</v>
      </c>
      <c r="K191" s="90"/>
      <c r="L191" s="88">
        <v>7500.0</v>
      </c>
      <c r="M191" s="61"/>
      <c r="N191" s="61"/>
      <c r="O191" s="61"/>
      <c r="P191" s="61"/>
      <c r="Q191" s="61"/>
      <c r="R191" s="61"/>
      <c r="S191" s="52">
        <v>0.0</v>
      </c>
    </row>
    <row r="192">
      <c r="A192" s="52">
        <v>191.0</v>
      </c>
      <c r="B192" s="61"/>
      <c r="C192" s="61"/>
      <c r="D192" s="61"/>
      <c r="E192" s="61"/>
      <c r="F192" s="84" t="s">
        <v>308</v>
      </c>
      <c r="G192" s="85">
        <f t="shared" si="1"/>
        <v>22</v>
      </c>
      <c r="H192" s="86" t="s">
        <v>309</v>
      </c>
      <c r="I192" s="87">
        <v>9000.0</v>
      </c>
      <c r="J192" s="56">
        <f t="shared" si="10"/>
        <v>198000</v>
      </c>
      <c r="K192" s="90"/>
      <c r="L192" s="88">
        <v>9000.0</v>
      </c>
      <c r="M192" s="61"/>
      <c r="N192" s="61"/>
      <c r="O192" s="61"/>
      <c r="P192" s="61"/>
      <c r="Q192" s="61"/>
      <c r="R192" s="61"/>
      <c r="S192" s="52">
        <v>0.0</v>
      </c>
    </row>
    <row r="193">
      <c r="A193" s="52">
        <v>192.0</v>
      </c>
      <c r="B193" s="61"/>
      <c r="C193" s="61"/>
      <c r="D193" s="61"/>
      <c r="E193" s="61"/>
      <c r="F193" s="84" t="s">
        <v>310</v>
      </c>
      <c r="G193" s="85">
        <f t="shared" si="1"/>
        <v>2</v>
      </c>
      <c r="H193" s="86" t="s">
        <v>311</v>
      </c>
      <c r="I193" s="87">
        <v>5500.0</v>
      </c>
      <c r="J193" s="56">
        <f t="shared" si="10"/>
        <v>11000</v>
      </c>
      <c r="K193" s="90"/>
      <c r="L193" s="88">
        <v>5500.0</v>
      </c>
      <c r="M193" s="61"/>
      <c r="N193" s="61"/>
      <c r="O193" s="61"/>
      <c r="P193" s="61"/>
      <c r="Q193" s="61"/>
      <c r="R193" s="61"/>
      <c r="S193" s="52">
        <v>0.0</v>
      </c>
    </row>
    <row r="194">
      <c r="A194" s="52">
        <v>193.0</v>
      </c>
      <c r="B194" s="61"/>
      <c r="C194" s="61"/>
      <c r="D194" s="61"/>
      <c r="E194" s="61"/>
      <c r="F194" s="84" t="s">
        <v>312</v>
      </c>
      <c r="G194" s="85">
        <f t="shared" si="1"/>
        <v>5</v>
      </c>
      <c r="H194" s="86" t="s">
        <v>271</v>
      </c>
      <c r="I194" s="87">
        <v>7500.0</v>
      </c>
      <c r="J194" s="56">
        <f t="shared" si="10"/>
        <v>37500</v>
      </c>
      <c r="K194" s="90"/>
      <c r="L194" s="88">
        <v>7500.0</v>
      </c>
      <c r="M194" s="61"/>
      <c r="N194" s="61"/>
      <c r="O194" s="61"/>
      <c r="P194" s="61"/>
      <c r="Q194" s="61"/>
      <c r="R194" s="61"/>
      <c r="S194" s="52">
        <v>0.0</v>
      </c>
    </row>
    <row r="195">
      <c r="A195" s="52">
        <v>194.0</v>
      </c>
      <c r="B195" s="61"/>
      <c r="C195" s="61"/>
      <c r="D195" s="61"/>
      <c r="E195" s="61"/>
      <c r="F195" s="84" t="s">
        <v>313</v>
      </c>
      <c r="G195" s="85">
        <f t="shared" si="1"/>
        <v>10</v>
      </c>
      <c r="H195" s="86" t="s">
        <v>277</v>
      </c>
      <c r="I195" s="87">
        <v>16500.0</v>
      </c>
      <c r="J195" s="56">
        <f t="shared" si="10"/>
        <v>165000</v>
      </c>
      <c r="K195" s="90"/>
      <c r="L195" s="88">
        <v>16500.0</v>
      </c>
      <c r="M195" s="61"/>
      <c r="N195" s="61"/>
      <c r="O195" s="61"/>
      <c r="P195" s="61"/>
      <c r="Q195" s="61"/>
      <c r="R195" s="61"/>
      <c r="S195" s="52">
        <v>0.0</v>
      </c>
    </row>
    <row r="196">
      <c r="A196" s="52">
        <v>195.0</v>
      </c>
      <c r="B196" s="61"/>
      <c r="C196" s="61"/>
      <c r="D196" s="61"/>
      <c r="E196" s="61"/>
      <c r="F196" s="84" t="s">
        <v>314</v>
      </c>
      <c r="G196" s="85">
        <f t="shared" si="1"/>
        <v>7</v>
      </c>
      <c r="H196" s="86" t="s">
        <v>280</v>
      </c>
      <c r="I196" s="87">
        <v>10000.0</v>
      </c>
      <c r="J196" s="56">
        <f t="shared" si="10"/>
        <v>70000</v>
      </c>
      <c r="K196" s="90"/>
      <c r="L196" s="88">
        <v>10000.0</v>
      </c>
      <c r="M196" s="61"/>
      <c r="N196" s="61"/>
      <c r="O196" s="61"/>
      <c r="P196" s="61"/>
      <c r="Q196" s="61"/>
      <c r="R196" s="61"/>
      <c r="S196" s="52">
        <v>0.0</v>
      </c>
    </row>
    <row r="197">
      <c r="A197" s="52">
        <v>196.0</v>
      </c>
      <c r="B197" s="61"/>
      <c r="C197" s="61"/>
      <c r="D197" s="61"/>
      <c r="E197" s="61"/>
      <c r="F197" s="84" t="s">
        <v>315</v>
      </c>
      <c r="G197" s="85">
        <f t="shared" si="1"/>
        <v>13</v>
      </c>
      <c r="H197" s="86" t="s">
        <v>284</v>
      </c>
      <c r="I197" s="87">
        <v>14000.0</v>
      </c>
      <c r="J197" s="56">
        <f t="shared" si="10"/>
        <v>182000</v>
      </c>
      <c r="K197" s="90"/>
      <c r="L197" s="88">
        <v>14000.0</v>
      </c>
      <c r="M197" s="61"/>
      <c r="N197" s="61"/>
      <c r="O197" s="61"/>
      <c r="P197" s="61"/>
      <c r="Q197" s="61"/>
      <c r="R197" s="61"/>
      <c r="S197" s="52">
        <v>0.0</v>
      </c>
    </row>
    <row r="198">
      <c r="A198" s="52">
        <v>197.0</v>
      </c>
      <c r="B198" s="61"/>
      <c r="C198" s="61"/>
      <c r="D198" s="61"/>
      <c r="E198" s="61"/>
      <c r="F198" s="84" t="s">
        <v>316</v>
      </c>
      <c r="G198" s="85">
        <f t="shared" si="1"/>
        <v>1</v>
      </c>
      <c r="H198" s="86" t="s">
        <v>262</v>
      </c>
      <c r="I198" s="87">
        <v>12000.0</v>
      </c>
      <c r="J198" s="56">
        <f t="shared" si="10"/>
        <v>12000</v>
      </c>
      <c r="K198" s="90"/>
      <c r="L198" s="88">
        <v>12000.0</v>
      </c>
      <c r="M198" s="61"/>
      <c r="N198" s="61"/>
      <c r="O198" s="61"/>
      <c r="P198" s="61"/>
      <c r="Q198" s="61"/>
      <c r="R198" s="61"/>
      <c r="S198" s="52">
        <v>0.0</v>
      </c>
    </row>
    <row r="199">
      <c r="A199" s="52">
        <v>198.0</v>
      </c>
      <c r="B199" s="61"/>
      <c r="C199" s="61"/>
      <c r="D199" s="61"/>
      <c r="E199" s="61"/>
      <c r="F199" s="84" t="s">
        <v>317</v>
      </c>
      <c r="G199" s="85">
        <f t="shared" si="1"/>
        <v>2</v>
      </c>
      <c r="H199" s="86" t="s">
        <v>311</v>
      </c>
      <c r="I199" s="87">
        <v>12500.0</v>
      </c>
      <c r="J199" s="56">
        <f t="shared" si="10"/>
        <v>25000</v>
      </c>
      <c r="K199" s="90"/>
      <c r="L199" s="88">
        <v>12500.0</v>
      </c>
      <c r="M199" s="61"/>
      <c r="N199" s="61"/>
      <c r="O199" s="61"/>
      <c r="P199" s="61"/>
      <c r="Q199" s="61"/>
      <c r="R199" s="61"/>
      <c r="S199" s="52">
        <v>0.0</v>
      </c>
    </row>
    <row r="200">
      <c r="A200" s="52">
        <v>199.0</v>
      </c>
      <c r="B200" s="61"/>
      <c r="C200" s="61"/>
      <c r="D200" s="61"/>
      <c r="E200" s="61"/>
      <c r="F200" s="84" t="s">
        <v>318</v>
      </c>
      <c r="G200" s="85">
        <f t="shared" si="1"/>
        <v>6</v>
      </c>
      <c r="H200" s="86" t="s">
        <v>300</v>
      </c>
      <c r="I200" s="87">
        <v>10000.0</v>
      </c>
      <c r="J200" s="56">
        <f t="shared" si="10"/>
        <v>60000</v>
      </c>
      <c r="K200" s="90"/>
      <c r="L200" s="88">
        <v>10000.0</v>
      </c>
      <c r="M200" s="61"/>
      <c r="N200" s="61"/>
      <c r="O200" s="61"/>
      <c r="P200" s="61"/>
      <c r="Q200" s="61"/>
      <c r="R200" s="61"/>
      <c r="S200" s="52">
        <v>0.0</v>
      </c>
    </row>
    <row r="201">
      <c r="A201" s="52">
        <v>200.0</v>
      </c>
      <c r="B201" s="61"/>
      <c r="C201" s="61"/>
      <c r="D201" s="61"/>
      <c r="E201" s="61"/>
      <c r="F201" s="84" t="s">
        <v>319</v>
      </c>
      <c r="G201" s="85">
        <f t="shared" si="1"/>
        <v>4</v>
      </c>
      <c r="H201" s="86" t="s">
        <v>320</v>
      </c>
      <c r="I201" s="87">
        <v>8500.0</v>
      </c>
      <c r="J201" s="56">
        <f t="shared" si="10"/>
        <v>34000</v>
      </c>
      <c r="K201" s="90"/>
      <c r="L201" s="88">
        <v>8500.0</v>
      </c>
      <c r="M201" s="61"/>
      <c r="N201" s="61"/>
      <c r="O201" s="61"/>
      <c r="P201" s="61"/>
      <c r="Q201" s="61"/>
      <c r="R201" s="61"/>
      <c r="S201" s="52">
        <v>0.0</v>
      </c>
    </row>
    <row r="202">
      <c r="A202" s="52">
        <v>201.0</v>
      </c>
      <c r="B202" s="61"/>
      <c r="C202" s="61"/>
      <c r="D202" s="61"/>
      <c r="E202" s="61"/>
      <c r="F202" s="84" t="s">
        <v>321</v>
      </c>
      <c r="G202" s="85">
        <f t="shared" si="1"/>
        <v>1</v>
      </c>
      <c r="H202" s="86" t="s">
        <v>262</v>
      </c>
      <c r="I202" s="87">
        <v>9500.0</v>
      </c>
      <c r="J202" s="56">
        <f t="shared" si="10"/>
        <v>9500</v>
      </c>
      <c r="K202" s="90"/>
      <c r="L202" s="88">
        <v>9500.0</v>
      </c>
      <c r="M202" s="61"/>
      <c r="N202" s="61"/>
      <c r="O202" s="61"/>
      <c r="P202" s="61"/>
      <c r="Q202" s="61"/>
      <c r="R202" s="61"/>
      <c r="S202" s="52">
        <v>0.0</v>
      </c>
    </row>
    <row r="203">
      <c r="A203" s="52">
        <v>202.0</v>
      </c>
      <c r="B203" s="61"/>
      <c r="C203" s="61"/>
      <c r="D203" s="61"/>
      <c r="E203" s="61"/>
      <c r="F203" s="84" t="s">
        <v>322</v>
      </c>
      <c r="G203" s="85">
        <f t="shared" si="1"/>
        <v>2</v>
      </c>
      <c r="H203" s="86" t="s">
        <v>311</v>
      </c>
      <c r="I203" s="87">
        <v>6500.0</v>
      </c>
      <c r="J203" s="56">
        <f t="shared" si="10"/>
        <v>13000</v>
      </c>
      <c r="K203" s="90"/>
      <c r="L203" s="88">
        <v>6500.0</v>
      </c>
      <c r="M203" s="61"/>
      <c r="N203" s="61"/>
      <c r="O203" s="61"/>
      <c r="P203" s="61"/>
      <c r="Q203" s="61"/>
      <c r="R203" s="61"/>
      <c r="S203" s="52">
        <v>0.0</v>
      </c>
    </row>
    <row r="204">
      <c r="A204" s="52">
        <v>203.0</v>
      </c>
      <c r="B204" s="61"/>
      <c r="C204" s="61"/>
      <c r="D204" s="61"/>
      <c r="E204" s="61"/>
      <c r="F204" s="84" t="s">
        <v>323</v>
      </c>
      <c r="G204" s="85">
        <f t="shared" si="1"/>
        <v>2</v>
      </c>
      <c r="H204" s="86" t="s">
        <v>311</v>
      </c>
      <c r="I204" s="87">
        <v>6000.0</v>
      </c>
      <c r="J204" s="56">
        <f t="shared" si="10"/>
        <v>12000</v>
      </c>
      <c r="K204" s="90"/>
      <c r="L204" s="88">
        <v>6000.0</v>
      </c>
      <c r="M204" s="61"/>
      <c r="N204" s="61"/>
      <c r="O204" s="61"/>
      <c r="P204" s="61"/>
      <c r="Q204" s="61"/>
      <c r="R204" s="61"/>
      <c r="S204" s="52">
        <v>0.0</v>
      </c>
    </row>
    <row r="205">
      <c r="A205" s="52">
        <v>204.0</v>
      </c>
      <c r="B205" s="61"/>
      <c r="C205" s="61"/>
      <c r="D205" s="61"/>
      <c r="E205" s="61"/>
      <c r="F205" s="84" t="s">
        <v>324</v>
      </c>
      <c r="G205" s="85">
        <f t="shared" si="1"/>
        <v>3</v>
      </c>
      <c r="H205" s="86" t="s">
        <v>305</v>
      </c>
      <c r="I205" s="87">
        <v>2500.0</v>
      </c>
      <c r="J205" s="56">
        <f t="shared" si="10"/>
        <v>7500</v>
      </c>
      <c r="K205" s="90"/>
      <c r="L205" s="88">
        <v>2500.0</v>
      </c>
      <c r="M205" s="61"/>
      <c r="N205" s="61"/>
      <c r="O205" s="61"/>
      <c r="P205" s="61"/>
      <c r="Q205" s="61"/>
      <c r="R205" s="61"/>
      <c r="S205" s="52">
        <v>0.0</v>
      </c>
    </row>
    <row r="206">
      <c r="A206" s="52">
        <v>205.0</v>
      </c>
      <c r="B206" s="61"/>
      <c r="C206" s="61"/>
      <c r="D206" s="61"/>
      <c r="E206" s="61"/>
      <c r="F206" s="84" t="s">
        <v>325</v>
      </c>
      <c r="G206" s="85">
        <f t="shared" si="1"/>
        <v>6</v>
      </c>
      <c r="H206" s="86" t="s">
        <v>300</v>
      </c>
      <c r="I206" s="87">
        <v>27500.0</v>
      </c>
      <c r="J206" s="56">
        <f t="shared" si="10"/>
        <v>165000</v>
      </c>
      <c r="K206" s="90"/>
      <c r="L206" s="88">
        <v>27500.0</v>
      </c>
      <c r="M206" s="61"/>
      <c r="N206" s="61"/>
      <c r="O206" s="61"/>
      <c r="P206" s="61"/>
      <c r="Q206" s="61"/>
      <c r="R206" s="61"/>
      <c r="S206" s="52">
        <v>0.0</v>
      </c>
    </row>
    <row r="207">
      <c r="A207" s="74">
        <v>206.0</v>
      </c>
      <c r="B207" s="94"/>
      <c r="C207" s="94"/>
      <c r="D207" s="94"/>
      <c r="E207" s="94"/>
      <c r="F207" s="95" t="s">
        <v>326</v>
      </c>
      <c r="G207" s="85">
        <f t="shared" si="1"/>
        <v>4</v>
      </c>
      <c r="H207" s="96" t="s">
        <v>320</v>
      </c>
      <c r="I207" s="87">
        <v>0.0</v>
      </c>
      <c r="J207" s="56">
        <f t="shared" si="10"/>
        <v>0</v>
      </c>
      <c r="K207" s="97"/>
      <c r="L207" s="88">
        <v>0.0</v>
      </c>
      <c r="M207" s="94"/>
      <c r="N207" s="94"/>
      <c r="O207" s="94"/>
      <c r="P207" s="94"/>
      <c r="Q207" s="94"/>
      <c r="R207" s="94"/>
      <c r="S207" s="52">
        <v>0.0</v>
      </c>
      <c r="T207" s="98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  <c r="AF207" s="98"/>
      <c r="AG207" s="98"/>
    </row>
    <row r="208">
      <c r="A208" s="52">
        <v>207.0</v>
      </c>
      <c r="B208" s="61"/>
      <c r="C208" s="61"/>
      <c r="D208" s="61"/>
      <c r="E208" s="61"/>
      <c r="F208" s="84" t="s">
        <v>327</v>
      </c>
      <c r="G208" s="85">
        <f t="shared" si="1"/>
        <v>3</v>
      </c>
      <c r="H208" s="86" t="s">
        <v>305</v>
      </c>
      <c r="I208" s="87">
        <v>38000.0</v>
      </c>
      <c r="J208" s="56">
        <f t="shared" si="10"/>
        <v>114000</v>
      </c>
      <c r="K208" s="90"/>
      <c r="L208" s="88">
        <v>38000.0</v>
      </c>
      <c r="M208" s="61"/>
      <c r="N208" s="61"/>
      <c r="O208" s="61"/>
      <c r="P208" s="61"/>
      <c r="Q208" s="61"/>
      <c r="R208" s="61"/>
      <c r="S208" s="52">
        <v>0.0</v>
      </c>
    </row>
    <row r="209">
      <c r="A209" s="52">
        <v>208.0</v>
      </c>
      <c r="B209" s="61"/>
      <c r="C209" s="61"/>
      <c r="D209" s="61"/>
      <c r="E209" s="61"/>
      <c r="F209" s="84" t="s">
        <v>328</v>
      </c>
      <c r="G209" s="85">
        <f t="shared" si="1"/>
        <v>1</v>
      </c>
      <c r="H209" s="86" t="s">
        <v>262</v>
      </c>
      <c r="I209" s="87">
        <v>35000.0</v>
      </c>
      <c r="J209" s="56">
        <f t="shared" si="10"/>
        <v>35000</v>
      </c>
      <c r="K209" s="90"/>
      <c r="L209" s="88">
        <v>35000.0</v>
      </c>
      <c r="M209" s="61"/>
      <c r="N209" s="61"/>
      <c r="O209" s="61"/>
      <c r="P209" s="61"/>
      <c r="Q209" s="61"/>
      <c r="R209" s="61"/>
      <c r="S209" s="52">
        <v>0.0</v>
      </c>
    </row>
    <row r="210">
      <c r="A210" s="52">
        <v>209.0</v>
      </c>
      <c r="B210" s="61"/>
      <c r="C210" s="61"/>
      <c r="D210" s="61"/>
      <c r="E210" s="61"/>
      <c r="F210" s="84" t="s">
        <v>329</v>
      </c>
      <c r="G210" s="85">
        <f t="shared" si="1"/>
        <v>1</v>
      </c>
      <c r="H210" s="86" t="s">
        <v>262</v>
      </c>
      <c r="I210" s="87">
        <v>32000.0</v>
      </c>
      <c r="J210" s="56">
        <f t="shared" si="10"/>
        <v>32000</v>
      </c>
      <c r="K210" s="90"/>
      <c r="L210" s="88">
        <v>32000.0</v>
      </c>
      <c r="M210" s="61"/>
      <c r="N210" s="61"/>
      <c r="O210" s="61"/>
      <c r="P210" s="61"/>
      <c r="Q210" s="61"/>
      <c r="R210" s="61"/>
      <c r="S210" s="52">
        <v>0.0</v>
      </c>
    </row>
    <row r="211">
      <c r="A211" s="52">
        <v>210.0</v>
      </c>
      <c r="B211" s="61"/>
      <c r="C211" s="61"/>
      <c r="D211" s="61"/>
      <c r="E211" s="61"/>
      <c r="F211" s="84" t="s">
        <v>330</v>
      </c>
      <c r="G211" s="85">
        <f t="shared" si="1"/>
        <v>6</v>
      </c>
      <c r="H211" s="86" t="s">
        <v>300</v>
      </c>
      <c r="I211" s="87">
        <v>41000.0</v>
      </c>
      <c r="J211" s="56">
        <f t="shared" si="10"/>
        <v>246000</v>
      </c>
      <c r="K211" s="90"/>
      <c r="L211" s="88">
        <v>41000.0</v>
      </c>
      <c r="M211" s="61"/>
      <c r="N211" s="61"/>
      <c r="O211" s="61"/>
      <c r="P211" s="61"/>
      <c r="Q211" s="61"/>
      <c r="R211" s="61"/>
      <c r="S211" s="52">
        <v>0.0</v>
      </c>
    </row>
    <row r="212">
      <c r="A212" s="52">
        <v>211.0</v>
      </c>
      <c r="B212" s="61"/>
      <c r="C212" s="61"/>
      <c r="D212" s="61"/>
      <c r="E212" s="61"/>
      <c r="F212" s="84" t="s">
        <v>331</v>
      </c>
      <c r="G212" s="85">
        <f t="shared" si="1"/>
        <v>1</v>
      </c>
      <c r="H212" s="86" t="s">
        <v>262</v>
      </c>
      <c r="I212" s="87">
        <v>46000.0</v>
      </c>
      <c r="J212" s="56">
        <f t="shared" si="10"/>
        <v>46000</v>
      </c>
      <c r="K212" s="90"/>
      <c r="L212" s="88">
        <v>46000.0</v>
      </c>
      <c r="M212" s="61"/>
      <c r="N212" s="61"/>
      <c r="O212" s="61"/>
      <c r="P212" s="61"/>
      <c r="Q212" s="61"/>
      <c r="R212" s="61"/>
      <c r="S212" s="52">
        <v>0.0</v>
      </c>
    </row>
    <row r="213">
      <c r="A213" s="52">
        <v>212.0</v>
      </c>
      <c r="B213" s="61"/>
      <c r="C213" s="61"/>
      <c r="D213" s="61"/>
      <c r="E213" s="61"/>
      <c r="F213" s="84" t="s">
        <v>332</v>
      </c>
      <c r="G213" s="85">
        <f t="shared" si="1"/>
        <v>7</v>
      </c>
      <c r="H213" s="86" t="s">
        <v>280</v>
      </c>
      <c r="I213" s="87">
        <v>42000.0</v>
      </c>
      <c r="J213" s="56">
        <f t="shared" si="10"/>
        <v>294000</v>
      </c>
      <c r="K213" s="90"/>
      <c r="L213" s="88">
        <v>42000.0</v>
      </c>
      <c r="M213" s="61"/>
      <c r="N213" s="61"/>
      <c r="O213" s="61"/>
      <c r="P213" s="61"/>
      <c r="Q213" s="61"/>
      <c r="R213" s="61"/>
      <c r="S213" s="52">
        <v>0.0</v>
      </c>
    </row>
    <row r="214">
      <c r="A214" s="52">
        <v>213.0</v>
      </c>
      <c r="B214" s="61"/>
      <c r="C214" s="61"/>
      <c r="D214" s="61"/>
      <c r="E214" s="61"/>
      <c r="F214" s="84" t="s">
        <v>333</v>
      </c>
      <c r="G214" s="85">
        <f t="shared" si="1"/>
        <v>2</v>
      </c>
      <c r="H214" s="86" t="s">
        <v>311</v>
      </c>
      <c r="I214" s="87">
        <v>57500.0</v>
      </c>
      <c r="J214" s="56">
        <f t="shared" si="10"/>
        <v>115000</v>
      </c>
      <c r="K214" s="90"/>
      <c r="L214" s="88">
        <v>57500.0</v>
      </c>
      <c r="M214" s="61"/>
      <c r="N214" s="61"/>
      <c r="O214" s="61"/>
      <c r="P214" s="61"/>
      <c r="Q214" s="61"/>
      <c r="R214" s="61"/>
      <c r="S214" s="52">
        <v>0.0</v>
      </c>
    </row>
    <row r="215">
      <c r="A215" s="52">
        <v>214.0</v>
      </c>
      <c r="B215" s="61"/>
      <c r="C215" s="61"/>
      <c r="D215" s="61"/>
      <c r="E215" s="61"/>
      <c r="F215" s="84" t="s">
        <v>334</v>
      </c>
      <c r="G215" s="85">
        <f t="shared" si="1"/>
        <v>3</v>
      </c>
      <c r="H215" s="86" t="s">
        <v>305</v>
      </c>
      <c r="I215" s="87">
        <v>53000.0</v>
      </c>
      <c r="J215" s="56">
        <f t="shared" si="10"/>
        <v>159000</v>
      </c>
      <c r="K215" s="90"/>
      <c r="L215" s="88">
        <v>53000.0</v>
      </c>
      <c r="M215" s="61"/>
      <c r="N215" s="61"/>
      <c r="O215" s="61"/>
      <c r="P215" s="61"/>
      <c r="Q215" s="61"/>
      <c r="R215" s="61"/>
      <c r="S215" s="52">
        <v>0.0</v>
      </c>
    </row>
    <row r="216">
      <c r="A216" s="52">
        <v>215.0</v>
      </c>
      <c r="B216" s="61"/>
      <c r="C216" s="61"/>
      <c r="D216" s="61"/>
      <c r="E216" s="61"/>
      <c r="F216" s="84" t="s">
        <v>335</v>
      </c>
      <c r="G216" s="85">
        <f t="shared" si="1"/>
        <v>1</v>
      </c>
      <c r="H216" s="86" t="s">
        <v>262</v>
      </c>
      <c r="I216" s="87">
        <v>78000.0</v>
      </c>
      <c r="J216" s="56">
        <f t="shared" si="10"/>
        <v>78000</v>
      </c>
      <c r="K216" s="90"/>
      <c r="L216" s="88">
        <v>78000.0</v>
      </c>
      <c r="M216" s="61"/>
      <c r="N216" s="61"/>
      <c r="O216" s="61"/>
      <c r="P216" s="61"/>
      <c r="Q216" s="61"/>
      <c r="R216" s="61"/>
      <c r="S216" s="52">
        <v>0.0</v>
      </c>
    </row>
    <row r="217">
      <c r="A217" s="52">
        <v>216.0</v>
      </c>
      <c r="B217" s="61"/>
      <c r="C217" s="61"/>
      <c r="D217" s="61"/>
      <c r="E217" s="61"/>
      <c r="F217" s="84" t="s">
        <v>336</v>
      </c>
      <c r="G217" s="85">
        <f t="shared" si="1"/>
        <v>2</v>
      </c>
      <c r="H217" s="86" t="s">
        <v>311</v>
      </c>
      <c r="I217" s="87">
        <v>59000.0</v>
      </c>
      <c r="J217" s="56">
        <f t="shared" si="10"/>
        <v>118000</v>
      </c>
      <c r="K217" s="90"/>
      <c r="L217" s="88">
        <v>59000.0</v>
      </c>
      <c r="M217" s="61"/>
      <c r="N217" s="61"/>
      <c r="O217" s="61"/>
      <c r="P217" s="61"/>
      <c r="Q217" s="61"/>
      <c r="R217" s="61"/>
      <c r="S217" s="52">
        <v>0.0</v>
      </c>
    </row>
    <row r="218">
      <c r="A218" s="52">
        <v>217.0</v>
      </c>
      <c r="B218" s="61"/>
      <c r="C218" s="61"/>
      <c r="D218" s="61"/>
      <c r="E218" s="61"/>
      <c r="F218" s="84" t="s">
        <v>337</v>
      </c>
      <c r="G218" s="85">
        <f t="shared" si="1"/>
        <v>2</v>
      </c>
      <c r="H218" s="86" t="s">
        <v>311</v>
      </c>
      <c r="I218" s="87">
        <v>72000.0</v>
      </c>
      <c r="J218" s="56">
        <f t="shared" si="10"/>
        <v>144000</v>
      </c>
      <c r="K218" s="90"/>
      <c r="L218" s="88">
        <v>72000.0</v>
      </c>
      <c r="M218" s="61"/>
      <c r="N218" s="61"/>
      <c r="O218" s="61"/>
      <c r="P218" s="61"/>
      <c r="Q218" s="61"/>
      <c r="R218" s="61"/>
      <c r="S218" s="52">
        <v>0.0</v>
      </c>
    </row>
    <row r="219">
      <c r="A219" s="52">
        <v>218.0</v>
      </c>
      <c r="B219" s="61"/>
      <c r="C219" s="61"/>
      <c r="D219" s="61"/>
      <c r="E219" s="61"/>
      <c r="F219" s="84" t="s">
        <v>338</v>
      </c>
      <c r="G219" s="85">
        <f t="shared" si="1"/>
        <v>1</v>
      </c>
      <c r="H219" s="86" t="s">
        <v>262</v>
      </c>
      <c r="I219" s="87">
        <v>150000.0</v>
      </c>
      <c r="J219" s="56">
        <f t="shared" si="10"/>
        <v>150000</v>
      </c>
      <c r="K219" s="90"/>
      <c r="L219" s="88">
        <v>150000.0</v>
      </c>
      <c r="M219" s="61"/>
      <c r="N219" s="61"/>
      <c r="O219" s="61"/>
      <c r="P219" s="61"/>
      <c r="Q219" s="61"/>
      <c r="R219" s="61"/>
      <c r="S219" s="52">
        <v>0.0</v>
      </c>
    </row>
    <row r="220">
      <c r="A220" s="52">
        <v>219.0</v>
      </c>
      <c r="B220" s="61"/>
      <c r="C220" s="61"/>
      <c r="D220" s="61"/>
      <c r="E220" s="61"/>
      <c r="F220" s="84" t="s">
        <v>339</v>
      </c>
      <c r="G220" s="85">
        <f t="shared" si="1"/>
        <v>2</v>
      </c>
      <c r="H220" s="86" t="s">
        <v>311</v>
      </c>
      <c r="I220" s="87">
        <v>0.0</v>
      </c>
      <c r="J220" s="56">
        <f t="shared" si="10"/>
        <v>0</v>
      </c>
      <c r="K220" s="90"/>
      <c r="L220" s="88">
        <v>0.0</v>
      </c>
      <c r="M220" s="61"/>
      <c r="N220" s="61"/>
      <c r="O220" s="61"/>
      <c r="P220" s="61"/>
      <c r="Q220" s="61"/>
      <c r="R220" s="61"/>
      <c r="S220" s="52">
        <v>0.0</v>
      </c>
    </row>
    <row r="221">
      <c r="A221" s="52">
        <v>220.0</v>
      </c>
      <c r="B221" s="61"/>
      <c r="C221" s="61"/>
      <c r="D221" s="61"/>
      <c r="E221" s="61"/>
      <c r="F221" s="84" t="s">
        <v>340</v>
      </c>
      <c r="G221" s="85">
        <f t="shared" si="1"/>
        <v>4</v>
      </c>
      <c r="H221" s="86" t="s">
        <v>320</v>
      </c>
      <c r="I221" s="87">
        <v>71000.0</v>
      </c>
      <c r="J221" s="56">
        <f t="shared" si="10"/>
        <v>284000</v>
      </c>
      <c r="K221" s="90"/>
      <c r="L221" s="88">
        <v>71000.0</v>
      </c>
      <c r="M221" s="61"/>
      <c r="N221" s="61"/>
      <c r="O221" s="61"/>
      <c r="P221" s="61"/>
      <c r="Q221" s="61"/>
      <c r="R221" s="61"/>
      <c r="S221" s="52">
        <v>0.0</v>
      </c>
    </row>
    <row r="222">
      <c r="A222" s="52">
        <v>221.0</v>
      </c>
      <c r="B222" s="61"/>
      <c r="C222" s="61"/>
      <c r="D222" s="61"/>
      <c r="E222" s="61"/>
      <c r="F222" s="84" t="s">
        <v>341</v>
      </c>
      <c r="G222" s="85">
        <f t="shared" si="1"/>
        <v>1</v>
      </c>
      <c r="H222" s="86" t="s">
        <v>262</v>
      </c>
      <c r="I222" s="87">
        <v>43000.0</v>
      </c>
      <c r="J222" s="56">
        <f t="shared" si="10"/>
        <v>43000</v>
      </c>
      <c r="K222" s="90"/>
      <c r="L222" s="88">
        <v>43000.0</v>
      </c>
      <c r="M222" s="61"/>
      <c r="N222" s="61"/>
      <c r="O222" s="61"/>
      <c r="P222" s="61"/>
      <c r="Q222" s="61"/>
      <c r="R222" s="61"/>
      <c r="S222" s="52">
        <v>0.0</v>
      </c>
    </row>
    <row r="223">
      <c r="A223" s="52">
        <v>222.0</v>
      </c>
      <c r="B223" s="61"/>
      <c r="C223" s="61"/>
      <c r="D223" s="61"/>
      <c r="E223" s="61"/>
      <c r="F223" s="84" t="s">
        <v>342</v>
      </c>
      <c r="G223" s="85">
        <f t="shared" si="1"/>
        <v>1</v>
      </c>
      <c r="H223" s="86" t="s">
        <v>262</v>
      </c>
      <c r="I223" s="87">
        <v>19000.0</v>
      </c>
      <c r="J223" s="56">
        <f t="shared" si="10"/>
        <v>19000</v>
      </c>
      <c r="K223" s="90"/>
      <c r="L223" s="88">
        <v>19000.0</v>
      </c>
      <c r="M223" s="61"/>
      <c r="N223" s="61"/>
      <c r="O223" s="61"/>
      <c r="P223" s="61"/>
      <c r="Q223" s="61"/>
      <c r="R223" s="61"/>
      <c r="S223" s="52">
        <v>0.0</v>
      </c>
    </row>
    <row r="224">
      <c r="A224" s="52">
        <v>223.0</v>
      </c>
      <c r="B224" s="61"/>
      <c r="C224" s="61"/>
      <c r="D224" s="61"/>
      <c r="E224" s="61"/>
      <c r="F224" s="84" t="s">
        <v>343</v>
      </c>
      <c r="G224" s="85">
        <f t="shared" si="1"/>
        <v>1</v>
      </c>
      <c r="H224" s="86" t="s">
        <v>262</v>
      </c>
      <c r="I224" s="87">
        <v>23000.0</v>
      </c>
      <c r="J224" s="56">
        <f t="shared" si="10"/>
        <v>23000</v>
      </c>
      <c r="K224" s="90"/>
      <c r="L224" s="88">
        <v>23000.0</v>
      </c>
      <c r="M224" s="61"/>
      <c r="N224" s="61"/>
      <c r="O224" s="61"/>
      <c r="P224" s="61"/>
      <c r="Q224" s="61"/>
      <c r="R224" s="61"/>
      <c r="S224" s="52">
        <v>0.0</v>
      </c>
    </row>
    <row r="225">
      <c r="A225" s="52">
        <v>224.0</v>
      </c>
      <c r="B225" s="61"/>
      <c r="C225" s="61"/>
      <c r="D225" s="61"/>
      <c r="E225" s="61"/>
      <c r="F225" s="84" t="s">
        <v>344</v>
      </c>
      <c r="G225" s="85">
        <f t="shared" si="1"/>
        <v>6</v>
      </c>
      <c r="H225" s="86" t="s">
        <v>300</v>
      </c>
      <c r="I225" s="87">
        <v>5000.0</v>
      </c>
      <c r="J225" s="56">
        <f t="shared" si="10"/>
        <v>30000</v>
      </c>
      <c r="K225" s="90"/>
      <c r="L225" s="88">
        <v>5000.0</v>
      </c>
      <c r="M225" s="61"/>
      <c r="N225" s="61"/>
      <c r="O225" s="61"/>
      <c r="P225" s="61"/>
      <c r="Q225" s="61"/>
      <c r="R225" s="61"/>
      <c r="S225" s="52">
        <v>0.0</v>
      </c>
    </row>
    <row r="226">
      <c r="A226" s="52">
        <v>225.0</v>
      </c>
      <c r="B226" s="61"/>
      <c r="C226" s="61"/>
      <c r="D226" s="61"/>
      <c r="E226" s="61"/>
      <c r="F226" s="84" t="s">
        <v>345</v>
      </c>
      <c r="G226" s="85">
        <f t="shared" si="1"/>
        <v>13</v>
      </c>
      <c r="H226" s="86" t="s">
        <v>284</v>
      </c>
      <c r="I226" s="87">
        <v>15500.0</v>
      </c>
      <c r="J226" s="56">
        <f t="shared" si="10"/>
        <v>201500</v>
      </c>
      <c r="K226" s="90"/>
      <c r="L226" s="88">
        <v>15500.0</v>
      </c>
      <c r="M226" s="61"/>
      <c r="N226" s="61"/>
      <c r="O226" s="61"/>
      <c r="P226" s="61"/>
      <c r="Q226" s="61"/>
      <c r="R226" s="61"/>
      <c r="S226" s="52">
        <v>0.0</v>
      </c>
    </row>
    <row r="227">
      <c r="A227" s="52">
        <v>226.0</v>
      </c>
      <c r="B227" s="61"/>
      <c r="C227" s="61"/>
      <c r="D227" s="61"/>
      <c r="E227" s="61"/>
      <c r="F227" s="84" t="s">
        <v>346</v>
      </c>
      <c r="G227" s="85">
        <f t="shared" si="1"/>
        <v>15</v>
      </c>
      <c r="H227" s="86" t="s">
        <v>269</v>
      </c>
      <c r="I227" s="87">
        <v>17500.0</v>
      </c>
      <c r="J227" s="56">
        <f t="shared" si="10"/>
        <v>262500</v>
      </c>
      <c r="K227" s="90"/>
      <c r="L227" s="88">
        <v>17500.0</v>
      </c>
      <c r="M227" s="61"/>
      <c r="N227" s="61"/>
      <c r="O227" s="61"/>
      <c r="P227" s="61"/>
      <c r="Q227" s="61"/>
      <c r="R227" s="61"/>
      <c r="S227" s="52">
        <v>0.0</v>
      </c>
    </row>
    <row r="228">
      <c r="A228" s="52">
        <v>227.0</v>
      </c>
      <c r="B228" s="61"/>
      <c r="C228" s="61"/>
      <c r="D228" s="61"/>
      <c r="E228" s="61"/>
      <c r="F228" s="84" t="s">
        <v>347</v>
      </c>
      <c r="G228" s="85">
        <f t="shared" si="1"/>
        <v>19</v>
      </c>
      <c r="H228" s="86" t="s">
        <v>280</v>
      </c>
      <c r="I228" s="92">
        <v>19500.0</v>
      </c>
      <c r="J228" s="56">
        <f t="shared" si="10"/>
        <v>370500</v>
      </c>
      <c r="K228" s="90"/>
      <c r="L228" s="88">
        <v>21500.0</v>
      </c>
      <c r="M228" s="61"/>
      <c r="N228" s="61"/>
      <c r="O228" s="61"/>
      <c r="P228" s="61"/>
      <c r="Q228" s="61"/>
      <c r="R228" s="61"/>
      <c r="S228" s="52">
        <v>12.0</v>
      </c>
    </row>
    <row r="229">
      <c r="A229" s="52">
        <v>228.0</v>
      </c>
      <c r="B229" s="61"/>
      <c r="C229" s="61"/>
      <c r="D229" s="61"/>
      <c r="E229" s="61"/>
      <c r="F229" s="84" t="s">
        <v>348</v>
      </c>
      <c r="G229" s="85">
        <f t="shared" si="1"/>
        <v>1</v>
      </c>
      <c r="H229" s="86" t="s">
        <v>262</v>
      </c>
      <c r="I229" s="87">
        <v>30000.0</v>
      </c>
      <c r="J229" s="56">
        <f t="shared" si="10"/>
        <v>30000</v>
      </c>
      <c r="K229" s="90"/>
      <c r="L229" s="88">
        <v>30000.0</v>
      </c>
      <c r="M229" s="61"/>
      <c r="N229" s="61"/>
      <c r="O229" s="61"/>
      <c r="P229" s="61"/>
      <c r="Q229" s="61"/>
      <c r="R229" s="61"/>
      <c r="S229" s="52">
        <v>0.0</v>
      </c>
    </row>
    <row r="230">
      <c r="A230" s="52">
        <v>229.0</v>
      </c>
      <c r="B230" s="61"/>
      <c r="C230" s="61"/>
      <c r="D230" s="61"/>
      <c r="E230" s="61"/>
      <c r="F230" s="84" t="s">
        <v>349</v>
      </c>
      <c r="G230" s="85">
        <f t="shared" si="1"/>
        <v>1</v>
      </c>
      <c r="H230" s="86" t="s">
        <v>262</v>
      </c>
      <c r="I230" s="87">
        <v>25000.0</v>
      </c>
      <c r="J230" s="56">
        <f t="shared" si="10"/>
        <v>25000</v>
      </c>
      <c r="K230" s="90"/>
      <c r="L230" s="88">
        <v>25000.0</v>
      </c>
      <c r="M230" s="61"/>
      <c r="N230" s="61"/>
      <c r="O230" s="61"/>
      <c r="P230" s="61"/>
      <c r="Q230" s="61"/>
      <c r="R230" s="61"/>
      <c r="S230" s="52">
        <v>0.0</v>
      </c>
    </row>
    <row r="231">
      <c r="A231" s="52">
        <v>230.0</v>
      </c>
      <c r="B231" s="61"/>
      <c r="C231" s="61"/>
      <c r="D231" s="61"/>
      <c r="E231" s="61"/>
      <c r="F231" s="84" t="s">
        <v>350</v>
      </c>
      <c r="G231" s="85">
        <f t="shared" si="1"/>
        <v>8</v>
      </c>
      <c r="H231" s="86" t="s">
        <v>259</v>
      </c>
      <c r="I231" s="87">
        <v>10000.0</v>
      </c>
      <c r="J231" s="56">
        <f t="shared" si="10"/>
        <v>80000</v>
      </c>
      <c r="K231" s="90"/>
      <c r="L231" s="88">
        <v>10000.0</v>
      </c>
      <c r="M231" s="61"/>
      <c r="N231" s="61"/>
      <c r="O231" s="61"/>
      <c r="P231" s="61"/>
      <c r="Q231" s="61"/>
      <c r="R231" s="61"/>
      <c r="S231" s="52">
        <v>0.0</v>
      </c>
    </row>
    <row r="232">
      <c r="A232" s="52">
        <v>231.0</v>
      </c>
      <c r="B232" s="61"/>
      <c r="C232" s="61"/>
      <c r="D232" s="61"/>
      <c r="E232" s="61"/>
      <c r="F232" s="84" t="s">
        <v>351</v>
      </c>
      <c r="G232" s="85">
        <f t="shared" si="1"/>
        <v>0.4</v>
      </c>
      <c r="H232" s="86" t="s">
        <v>352</v>
      </c>
      <c r="I232" s="87">
        <v>26000.0</v>
      </c>
      <c r="J232" s="56">
        <f t="shared" si="10"/>
        <v>10400</v>
      </c>
      <c r="K232" s="90"/>
      <c r="L232" s="88">
        <v>26000.0</v>
      </c>
      <c r="M232" s="61"/>
      <c r="N232" s="61"/>
      <c r="O232" s="61"/>
      <c r="P232" s="61"/>
      <c r="Q232" s="61"/>
      <c r="R232" s="61"/>
      <c r="S232" s="52">
        <v>0.0</v>
      </c>
    </row>
    <row r="233">
      <c r="A233" s="52">
        <v>232.0</v>
      </c>
      <c r="B233" s="61"/>
      <c r="C233" s="61"/>
      <c r="D233" s="61"/>
      <c r="E233" s="61"/>
      <c r="F233" s="84" t="s">
        <v>353</v>
      </c>
      <c r="G233" s="85">
        <f t="shared" si="1"/>
        <v>5.5</v>
      </c>
      <c r="H233" s="86" t="s">
        <v>354</v>
      </c>
      <c r="I233" s="87">
        <v>24000.0</v>
      </c>
      <c r="J233" s="56">
        <f t="shared" si="10"/>
        <v>132000</v>
      </c>
      <c r="K233" s="90"/>
      <c r="L233" s="88">
        <v>24000.0</v>
      </c>
      <c r="M233" s="61"/>
      <c r="N233" s="61"/>
      <c r="O233" s="61"/>
      <c r="P233" s="61"/>
      <c r="Q233" s="61"/>
      <c r="R233" s="61"/>
      <c r="S233" s="52">
        <v>0.0</v>
      </c>
    </row>
    <row r="234">
      <c r="A234" s="52">
        <v>233.0</v>
      </c>
      <c r="B234" s="61"/>
      <c r="C234" s="61"/>
      <c r="D234" s="61"/>
      <c r="E234" s="61"/>
      <c r="F234" s="84" t="s">
        <v>355</v>
      </c>
      <c r="G234" s="85">
        <f t="shared" si="1"/>
        <v>8</v>
      </c>
      <c r="H234" s="86" t="s">
        <v>259</v>
      </c>
      <c r="I234" s="87">
        <v>30000.0</v>
      </c>
      <c r="J234" s="56">
        <f t="shared" si="10"/>
        <v>240000</v>
      </c>
      <c r="K234" s="90"/>
      <c r="L234" s="88">
        <v>30000.0</v>
      </c>
      <c r="M234" s="61"/>
      <c r="N234" s="61"/>
      <c r="O234" s="61"/>
      <c r="P234" s="61"/>
      <c r="Q234" s="61"/>
      <c r="R234" s="61"/>
      <c r="S234" s="52">
        <v>0.0</v>
      </c>
    </row>
    <row r="235">
      <c r="A235" s="52">
        <v>234.0</v>
      </c>
      <c r="B235" s="61"/>
      <c r="C235" s="61"/>
      <c r="D235" s="61"/>
      <c r="E235" s="61"/>
      <c r="F235" s="84" t="s">
        <v>356</v>
      </c>
      <c r="G235" s="85">
        <f t="shared" si="1"/>
        <v>10</v>
      </c>
      <c r="H235" s="86" t="s">
        <v>277</v>
      </c>
      <c r="I235" s="87">
        <v>3000.0</v>
      </c>
      <c r="J235" s="56">
        <f t="shared" si="10"/>
        <v>30000</v>
      </c>
      <c r="K235" s="90"/>
      <c r="L235" s="88">
        <v>3000.0</v>
      </c>
      <c r="M235" s="61"/>
      <c r="N235" s="61"/>
      <c r="O235" s="61"/>
      <c r="P235" s="61"/>
      <c r="Q235" s="61"/>
      <c r="R235" s="61"/>
      <c r="S235" s="52">
        <v>0.0</v>
      </c>
    </row>
    <row r="236">
      <c r="A236" s="52">
        <v>235.0</v>
      </c>
      <c r="B236" s="61"/>
      <c r="C236" s="61"/>
      <c r="D236" s="61"/>
      <c r="E236" s="61"/>
      <c r="F236" s="84" t="s">
        <v>357</v>
      </c>
      <c r="G236" s="85">
        <f t="shared" si="1"/>
        <v>3</v>
      </c>
      <c r="H236" s="86" t="s">
        <v>305</v>
      </c>
      <c r="I236" s="87">
        <v>5000.0</v>
      </c>
      <c r="J236" s="56">
        <f t="shared" si="10"/>
        <v>15000</v>
      </c>
      <c r="K236" s="90"/>
      <c r="L236" s="88">
        <v>5000.0</v>
      </c>
      <c r="M236" s="61"/>
      <c r="N236" s="61"/>
      <c r="O236" s="61"/>
      <c r="P236" s="61"/>
      <c r="Q236" s="61"/>
      <c r="R236" s="61"/>
      <c r="S236" s="52">
        <v>0.0</v>
      </c>
    </row>
    <row r="237">
      <c r="A237" s="52">
        <v>236.0</v>
      </c>
      <c r="B237" s="61"/>
      <c r="C237" s="61"/>
      <c r="D237" s="61"/>
      <c r="E237" s="61"/>
      <c r="F237" s="84" t="s">
        <v>358</v>
      </c>
      <c r="G237" s="85">
        <f t="shared" si="1"/>
        <v>2</v>
      </c>
      <c r="H237" s="86" t="s">
        <v>311</v>
      </c>
      <c r="I237" s="87">
        <v>29500.0</v>
      </c>
      <c r="J237" s="56">
        <f t="shared" si="10"/>
        <v>59000</v>
      </c>
      <c r="K237" s="90"/>
      <c r="L237" s="88">
        <v>29500.0</v>
      </c>
      <c r="M237" s="61"/>
      <c r="N237" s="61"/>
      <c r="O237" s="61"/>
      <c r="P237" s="61"/>
      <c r="Q237" s="61"/>
      <c r="R237" s="61"/>
      <c r="S237" s="52">
        <v>0.0</v>
      </c>
    </row>
    <row r="238">
      <c r="A238" s="52">
        <v>237.0</v>
      </c>
      <c r="B238" s="61"/>
      <c r="C238" s="61"/>
      <c r="D238" s="61"/>
      <c r="E238" s="61"/>
      <c r="F238" s="84" t="s">
        <v>359</v>
      </c>
      <c r="G238" s="85">
        <f t="shared" si="1"/>
        <v>1</v>
      </c>
      <c r="H238" s="86" t="s">
        <v>262</v>
      </c>
      <c r="I238" s="87">
        <v>1600.0</v>
      </c>
      <c r="J238" s="56">
        <f t="shared" si="10"/>
        <v>1600</v>
      </c>
      <c r="K238" s="90"/>
      <c r="L238" s="88">
        <v>1600.0</v>
      </c>
      <c r="M238" s="61"/>
      <c r="N238" s="61"/>
      <c r="O238" s="61"/>
      <c r="P238" s="61"/>
      <c r="Q238" s="61"/>
      <c r="R238" s="61"/>
      <c r="S238" s="52">
        <v>0.0</v>
      </c>
    </row>
    <row r="239">
      <c r="A239" s="52">
        <v>238.0</v>
      </c>
      <c r="B239" s="61"/>
      <c r="C239" s="61"/>
      <c r="D239" s="61"/>
      <c r="E239" s="61"/>
      <c r="F239" s="84" t="s">
        <v>360</v>
      </c>
      <c r="G239" s="85">
        <f t="shared" si="1"/>
        <v>4</v>
      </c>
      <c r="H239" s="86" t="s">
        <v>320</v>
      </c>
      <c r="I239" s="87">
        <v>4500.0</v>
      </c>
      <c r="J239" s="56">
        <f t="shared" si="10"/>
        <v>18000</v>
      </c>
      <c r="K239" s="90"/>
      <c r="L239" s="93">
        <v>3000.0</v>
      </c>
      <c r="M239" s="61"/>
      <c r="N239" s="61"/>
      <c r="O239" s="61"/>
      <c r="P239" s="61"/>
      <c r="Q239" s="61"/>
      <c r="R239" s="61"/>
      <c r="S239" s="52">
        <v>0.0</v>
      </c>
    </row>
    <row r="240">
      <c r="A240" s="52">
        <v>239.0</v>
      </c>
      <c r="B240" s="61"/>
      <c r="C240" s="61"/>
      <c r="D240" s="61"/>
      <c r="E240" s="61"/>
      <c r="F240" s="84" t="s">
        <v>361</v>
      </c>
      <c r="G240" s="85">
        <f t="shared" si="1"/>
        <v>1</v>
      </c>
      <c r="H240" s="86" t="s">
        <v>262</v>
      </c>
      <c r="I240" s="87">
        <v>41500.0</v>
      </c>
      <c r="J240" s="56">
        <f t="shared" si="10"/>
        <v>41500</v>
      </c>
      <c r="K240" s="90"/>
      <c r="L240" s="88">
        <v>41500.0</v>
      </c>
      <c r="M240" s="61"/>
      <c r="N240" s="61"/>
      <c r="O240" s="61"/>
      <c r="P240" s="61"/>
      <c r="Q240" s="61"/>
      <c r="R240" s="61"/>
      <c r="S240" s="52">
        <v>0.0</v>
      </c>
    </row>
    <row r="241">
      <c r="A241" s="52">
        <v>240.0</v>
      </c>
      <c r="B241" s="61"/>
      <c r="C241" s="61"/>
      <c r="D241" s="61"/>
      <c r="E241" s="61"/>
      <c r="F241" s="84" t="s">
        <v>362</v>
      </c>
      <c r="G241" s="85">
        <f t="shared" si="1"/>
        <v>1</v>
      </c>
      <c r="H241" s="86" t="s">
        <v>262</v>
      </c>
      <c r="I241" s="87">
        <v>35000.0</v>
      </c>
      <c r="J241" s="56">
        <f t="shared" si="10"/>
        <v>35000</v>
      </c>
      <c r="K241" s="90"/>
      <c r="L241" s="88">
        <v>35000.0</v>
      </c>
      <c r="M241" s="61"/>
      <c r="N241" s="61"/>
      <c r="O241" s="61"/>
      <c r="P241" s="61"/>
      <c r="Q241" s="61"/>
      <c r="R241" s="61"/>
      <c r="S241" s="52">
        <v>0.0</v>
      </c>
    </row>
    <row r="242">
      <c r="A242" s="52">
        <v>241.0</v>
      </c>
      <c r="B242" s="61"/>
      <c r="C242" s="61"/>
      <c r="D242" s="61"/>
      <c r="E242" s="61"/>
      <c r="F242" s="84" t="s">
        <v>363</v>
      </c>
      <c r="G242" s="85">
        <f t="shared" si="1"/>
        <v>1</v>
      </c>
      <c r="H242" s="86" t="s">
        <v>262</v>
      </c>
      <c r="I242" s="87">
        <v>35000.0</v>
      </c>
      <c r="J242" s="56">
        <f t="shared" si="10"/>
        <v>35000</v>
      </c>
      <c r="K242" s="90"/>
      <c r="L242" s="88">
        <v>35000.0</v>
      </c>
      <c r="M242" s="61"/>
      <c r="N242" s="61"/>
      <c r="O242" s="61"/>
      <c r="P242" s="61"/>
      <c r="Q242" s="61"/>
      <c r="R242" s="61"/>
      <c r="S242" s="52">
        <v>0.0</v>
      </c>
    </row>
    <row r="243">
      <c r="A243" s="52">
        <v>242.0</v>
      </c>
      <c r="B243" s="61"/>
      <c r="C243" s="61"/>
      <c r="D243" s="61"/>
      <c r="E243" s="61"/>
      <c r="F243" s="84" t="s">
        <v>364</v>
      </c>
      <c r="G243" s="85">
        <f t="shared" si="1"/>
        <v>0.5</v>
      </c>
      <c r="H243" s="86" t="s">
        <v>365</v>
      </c>
      <c r="I243" s="87">
        <v>25000.0</v>
      </c>
      <c r="J243" s="56">
        <f t="shared" si="10"/>
        <v>12500</v>
      </c>
      <c r="K243" s="90"/>
      <c r="L243" s="88">
        <v>25000.0</v>
      </c>
      <c r="M243" s="61"/>
      <c r="N243" s="61"/>
      <c r="O243" s="61"/>
      <c r="P243" s="61"/>
      <c r="Q243" s="61"/>
      <c r="R243" s="61"/>
      <c r="S243" s="52">
        <v>0.0</v>
      </c>
    </row>
    <row r="244">
      <c r="A244" s="52">
        <v>243.0</v>
      </c>
      <c r="B244" s="61"/>
      <c r="C244" s="61"/>
      <c r="D244" s="61"/>
      <c r="E244" s="61"/>
      <c r="F244" s="84" t="s">
        <v>366</v>
      </c>
      <c r="G244" s="85">
        <f t="shared" si="1"/>
        <v>7</v>
      </c>
      <c r="H244" s="86" t="s">
        <v>280</v>
      </c>
      <c r="I244" s="87">
        <v>7500.0</v>
      </c>
      <c r="J244" s="56">
        <f t="shared" si="10"/>
        <v>52500</v>
      </c>
      <c r="K244" s="90"/>
      <c r="L244" s="88">
        <v>7500.0</v>
      </c>
      <c r="M244" s="61"/>
      <c r="N244" s="61"/>
      <c r="O244" s="61"/>
      <c r="P244" s="61"/>
      <c r="Q244" s="61"/>
      <c r="R244" s="61"/>
      <c r="S244" s="52">
        <v>0.0</v>
      </c>
    </row>
    <row r="245">
      <c r="A245" s="52">
        <v>244.0</v>
      </c>
      <c r="B245" s="61"/>
      <c r="C245" s="61"/>
      <c r="D245" s="61"/>
      <c r="E245" s="61"/>
      <c r="F245" s="84" t="s">
        <v>367</v>
      </c>
      <c r="G245" s="85">
        <f t="shared" si="1"/>
        <v>0.5</v>
      </c>
      <c r="H245" s="86" t="s">
        <v>365</v>
      </c>
      <c r="I245" s="87">
        <v>26000.0</v>
      </c>
      <c r="J245" s="56">
        <f t="shared" si="10"/>
        <v>13000</v>
      </c>
      <c r="K245" s="90"/>
      <c r="L245" s="88">
        <v>26000.0</v>
      </c>
      <c r="M245" s="61"/>
      <c r="N245" s="61"/>
      <c r="O245" s="61"/>
      <c r="P245" s="61"/>
      <c r="Q245" s="61"/>
      <c r="R245" s="61"/>
      <c r="S245" s="52">
        <v>0.0</v>
      </c>
    </row>
    <row r="246">
      <c r="A246" s="52">
        <v>245.0</v>
      </c>
      <c r="B246" s="61"/>
      <c r="C246" s="61"/>
      <c r="D246" s="61"/>
      <c r="E246" s="61"/>
      <c r="F246" s="84" t="s">
        <v>368</v>
      </c>
      <c r="G246" s="85">
        <f t="shared" si="1"/>
        <v>5.5</v>
      </c>
      <c r="H246" s="86" t="s">
        <v>354</v>
      </c>
      <c r="I246" s="87">
        <v>2600.0</v>
      </c>
      <c r="J246" s="56">
        <f t="shared" si="10"/>
        <v>14300</v>
      </c>
      <c r="K246" s="90"/>
      <c r="L246" s="88">
        <v>2600.0</v>
      </c>
      <c r="M246" s="61"/>
      <c r="N246" s="61"/>
      <c r="O246" s="61"/>
      <c r="P246" s="61"/>
      <c r="Q246" s="61"/>
      <c r="R246" s="61"/>
      <c r="S246" s="52">
        <v>0.0</v>
      </c>
    </row>
    <row r="247">
      <c r="A247" s="52">
        <v>246.0</v>
      </c>
      <c r="B247" s="61"/>
      <c r="C247" s="61"/>
      <c r="D247" s="61"/>
      <c r="E247" s="61"/>
      <c r="F247" s="84" t="s">
        <v>369</v>
      </c>
      <c r="G247" s="85">
        <f t="shared" si="1"/>
        <v>4</v>
      </c>
      <c r="H247" s="86" t="s">
        <v>320</v>
      </c>
      <c r="I247" s="87">
        <v>13500.0</v>
      </c>
      <c r="J247" s="56">
        <f t="shared" si="10"/>
        <v>54000</v>
      </c>
      <c r="K247" s="90"/>
      <c r="L247" s="88">
        <v>13500.0</v>
      </c>
      <c r="M247" s="61"/>
      <c r="N247" s="61"/>
      <c r="O247" s="61"/>
      <c r="P247" s="61"/>
      <c r="Q247" s="61"/>
      <c r="R247" s="61"/>
      <c r="S247" s="52">
        <v>0.0</v>
      </c>
    </row>
    <row r="248">
      <c r="A248" s="52">
        <v>247.0</v>
      </c>
      <c r="B248" s="61"/>
      <c r="C248" s="61"/>
      <c r="D248" s="61"/>
      <c r="E248" s="61"/>
      <c r="F248" s="84" t="s">
        <v>370</v>
      </c>
      <c r="G248" s="85">
        <f t="shared" si="1"/>
        <v>2</v>
      </c>
      <c r="H248" s="86" t="s">
        <v>311</v>
      </c>
      <c r="I248" s="87">
        <v>5500.0</v>
      </c>
      <c r="J248" s="56">
        <f t="shared" si="10"/>
        <v>11000</v>
      </c>
      <c r="K248" s="90"/>
      <c r="L248" s="88">
        <v>5500.0</v>
      </c>
      <c r="M248" s="61"/>
      <c r="N248" s="61"/>
      <c r="O248" s="61"/>
      <c r="P248" s="61"/>
      <c r="Q248" s="61"/>
      <c r="R248" s="61"/>
      <c r="S248" s="52">
        <v>0.0</v>
      </c>
    </row>
    <row r="249">
      <c r="A249" s="52">
        <v>248.0</v>
      </c>
      <c r="B249" s="61"/>
      <c r="C249" s="61"/>
      <c r="D249" s="61"/>
      <c r="E249" s="61"/>
      <c r="F249" s="99" t="s">
        <v>371</v>
      </c>
      <c r="G249" s="85">
        <f t="shared" si="1"/>
        <v>3</v>
      </c>
      <c r="H249" s="86" t="s">
        <v>305</v>
      </c>
      <c r="I249" s="87">
        <v>7500.0</v>
      </c>
      <c r="J249" s="56">
        <f t="shared" si="10"/>
        <v>22500</v>
      </c>
      <c r="K249" s="90"/>
      <c r="L249" s="88">
        <v>7500.0</v>
      </c>
      <c r="M249" s="61"/>
      <c r="N249" s="61"/>
      <c r="O249" s="61"/>
      <c r="P249" s="61"/>
      <c r="Q249" s="61"/>
      <c r="R249" s="61"/>
      <c r="S249" s="52">
        <v>0.0</v>
      </c>
    </row>
    <row r="250">
      <c r="A250" s="52">
        <v>249.0</v>
      </c>
      <c r="B250" s="61"/>
      <c r="C250" s="61"/>
      <c r="D250" s="61"/>
      <c r="E250" s="61"/>
      <c r="F250" s="84" t="s">
        <v>372</v>
      </c>
      <c r="G250" s="85">
        <f t="shared" si="1"/>
        <v>1</v>
      </c>
      <c r="H250" s="86" t="s">
        <v>262</v>
      </c>
      <c r="I250" s="87">
        <v>25000.0</v>
      </c>
      <c r="J250" s="56">
        <f t="shared" si="10"/>
        <v>25000</v>
      </c>
      <c r="K250" s="90"/>
      <c r="L250" s="88">
        <v>25000.0</v>
      </c>
      <c r="M250" s="61"/>
      <c r="N250" s="61"/>
      <c r="O250" s="61"/>
      <c r="P250" s="61"/>
      <c r="Q250" s="61"/>
      <c r="R250" s="61"/>
      <c r="S250" s="52">
        <v>0.0</v>
      </c>
    </row>
    <row r="251">
      <c r="A251" s="52">
        <v>250.0</v>
      </c>
      <c r="B251" s="61"/>
      <c r="C251" s="61"/>
      <c r="D251" s="61"/>
      <c r="E251" s="61"/>
      <c r="F251" s="84" t="s">
        <v>373</v>
      </c>
      <c r="G251" s="85">
        <f t="shared" si="1"/>
        <v>2</v>
      </c>
      <c r="H251" s="86" t="s">
        <v>311</v>
      </c>
      <c r="I251" s="87">
        <v>17000.0</v>
      </c>
      <c r="J251" s="56">
        <f t="shared" si="10"/>
        <v>34000</v>
      </c>
      <c r="K251" s="90"/>
      <c r="L251" s="88">
        <v>17000.0</v>
      </c>
      <c r="M251" s="61"/>
      <c r="N251" s="61"/>
      <c r="O251" s="61"/>
      <c r="P251" s="61"/>
      <c r="Q251" s="61"/>
      <c r="R251" s="61"/>
      <c r="S251" s="52">
        <v>0.0</v>
      </c>
    </row>
    <row r="252">
      <c r="A252" s="52">
        <v>251.0</v>
      </c>
      <c r="B252" s="61"/>
      <c r="C252" s="61"/>
      <c r="D252" s="61"/>
      <c r="E252" s="61"/>
      <c r="F252" s="84" t="s">
        <v>374</v>
      </c>
      <c r="G252" s="85">
        <f t="shared" si="1"/>
        <v>1</v>
      </c>
      <c r="H252" s="86" t="s">
        <v>262</v>
      </c>
      <c r="I252" s="87">
        <v>14000.0</v>
      </c>
      <c r="J252" s="56">
        <f t="shared" si="10"/>
        <v>14000</v>
      </c>
      <c r="K252" s="90"/>
      <c r="L252" s="88">
        <v>14000.0</v>
      </c>
      <c r="M252" s="61"/>
      <c r="N252" s="61"/>
      <c r="O252" s="61"/>
      <c r="P252" s="61"/>
      <c r="Q252" s="61"/>
      <c r="R252" s="61"/>
      <c r="S252" s="52">
        <v>0.0</v>
      </c>
    </row>
    <row r="253">
      <c r="A253" s="52">
        <v>252.0</v>
      </c>
      <c r="B253" s="61"/>
      <c r="C253" s="61"/>
      <c r="D253" s="61"/>
      <c r="E253" s="61"/>
      <c r="F253" s="84" t="s">
        <v>375</v>
      </c>
      <c r="G253" s="85">
        <f t="shared" si="1"/>
        <v>57</v>
      </c>
      <c r="H253" s="86" t="s">
        <v>376</v>
      </c>
      <c r="I253" s="87">
        <v>25000.0</v>
      </c>
      <c r="J253" s="56">
        <f t="shared" si="10"/>
        <v>1425000</v>
      </c>
      <c r="K253" s="90"/>
      <c r="L253" s="88">
        <v>25000.0</v>
      </c>
      <c r="M253" s="61"/>
      <c r="N253" s="61"/>
      <c r="O253" s="61"/>
      <c r="P253" s="61"/>
      <c r="Q253" s="61"/>
      <c r="R253" s="61"/>
      <c r="S253" s="52">
        <v>0.0</v>
      </c>
    </row>
    <row r="254">
      <c r="A254" s="52">
        <v>253.0</v>
      </c>
      <c r="B254" s="61"/>
      <c r="C254" s="61"/>
      <c r="D254" s="61"/>
      <c r="E254" s="61"/>
      <c r="F254" s="84" t="s">
        <v>377</v>
      </c>
      <c r="G254" s="85">
        <f t="shared" si="1"/>
        <v>1</v>
      </c>
      <c r="H254" s="86" t="s">
        <v>262</v>
      </c>
      <c r="I254" s="87">
        <v>6000.0</v>
      </c>
      <c r="J254" s="56">
        <f t="shared" si="10"/>
        <v>6000</v>
      </c>
      <c r="K254" s="90"/>
      <c r="L254" s="88">
        <v>6000.0</v>
      </c>
      <c r="M254" s="61"/>
      <c r="N254" s="61"/>
      <c r="O254" s="61"/>
      <c r="P254" s="61"/>
      <c r="Q254" s="61"/>
      <c r="R254" s="61"/>
      <c r="S254" s="52">
        <v>0.0</v>
      </c>
    </row>
    <row r="255">
      <c r="A255" s="52">
        <v>254.0</v>
      </c>
      <c r="B255" s="61"/>
      <c r="C255" s="61"/>
      <c r="D255" s="61"/>
      <c r="E255" s="61"/>
      <c r="F255" s="84" t="s">
        <v>378</v>
      </c>
      <c r="G255" s="85">
        <f t="shared" si="1"/>
        <v>1</v>
      </c>
      <c r="H255" s="86" t="s">
        <v>262</v>
      </c>
      <c r="I255" s="87">
        <v>14000.0</v>
      </c>
      <c r="J255" s="56">
        <f t="shared" si="10"/>
        <v>14000</v>
      </c>
      <c r="K255" s="90"/>
      <c r="L255" s="88">
        <v>14000.0</v>
      </c>
      <c r="M255" s="61"/>
      <c r="N255" s="61"/>
      <c r="O255" s="61"/>
      <c r="P255" s="61"/>
      <c r="Q255" s="61"/>
      <c r="R255" s="61"/>
      <c r="S255" s="52">
        <v>0.0</v>
      </c>
    </row>
    <row r="256">
      <c r="A256" s="52">
        <v>255.0</v>
      </c>
      <c r="B256" s="61"/>
      <c r="C256" s="61"/>
      <c r="D256" s="61"/>
      <c r="E256" s="61"/>
      <c r="F256" s="84" t="s">
        <v>379</v>
      </c>
      <c r="G256" s="85">
        <f t="shared" si="1"/>
        <v>1</v>
      </c>
      <c r="H256" s="86" t="s">
        <v>262</v>
      </c>
      <c r="I256" s="87">
        <v>15000.0</v>
      </c>
      <c r="J256" s="56">
        <f t="shared" si="10"/>
        <v>15000</v>
      </c>
      <c r="K256" s="90"/>
      <c r="L256" s="88">
        <v>15000.0</v>
      </c>
      <c r="M256" s="61"/>
      <c r="N256" s="61"/>
      <c r="O256" s="61"/>
      <c r="P256" s="61"/>
      <c r="Q256" s="61"/>
      <c r="R256" s="61"/>
      <c r="S256" s="52">
        <v>0.0</v>
      </c>
    </row>
    <row r="257">
      <c r="A257" s="52">
        <v>256.0</v>
      </c>
      <c r="B257" s="61"/>
      <c r="C257" s="61"/>
      <c r="D257" s="61"/>
      <c r="E257" s="61"/>
      <c r="F257" s="84" t="s">
        <v>380</v>
      </c>
      <c r="G257" s="85">
        <f t="shared" si="1"/>
        <v>4</v>
      </c>
      <c r="H257" s="86" t="s">
        <v>320</v>
      </c>
      <c r="I257" s="87">
        <v>31500.0</v>
      </c>
      <c r="J257" s="56">
        <f t="shared" si="10"/>
        <v>126000</v>
      </c>
      <c r="K257" s="90"/>
      <c r="L257" s="88">
        <v>31500.0</v>
      </c>
      <c r="M257" s="61"/>
      <c r="N257" s="61"/>
      <c r="O257" s="61"/>
      <c r="P257" s="61"/>
      <c r="Q257" s="61"/>
      <c r="R257" s="61"/>
      <c r="S257" s="52">
        <v>0.0</v>
      </c>
    </row>
    <row r="258">
      <c r="A258" s="52">
        <v>257.0</v>
      </c>
      <c r="B258" s="61"/>
      <c r="C258" s="61"/>
      <c r="D258" s="61"/>
      <c r="E258" s="61"/>
      <c r="F258" s="84" t="s">
        <v>381</v>
      </c>
      <c r="G258" s="85">
        <f t="shared" si="1"/>
        <v>1</v>
      </c>
      <c r="H258" s="86" t="s">
        <v>262</v>
      </c>
      <c r="I258" s="87">
        <v>25000.0</v>
      </c>
      <c r="J258" s="56">
        <f t="shared" si="10"/>
        <v>25000</v>
      </c>
      <c r="K258" s="90"/>
      <c r="L258" s="88">
        <v>25000.0</v>
      </c>
      <c r="M258" s="61"/>
      <c r="N258" s="61"/>
      <c r="O258" s="61"/>
      <c r="P258" s="61"/>
      <c r="Q258" s="61"/>
      <c r="R258" s="61"/>
      <c r="S258" s="52">
        <v>0.0</v>
      </c>
    </row>
    <row r="259">
      <c r="A259" s="52">
        <v>258.0</v>
      </c>
      <c r="B259" s="61"/>
      <c r="C259" s="61"/>
      <c r="D259" s="61"/>
      <c r="E259" s="61"/>
      <c r="F259" s="84" t="s">
        <v>382</v>
      </c>
      <c r="G259" s="85">
        <f t="shared" si="1"/>
        <v>4</v>
      </c>
      <c r="H259" s="86" t="s">
        <v>320</v>
      </c>
      <c r="I259" s="87">
        <v>6000.0</v>
      </c>
      <c r="J259" s="56">
        <f t="shared" si="10"/>
        <v>24000</v>
      </c>
      <c r="K259" s="90"/>
      <c r="L259" s="93">
        <v>7000.0</v>
      </c>
      <c r="M259" s="61"/>
      <c r="N259" s="61"/>
      <c r="O259" s="61"/>
      <c r="P259" s="61"/>
      <c r="Q259" s="61"/>
      <c r="R259" s="61"/>
      <c r="S259" s="52">
        <v>0.0</v>
      </c>
    </row>
    <row r="260">
      <c r="A260" s="52">
        <v>259.0</v>
      </c>
      <c r="B260" s="61"/>
      <c r="C260" s="61"/>
      <c r="D260" s="61"/>
      <c r="E260" s="61"/>
      <c r="F260" s="84" t="s">
        <v>383</v>
      </c>
      <c r="G260" s="85">
        <f t="shared" si="1"/>
        <v>20</v>
      </c>
      <c r="H260" s="86" t="s">
        <v>384</v>
      </c>
      <c r="I260" s="87">
        <v>0.0</v>
      </c>
      <c r="J260" s="56">
        <f t="shared" si="10"/>
        <v>0</v>
      </c>
      <c r="K260" s="90"/>
      <c r="L260" s="88">
        <v>0.0</v>
      </c>
      <c r="M260" s="61"/>
      <c r="N260" s="61"/>
      <c r="O260" s="61"/>
      <c r="P260" s="61"/>
      <c r="Q260" s="61"/>
      <c r="R260" s="61"/>
      <c r="S260" s="52">
        <v>0.0</v>
      </c>
    </row>
    <row r="261">
      <c r="A261" s="52">
        <v>260.0</v>
      </c>
      <c r="B261" s="61"/>
      <c r="C261" s="61"/>
      <c r="D261" s="61"/>
      <c r="E261" s="61"/>
      <c r="F261" s="84" t="s">
        <v>385</v>
      </c>
      <c r="G261" s="85">
        <f t="shared" si="1"/>
        <v>2</v>
      </c>
      <c r="H261" s="86" t="s">
        <v>311</v>
      </c>
      <c r="I261" s="87">
        <v>23000.0</v>
      </c>
      <c r="J261" s="56">
        <f t="shared" si="10"/>
        <v>46000</v>
      </c>
      <c r="K261" s="90"/>
      <c r="L261" s="88">
        <v>23000.0</v>
      </c>
      <c r="M261" s="61"/>
      <c r="N261" s="61"/>
      <c r="O261" s="61"/>
      <c r="P261" s="61"/>
      <c r="Q261" s="61"/>
      <c r="R261" s="61"/>
      <c r="S261" s="52">
        <v>0.0</v>
      </c>
    </row>
    <row r="262">
      <c r="A262" s="52">
        <v>261.0</v>
      </c>
      <c r="B262" s="61"/>
      <c r="C262" s="61"/>
      <c r="D262" s="61"/>
      <c r="E262" s="61"/>
      <c r="F262" s="84" t="s">
        <v>386</v>
      </c>
      <c r="G262" s="85">
        <f t="shared" si="1"/>
        <v>2</v>
      </c>
      <c r="H262" s="86" t="s">
        <v>311</v>
      </c>
      <c r="I262" s="87">
        <v>15000.0</v>
      </c>
      <c r="J262" s="56">
        <f t="shared" si="10"/>
        <v>30000</v>
      </c>
      <c r="K262" s="90"/>
      <c r="L262" s="88">
        <v>15000.0</v>
      </c>
      <c r="M262" s="61"/>
      <c r="N262" s="61"/>
      <c r="O262" s="61"/>
      <c r="P262" s="61"/>
      <c r="Q262" s="61"/>
      <c r="R262" s="61"/>
      <c r="S262" s="52">
        <v>0.0</v>
      </c>
    </row>
    <row r="263">
      <c r="A263" s="52">
        <v>262.0</v>
      </c>
      <c r="B263" s="61"/>
      <c r="C263" s="61"/>
      <c r="D263" s="61"/>
      <c r="E263" s="61"/>
      <c r="F263" s="84" t="s">
        <v>387</v>
      </c>
      <c r="G263" s="85">
        <f t="shared" si="1"/>
        <v>10</v>
      </c>
      <c r="H263" s="86" t="s">
        <v>277</v>
      </c>
      <c r="I263" s="87">
        <v>0.0</v>
      </c>
      <c r="J263" s="56">
        <f t="shared" si="10"/>
        <v>0</v>
      </c>
      <c r="K263" s="90"/>
      <c r="L263" s="88">
        <v>0.0</v>
      </c>
      <c r="M263" s="61"/>
      <c r="N263" s="61"/>
      <c r="O263" s="61"/>
      <c r="P263" s="61"/>
      <c r="Q263" s="61"/>
      <c r="R263" s="61"/>
      <c r="S263" s="52">
        <v>0.0</v>
      </c>
    </row>
    <row r="264">
      <c r="A264" s="52">
        <v>263.0</v>
      </c>
      <c r="B264" s="61"/>
      <c r="C264" s="61"/>
      <c r="D264" s="61"/>
      <c r="E264" s="61"/>
      <c r="F264" s="84" t="s">
        <v>388</v>
      </c>
      <c r="G264" s="85">
        <f t="shared" si="1"/>
        <v>41</v>
      </c>
      <c r="H264" s="86" t="s">
        <v>389</v>
      </c>
      <c r="I264" s="87">
        <v>0.0</v>
      </c>
      <c r="J264" s="56">
        <f t="shared" si="10"/>
        <v>0</v>
      </c>
      <c r="K264" s="90"/>
      <c r="L264" s="88">
        <v>0.0</v>
      </c>
      <c r="M264" s="61"/>
      <c r="N264" s="61"/>
      <c r="O264" s="61"/>
      <c r="P264" s="61"/>
      <c r="Q264" s="61"/>
      <c r="R264" s="61"/>
      <c r="S264" s="52">
        <v>0.0</v>
      </c>
    </row>
    <row r="265">
      <c r="A265" s="52">
        <v>264.0</v>
      </c>
      <c r="B265" s="61"/>
      <c r="C265" s="61"/>
      <c r="D265" s="61"/>
      <c r="E265" s="61"/>
      <c r="F265" s="84" t="s">
        <v>390</v>
      </c>
      <c r="G265" s="85">
        <f t="shared" si="1"/>
        <v>1</v>
      </c>
      <c r="H265" s="86" t="s">
        <v>262</v>
      </c>
      <c r="I265" s="87">
        <v>24000.0</v>
      </c>
      <c r="J265" s="56">
        <f t="shared" si="10"/>
        <v>24000</v>
      </c>
      <c r="K265" s="90"/>
      <c r="L265" s="88">
        <v>24000.0</v>
      </c>
      <c r="M265" s="61"/>
      <c r="N265" s="61"/>
      <c r="O265" s="61"/>
      <c r="P265" s="61"/>
      <c r="Q265" s="61"/>
      <c r="R265" s="61"/>
      <c r="S265" s="52">
        <v>0.0</v>
      </c>
    </row>
    <row r="266">
      <c r="A266" s="52">
        <v>265.0</v>
      </c>
      <c r="B266" s="61"/>
      <c r="C266" s="61"/>
      <c r="D266" s="61"/>
      <c r="E266" s="61"/>
      <c r="F266" s="84" t="s">
        <v>391</v>
      </c>
      <c r="G266" s="85">
        <f t="shared" si="1"/>
        <v>1</v>
      </c>
      <c r="H266" s="86" t="s">
        <v>262</v>
      </c>
      <c r="I266" s="87">
        <v>0.0</v>
      </c>
      <c r="J266" s="56">
        <f t="shared" si="10"/>
        <v>0</v>
      </c>
      <c r="K266" s="90"/>
      <c r="L266" s="88">
        <v>0.0</v>
      </c>
      <c r="M266" s="61"/>
      <c r="N266" s="61"/>
      <c r="O266" s="61"/>
      <c r="P266" s="61"/>
      <c r="Q266" s="61"/>
      <c r="R266" s="61"/>
      <c r="S266" s="52">
        <v>0.0</v>
      </c>
    </row>
    <row r="267">
      <c r="A267" s="52">
        <v>266.0</v>
      </c>
      <c r="B267" s="61"/>
      <c r="C267" s="61"/>
      <c r="D267" s="61"/>
      <c r="E267" s="61"/>
      <c r="F267" s="84" t="s">
        <v>392</v>
      </c>
      <c r="G267" s="85">
        <f t="shared" si="1"/>
        <v>10</v>
      </c>
      <c r="H267" s="86" t="s">
        <v>277</v>
      </c>
      <c r="I267" s="87">
        <v>11000.0</v>
      </c>
      <c r="J267" s="56">
        <f t="shared" si="10"/>
        <v>110000</v>
      </c>
      <c r="K267" s="90"/>
      <c r="L267" s="88">
        <v>11000.0</v>
      </c>
      <c r="M267" s="61"/>
      <c r="N267" s="61"/>
      <c r="O267" s="61"/>
      <c r="P267" s="61"/>
      <c r="Q267" s="61"/>
      <c r="R267" s="61"/>
      <c r="S267" s="52">
        <v>0.0</v>
      </c>
    </row>
    <row r="268">
      <c r="A268" s="52">
        <v>267.0</v>
      </c>
      <c r="B268" s="61"/>
      <c r="C268" s="61"/>
      <c r="D268" s="61"/>
      <c r="E268" s="61"/>
      <c r="F268" s="84" t="s">
        <v>393</v>
      </c>
      <c r="G268" s="85">
        <f t="shared" si="1"/>
        <v>1</v>
      </c>
      <c r="H268" s="86" t="s">
        <v>262</v>
      </c>
      <c r="I268" s="87">
        <v>33000.0</v>
      </c>
      <c r="J268" s="56">
        <f t="shared" si="10"/>
        <v>33000</v>
      </c>
      <c r="K268" s="90"/>
      <c r="L268" s="88">
        <v>33000.0</v>
      </c>
      <c r="M268" s="61"/>
      <c r="N268" s="61"/>
      <c r="O268" s="61"/>
      <c r="P268" s="61"/>
      <c r="Q268" s="61"/>
      <c r="R268" s="61"/>
      <c r="S268" s="52">
        <v>0.0</v>
      </c>
    </row>
    <row r="269">
      <c r="A269" s="52">
        <v>268.0</v>
      </c>
      <c r="B269" s="61"/>
      <c r="C269" s="61"/>
      <c r="D269" s="61"/>
      <c r="E269" s="61"/>
      <c r="F269" s="84" t="s">
        <v>394</v>
      </c>
      <c r="G269" s="85">
        <f t="shared" si="1"/>
        <v>15</v>
      </c>
      <c r="H269" s="86" t="s">
        <v>269</v>
      </c>
      <c r="I269" s="87">
        <v>2000.0</v>
      </c>
      <c r="J269" s="56">
        <f t="shared" si="10"/>
        <v>30000</v>
      </c>
      <c r="K269" s="90"/>
      <c r="L269" s="88">
        <v>2000.0</v>
      </c>
      <c r="M269" s="61"/>
      <c r="N269" s="61"/>
      <c r="O269" s="61"/>
      <c r="P269" s="61"/>
      <c r="Q269" s="61"/>
      <c r="R269" s="61"/>
      <c r="S269" s="52">
        <v>0.0</v>
      </c>
    </row>
    <row r="270">
      <c r="A270" s="52">
        <v>269.0</v>
      </c>
      <c r="B270" s="61"/>
      <c r="C270" s="61"/>
      <c r="D270" s="61"/>
      <c r="E270" s="61"/>
      <c r="F270" s="84" t="s">
        <v>395</v>
      </c>
      <c r="G270" s="85">
        <f t="shared" si="1"/>
        <v>6</v>
      </c>
      <c r="H270" s="86" t="s">
        <v>300</v>
      </c>
      <c r="I270" s="87">
        <v>2000.0</v>
      </c>
      <c r="J270" s="56">
        <f t="shared" si="10"/>
        <v>12000</v>
      </c>
      <c r="K270" s="90"/>
      <c r="L270" s="88">
        <v>2000.0</v>
      </c>
      <c r="M270" s="61"/>
      <c r="N270" s="61"/>
      <c r="O270" s="61"/>
      <c r="P270" s="61"/>
      <c r="Q270" s="61"/>
      <c r="R270" s="61"/>
      <c r="S270" s="52">
        <v>0.0</v>
      </c>
    </row>
    <row r="271">
      <c r="A271" s="52">
        <v>270.0</v>
      </c>
      <c r="B271" s="61"/>
      <c r="C271" s="61"/>
      <c r="D271" s="61"/>
      <c r="E271" s="61"/>
      <c r="F271" s="84" t="s">
        <v>396</v>
      </c>
      <c r="G271" s="85">
        <f t="shared" si="1"/>
        <v>12</v>
      </c>
      <c r="H271" s="86" t="s">
        <v>282</v>
      </c>
      <c r="I271" s="87">
        <v>2500.0</v>
      </c>
      <c r="J271" s="56">
        <f t="shared" si="10"/>
        <v>30000</v>
      </c>
      <c r="K271" s="90"/>
      <c r="L271" s="88">
        <v>2500.0</v>
      </c>
      <c r="M271" s="61"/>
      <c r="N271" s="61"/>
      <c r="O271" s="61"/>
      <c r="P271" s="61"/>
      <c r="Q271" s="61"/>
      <c r="R271" s="61"/>
      <c r="S271" s="52">
        <v>0.0</v>
      </c>
    </row>
    <row r="272">
      <c r="A272" s="52">
        <v>271.0</v>
      </c>
      <c r="B272" s="61"/>
      <c r="C272" s="61"/>
      <c r="D272" s="61"/>
      <c r="E272" s="61"/>
      <c r="F272" s="84" t="s">
        <v>397</v>
      </c>
      <c r="G272" s="85">
        <f t="shared" si="1"/>
        <v>16</v>
      </c>
      <c r="H272" s="86" t="s">
        <v>398</v>
      </c>
      <c r="I272" s="87">
        <v>2500.0</v>
      </c>
      <c r="J272" s="56">
        <f t="shared" si="10"/>
        <v>40000</v>
      </c>
      <c r="K272" s="90"/>
      <c r="L272" s="88">
        <v>2500.0</v>
      </c>
      <c r="M272" s="61"/>
      <c r="N272" s="61"/>
      <c r="O272" s="61"/>
      <c r="P272" s="61"/>
      <c r="Q272" s="61"/>
      <c r="R272" s="61"/>
      <c r="S272" s="52">
        <v>0.0</v>
      </c>
    </row>
    <row r="273">
      <c r="A273" s="52">
        <v>272.0</v>
      </c>
      <c r="B273" s="61"/>
      <c r="C273" s="61"/>
      <c r="D273" s="61"/>
      <c r="E273" s="61"/>
      <c r="F273" s="84" t="s">
        <v>399</v>
      </c>
      <c r="G273" s="85">
        <f t="shared" si="1"/>
        <v>1</v>
      </c>
      <c r="H273" s="86" t="s">
        <v>262</v>
      </c>
      <c r="I273" s="87">
        <v>24000.0</v>
      </c>
      <c r="J273" s="56">
        <f t="shared" si="10"/>
        <v>24000</v>
      </c>
      <c r="K273" s="90"/>
      <c r="L273" s="88">
        <v>24000.0</v>
      </c>
      <c r="M273" s="61"/>
      <c r="N273" s="61"/>
      <c r="O273" s="61"/>
      <c r="P273" s="61"/>
      <c r="Q273" s="61"/>
      <c r="R273" s="61"/>
      <c r="S273" s="52">
        <v>0.0</v>
      </c>
    </row>
    <row r="274">
      <c r="A274" s="52">
        <v>273.0</v>
      </c>
      <c r="B274" s="61"/>
      <c r="C274" s="61"/>
      <c r="D274" s="61"/>
      <c r="E274" s="61"/>
      <c r="F274" s="84" t="s">
        <v>400</v>
      </c>
      <c r="G274" s="85">
        <f t="shared" si="1"/>
        <v>8</v>
      </c>
      <c r="H274" s="86" t="s">
        <v>259</v>
      </c>
      <c r="I274" s="87">
        <v>2500.0</v>
      </c>
      <c r="J274" s="56">
        <f t="shared" si="10"/>
        <v>20000</v>
      </c>
      <c r="K274" s="90"/>
      <c r="L274" s="88">
        <v>2500.0</v>
      </c>
      <c r="M274" s="61"/>
      <c r="N274" s="61"/>
      <c r="O274" s="61"/>
      <c r="P274" s="61"/>
      <c r="Q274" s="61"/>
      <c r="R274" s="61"/>
      <c r="S274" s="52">
        <v>0.0</v>
      </c>
    </row>
    <row r="275">
      <c r="A275" s="52">
        <v>274.0</v>
      </c>
      <c r="B275" s="61"/>
      <c r="C275" s="61"/>
      <c r="D275" s="61"/>
      <c r="E275" s="61"/>
      <c r="F275" s="84" t="s">
        <v>401</v>
      </c>
      <c r="G275" s="85">
        <f t="shared" si="1"/>
        <v>2</v>
      </c>
      <c r="H275" s="86" t="s">
        <v>311</v>
      </c>
      <c r="I275" s="87">
        <v>14000.0</v>
      </c>
      <c r="J275" s="56">
        <f t="shared" si="10"/>
        <v>28000</v>
      </c>
      <c r="K275" s="90"/>
      <c r="L275" s="88">
        <v>14000.0</v>
      </c>
      <c r="M275" s="61"/>
      <c r="N275" s="61"/>
      <c r="O275" s="61"/>
      <c r="P275" s="61"/>
      <c r="Q275" s="61"/>
      <c r="R275" s="61"/>
      <c r="S275" s="52">
        <v>0.0</v>
      </c>
    </row>
    <row r="276">
      <c r="A276" s="52">
        <v>275.0</v>
      </c>
      <c r="B276" s="61"/>
      <c r="C276" s="61"/>
      <c r="D276" s="61"/>
      <c r="E276" s="61"/>
      <c r="F276" s="84" t="s">
        <v>402</v>
      </c>
      <c r="G276" s="85">
        <f t="shared" si="1"/>
        <v>4</v>
      </c>
      <c r="H276" s="86" t="s">
        <v>320</v>
      </c>
      <c r="I276" s="87">
        <v>0.0</v>
      </c>
      <c r="J276" s="56">
        <f t="shared" si="10"/>
        <v>0</v>
      </c>
      <c r="K276" s="90"/>
      <c r="L276" s="88">
        <v>0.0</v>
      </c>
      <c r="M276" s="61"/>
      <c r="N276" s="61"/>
      <c r="O276" s="61"/>
      <c r="P276" s="61"/>
      <c r="Q276" s="61"/>
      <c r="R276" s="61"/>
      <c r="S276" s="52">
        <v>0.0</v>
      </c>
    </row>
    <row r="277">
      <c r="A277" s="52">
        <v>276.0</v>
      </c>
      <c r="B277" s="61"/>
      <c r="C277" s="61"/>
      <c r="D277" s="61"/>
      <c r="E277" s="61"/>
      <c r="F277" s="84" t="s">
        <v>403</v>
      </c>
      <c r="G277" s="85">
        <f t="shared" si="1"/>
        <v>3</v>
      </c>
      <c r="H277" s="86" t="s">
        <v>305</v>
      </c>
      <c r="I277" s="87">
        <v>12000.0</v>
      </c>
      <c r="J277" s="56">
        <f t="shared" si="10"/>
        <v>36000</v>
      </c>
      <c r="K277" s="90"/>
      <c r="L277" s="88">
        <v>12000.0</v>
      </c>
      <c r="M277" s="61"/>
      <c r="N277" s="61"/>
      <c r="O277" s="61"/>
      <c r="P277" s="61"/>
      <c r="Q277" s="61"/>
      <c r="R277" s="61"/>
      <c r="S277" s="52">
        <v>0.0</v>
      </c>
    </row>
    <row r="278">
      <c r="A278" s="52">
        <v>277.0</v>
      </c>
      <c r="B278" s="61"/>
      <c r="C278" s="61"/>
      <c r="D278" s="61"/>
      <c r="E278" s="61"/>
      <c r="F278" s="84" t="s">
        <v>404</v>
      </c>
      <c r="G278" s="85">
        <f t="shared" si="1"/>
        <v>2</v>
      </c>
      <c r="H278" s="86" t="s">
        <v>311</v>
      </c>
      <c r="I278" s="87">
        <v>8000.0</v>
      </c>
      <c r="J278" s="56">
        <f t="shared" si="10"/>
        <v>16000</v>
      </c>
      <c r="K278" s="90"/>
      <c r="L278" s="88">
        <v>8000.0</v>
      </c>
      <c r="M278" s="61"/>
      <c r="N278" s="61"/>
      <c r="O278" s="61"/>
      <c r="P278" s="61"/>
      <c r="Q278" s="61"/>
      <c r="R278" s="61"/>
      <c r="S278" s="52">
        <v>0.0</v>
      </c>
    </row>
    <row r="279">
      <c r="A279" s="52">
        <v>278.0</v>
      </c>
      <c r="B279" s="61"/>
      <c r="C279" s="61"/>
      <c r="D279" s="61"/>
      <c r="E279" s="61"/>
      <c r="F279" s="84" t="s">
        <v>405</v>
      </c>
      <c r="G279" s="85">
        <f t="shared" si="1"/>
        <v>1</v>
      </c>
      <c r="H279" s="86" t="s">
        <v>262</v>
      </c>
      <c r="I279" s="87">
        <v>27000.0</v>
      </c>
      <c r="J279" s="56">
        <f t="shared" si="10"/>
        <v>27000</v>
      </c>
      <c r="K279" s="90"/>
      <c r="L279" s="88">
        <v>27000.0</v>
      </c>
      <c r="M279" s="61"/>
      <c r="N279" s="61"/>
      <c r="O279" s="61"/>
      <c r="P279" s="61"/>
      <c r="Q279" s="61"/>
      <c r="R279" s="61"/>
      <c r="S279" s="52">
        <v>0.0</v>
      </c>
    </row>
    <row r="280">
      <c r="A280" s="52">
        <v>279.0</v>
      </c>
      <c r="B280" s="61"/>
      <c r="C280" s="61"/>
      <c r="D280" s="61"/>
      <c r="E280" s="61"/>
      <c r="F280" s="84" t="s">
        <v>406</v>
      </c>
      <c r="G280" s="85">
        <f t="shared" si="1"/>
        <v>1</v>
      </c>
      <c r="H280" s="86" t="s">
        <v>262</v>
      </c>
      <c r="I280" s="87">
        <v>32000.0</v>
      </c>
      <c r="J280" s="56">
        <f t="shared" si="10"/>
        <v>32000</v>
      </c>
      <c r="K280" s="90"/>
      <c r="L280" s="88">
        <v>32000.0</v>
      </c>
      <c r="M280" s="61"/>
      <c r="N280" s="61"/>
      <c r="O280" s="61"/>
      <c r="P280" s="61"/>
      <c r="Q280" s="61"/>
      <c r="R280" s="61"/>
      <c r="S280" s="52">
        <v>0.0</v>
      </c>
    </row>
    <row r="281">
      <c r="A281" s="52">
        <v>280.0</v>
      </c>
      <c r="B281" s="61"/>
      <c r="C281" s="61"/>
      <c r="D281" s="61"/>
      <c r="E281" s="61"/>
      <c r="F281" s="84" t="s">
        <v>407</v>
      </c>
      <c r="G281" s="85">
        <f t="shared" si="1"/>
        <v>4</v>
      </c>
      <c r="H281" s="86" t="s">
        <v>320</v>
      </c>
      <c r="I281" s="87">
        <v>9000.0</v>
      </c>
      <c r="J281" s="56">
        <f t="shared" si="10"/>
        <v>36000</v>
      </c>
      <c r="K281" s="90"/>
      <c r="L281" s="88">
        <v>9000.0</v>
      </c>
      <c r="M281" s="61"/>
      <c r="N281" s="61"/>
      <c r="O281" s="61"/>
      <c r="P281" s="61"/>
      <c r="Q281" s="61"/>
      <c r="R281" s="61"/>
      <c r="S281" s="52">
        <v>0.0</v>
      </c>
    </row>
    <row r="282">
      <c r="A282" s="52">
        <v>281.0</v>
      </c>
      <c r="B282" s="61"/>
      <c r="C282" s="61"/>
      <c r="D282" s="61"/>
      <c r="E282" s="61"/>
      <c r="F282" s="84" t="s">
        <v>408</v>
      </c>
      <c r="G282" s="85">
        <f t="shared" si="1"/>
        <v>4</v>
      </c>
      <c r="H282" s="86" t="s">
        <v>320</v>
      </c>
      <c r="I282" s="87">
        <v>29000.0</v>
      </c>
      <c r="J282" s="56">
        <f t="shared" si="10"/>
        <v>116000</v>
      </c>
      <c r="K282" s="90"/>
      <c r="L282" s="88">
        <v>29000.0</v>
      </c>
      <c r="M282" s="61"/>
      <c r="N282" s="61"/>
      <c r="O282" s="61"/>
      <c r="P282" s="61"/>
      <c r="Q282" s="61"/>
      <c r="R282" s="61"/>
      <c r="S282" s="52">
        <v>0.0</v>
      </c>
    </row>
    <row r="283">
      <c r="A283" s="52">
        <v>282.0</v>
      </c>
      <c r="B283" s="61"/>
      <c r="C283" s="61"/>
      <c r="D283" s="61"/>
      <c r="E283" s="61"/>
      <c r="F283" s="84" t="s">
        <v>409</v>
      </c>
      <c r="G283" s="85">
        <f t="shared" si="1"/>
        <v>5</v>
      </c>
      <c r="H283" s="86" t="s">
        <v>271</v>
      </c>
      <c r="I283" s="87">
        <v>3500.0</v>
      </c>
      <c r="J283" s="56">
        <f t="shared" si="10"/>
        <v>17500</v>
      </c>
      <c r="K283" s="90"/>
      <c r="L283" s="88">
        <v>3500.0</v>
      </c>
      <c r="M283" s="61"/>
      <c r="N283" s="61"/>
      <c r="O283" s="61"/>
      <c r="P283" s="61"/>
      <c r="Q283" s="61"/>
      <c r="R283" s="61"/>
      <c r="S283" s="52">
        <v>0.0</v>
      </c>
    </row>
    <row r="284">
      <c r="A284" s="52">
        <v>283.0</v>
      </c>
      <c r="B284" s="61"/>
      <c r="C284" s="61"/>
      <c r="D284" s="61"/>
      <c r="E284" s="61"/>
      <c r="F284" s="84" t="s">
        <v>410</v>
      </c>
      <c r="G284" s="85">
        <f t="shared" si="1"/>
        <v>14</v>
      </c>
      <c r="H284" s="86" t="s">
        <v>411</v>
      </c>
      <c r="I284" s="87">
        <v>3500.0</v>
      </c>
      <c r="J284" s="56">
        <f t="shared" si="10"/>
        <v>49000</v>
      </c>
      <c r="K284" s="90"/>
      <c r="L284" s="88">
        <v>3500.0</v>
      </c>
      <c r="M284" s="61"/>
      <c r="N284" s="61"/>
      <c r="O284" s="61"/>
      <c r="P284" s="61"/>
      <c r="Q284" s="61"/>
      <c r="R284" s="61"/>
      <c r="S284" s="52">
        <v>0.0</v>
      </c>
    </row>
    <row r="285">
      <c r="A285" s="52">
        <v>284.0</v>
      </c>
      <c r="B285" s="61"/>
      <c r="C285" s="61"/>
      <c r="D285" s="61"/>
      <c r="E285" s="61"/>
      <c r="F285" s="84" t="s">
        <v>412</v>
      </c>
      <c r="G285" s="85">
        <f t="shared" si="1"/>
        <v>0.5</v>
      </c>
      <c r="H285" s="86" t="s">
        <v>365</v>
      </c>
      <c r="I285" s="87">
        <v>2000.0</v>
      </c>
      <c r="J285" s="56">
        <f t="shared" si="10"/>
        <v>1000</v>
      </c>
      <c r="K285" s="90"/>
      <c r="L285" s="88">
        <v>2000.0</v>
      </c>
      <c r="M285" s="61"/>
      <c r="N285" s="61"/>
      <c r="O285" s="61"/>
      <c r="P285" s="61"/>
      <c r="Q285" s="61"/>
      <c r="R285" s="61"/>
      <c r="S285" s="52">
        <v>0.0</v>
      </c>
    </row>
    <row r="286">
      <c r="A286" s="52">
        <v>285.0</v>
      </c>
      <c r="B286" s="61"/>
      <c r="C286" s="61"/>
      <c r="D286" s="61"/>
      <c r="E286" s="61"/>
      <c r="F286" s="84" t="s">
        <v>33</v>
      </c>
      <c r="G286" s="85">
        <f t="shared" si="1"/>
        <v>6</v>
      </c>
      <c r="H286" s="86" t="s">
        <v>300</v>
      </c>
      <c r="I286" s="87">
        <v>4000.0</v>
      </c>
      <c r="J286" s="56">
        <f t="shared" si="10"/>
        <v>24000</v>
      </c>
      <c r="K286" s="90"/>
      <c r="L286" s="88">
        <v>4000.0</v>
      </c>
      <c r="M286" s="61"/>
      <c r="N286" s="61"/>
      <c r="O286" s="61"/>
      <c r="P286" s="61"/>
      <c r="Q286" s="61"/>
      <c r="R286" s="61"/>
      <c r="S286" s="52">
        <v>0.0</v>
      </c>
    </row>
    <row r="287">
      <c r="A287" s="52">
        <v>286.0</v>
      </c>
      <c r="B287" s="61"/>
      <c r="C287" s="61"/>
      <c r="D287" s="61"/>
      <c r="E287" s="61"/>
      <c r="F287" s="84" t="s">
        <v>413</v>
      </c>
      <c r="G287" s="85">
        <f t="shared" si="1"/>
        <v>3</v>
      </c>
      <c r="H287" s="86" t="s">
        <v>305</v>
      </c>
      <c r="I287" s="87">
        <v>6500.0</v>
      </c>
      <c r="J287" s="56">
        <f t="shared" si="10"/>
        <v>19500</v>
      </c>
      <c r="K287" s="90"/>
      <c r="L287" s="88">
        <v>6500.0</v>
      </c>
      <c r="M287" s="61"/>
      <c r="N287" s="61"/>
      <c r="O287" s="61"/>
      <c r="P287" s="61"/>
      <c r="Q287" s="61"/>
      <c r="R287" s="61"/>
      <c r="S287" s="52">
        <v>0.0</v>
      </c>
    </row>
    <row r="288">
      <c r="A288" s="52">
        <v>287.0</v>
      </c>
      <c r="B288" s="61"/>
      <c r="C288" s="61"/>
      <c r="D288" s="61"/>
      <c r="E288" s="61"/>
      <c r="F288" s="84" t="s">
        <v>414</v>
      </c>
      <c r="G288" s="85">
        <f t="shared" si="1"/>
        <v>3</v>
      </c>
      <c r="H288" s="86" t="s">
        <v>305</v>
      </c>
      <c r="I288" s="87">
        <v>8000.0</v>
      </c>
      <c r="J288" s="56">
        <f t="shared" si="10"/>
        <v>24000</v>
      </c>
      <c r="K288" s="90"/>
      <c r="L288" s="88">
        <v>8000.0</v>
      </c>
      <c r="M288" s="61"/>
      <c r="N288" s="61"/>
      <c r="O288" s="61"/>
      <c r="P288" s="61"/>
      <c r="Q288" s="61"/>
      <c r="R288" s="61"/>
      <c r="S288" s="52">
        <v>0.0</v>
      </c>
    </row>
    <row r="289">
      <c r="A289" s="52">
        <v>288.0</v>
      </c>
      <c r="B289" s="61"/>
      <c r="C289" s="61"/>
      <c r="D289" s="61"/>
      <c r="E289" s="61"/>
      <c r="F289" s="84" t="s">
        <v>415</v>
      </c>
      <c r="G289" s="85">
        <f t="shared" si="1"/>
        <v>100</v>
      </c>
      <c r="H289" s="86" t="s">
        <v>416</v>
      </c>
      <c r="I289" s="87">
        <v>3000.0</v>
      </c>
      <c r="J289" s="56">
        <f t="shared" si="10"/>
        <v>300000</v>
      </c>
      <c r="K289" s="90"/>
      <c r="L289" s="88">
        <v>3000.0</v>
      </c>
      <c r="M289" s="61"/>
      <c r="N289" s="61"/>
      <c r="O289" s="61"/>
      <c r="P289" s="61"/>
      <c r="Q289" s="61"/>
      <c r="R289" s="61"/>
      <c r="S289" s="52">
        <v>0.0</v>
      </c>
    </row>
    <row r="290">
      <c r="A290" s="52">
        <v>289.0</v>
      </c>
      <c r="B290" s="61"/>
      <c r="C290" s="61"/>
      <c r="D290" s="61"/>
      <c r="E290" s="61"/>
      <c r="F290" s="84" t="s">
        <v>417</v>
      </c>
      <c r="G290" s="85">
        <f t="shared" si="1"/>
        <v>2</v>
      </c>
      <c r="H290" s="86" t="s">
        <v>311</v>
      </c>
      <c r="I290" s="87">
        <v>35000.0</v>
      </c>
      <c r="J290" s="56">
        <f t="shared" si="10"/>
        <v>70000</v>
      </c>
      <c r="K290" s="90"/>
      <c r="L290" s="88">
        <v>35000.0</v>
      </c>
      <c r="M290" s="61"/>
      <c r="N290" s="61"/>
      <c r="O290" s="61"/>
      <c r="P290" s="61"/>
      <c r="Q290" s="61"/>
      <c r="R290" s="61"/>
      <c r="S290" s="52">
        <v>0.0</v>
      </c>
    </row>
    <row r="291">
      <c r="A291" s="52">
        <v>290.0</v>
      </c>
      <c r="B291" s="61"/>
      <c r="C291" s="61"/>
      <c r="D291" s="61"/>
      <c r="E291" s="61"/>
      <c r="F291" s="84" t="s">
        <v>418</v>
      </c>
      <c r="G291" s="85">
        <f t="shared" si="1"/>
        <v>1</v>
      </c>
      <c r="H291" s="86" t="s">
        <v>262</v>
      </c>
      <c r="I291" s="87">
        <v>25000.0</v>
      </c>
      <c r="J291" s="56">
        <f t="shared" si="10"/>
        <v>25000</v>
      </c>
      <c r="K291" s="90"/>
      <c r="L291" s="88">
        <v>25000.0</v>
      </c>
      <c r="M291" s="61"/>
      <c r="N291" s="61"/>
      <c r="O291" s="61"/>
      <c r="P291" s="61"/>
      <c r="Q291" s="61"/>
      <c r="R291" s="61"/>
      <c r="S291" s="52">
        <v>0.0</v>
      </c>
    </row>
    <row r="292">
      <c r="A292" s="52">
        <v>291.0</v>
      </c>
      <c r="B292" s="61"/>
      <c r="C292" s="61"/>
      <c r="D292" s="61"/>
      <c r="E292" s="61"/>
      <c r="F292" s="84" t="s">
        <v>419</v>
      </c>
      <c r="G292" s="85">
        <f t="shared" si="1"/>
        <v>7</v>
      </c>
      <c r="H292" s="86" t="s">
        <v>280</v>
      </c>
      <c r="I292" s="87">
        <v>5000.0</v>
      </c>
      <c r="J292" s="56">
        <f t="shared" si="10"/>
        <v>35000</v>
      </c>
      <c r="K292" s="90"/>
      <c r="L292" s="88">
        <v>5000.0</v>
      </c>
      <c r="M292" s="61"/>
      <c r="N292" s="61"/>
      <c r="O292" s="61"/>
      <c r="P292" s="61"/>
      <c r="Q292" s="61"/>
      <c r="R292" s="61"/>
      <c r="S292" s="52">
        <v>0.0</v>
      </c>
    </row>
    <row r="293">
      <c r="A293" s="52">
        <v>292.0</v>
      </c>
      <c r="B293" s="61"/>
      <c r="C293" s="61"/>
      <c r="D293" s="61"/>
      <c r="E293" s="61"/>
      <c r="F293" s="84" t="s">
        <v>420</v>
      </c>
      <c r="G293" s="85">
        <f t="shared" si="1"/>
        <v>2</v>
      </c>
      <c r="H293" s="86" t="s">
        <v>311</v>
      </c>
      <c r="I293" s="87">
        <v>9000.0</v>
      </c>
      <c r="J293" s="56">
        <f t="shared" si="10"/>
        <v>18000</v>
      </c>
      <c r="K293" s="90"/>
      <c r="L293" s="88">
        <v>9000.0</v>
      </c>
      <c r="M293" s="61"/>
      <c r="N293" s="61"/>
      <c r="O293" s="61"/>
      <c r="P293" s="61"/>
      <c r="Q293" s="61"/>
      <c r="R293" s="61"/>
      <c r="S293" s="52">
        <v>0.0</v>
      </c>
    </row>
    <row r="294">
      <c r="A294" s="52">
        <v>293.0</v>
      </c>
      <c r="B294" s="61"/>
      <c r="C294" s="61"/>
      <c r="D294" s="61"/>
      <c r="E294" s="61"/>
      <c r="F294" s="84" t="s">
        <v>421</v>
      </c>
      <c r="G294" s="85">
        <f t="shared" si="1"/>
        <v>3</v>
      </c>
      <c r="H294" s="86" t="s">
        <v>305</v>
      </c>
      <c r="I294" s="87">
        <v>7000.0</v>
      </c>
      <c r="J294" s="56">
        <f t="shared" si="10"/>
        <v>21000</v>
      </c>
      <c r="K294" s="90"/>
      <c r="L294" s="88">
        <v>7000.0</v>
      </c>
      <c r="M294" s="61"/>
      <c r="N294" s="61"/>
      <c r="O294" s="61"/>
      <c r="P294" s="61"/>
      <c r="Q294" s="61"/>
      <c r="R294" s="61"/>
      <c r="S294" s="52">
        <v>0.0</v>
      </c>
    </row>
    <row r="295">
      <c r="A295" s="52">
        <v>294.0</v>
      </c>
      <c r="B295" s="61"/>
      <c r="C295" s="61"/>
      <c r="D295" s="61"/>
      <c r="E295" s="61"/>
      <c r="F295" s="84" t="s">
        <v>422</v>
      </c>
      <c r="G295" s="85">
        <f t="shared" si="1"/>
        <v>2</v>
      </c>
      <c r="H295" s="86" t="s">
        <v>311</v>
      </c>
      <c r="I295" s="87">
        <v>8000.0</v>
      </c>
      <c r="J295" s="56">
        <f t="shared" si="10"/>
        <v>16000</v>
      </c>
      <c r="K295" s="90"/>
      <c r="L295" s="88">
        <v>8000.0</v>
      </c>
      <c r="M295" s="61"/>
      <c r="N295" s="61"/>
      <c r="O295" s="61"/>
      <c r="P295" s="61"/>
      <c r="Q295" s="61"/>
      <c r="R295" s="61"/>
      <c r="S295" s="52">
        <v>0.0</v>
      </c>
    </row>
    <row r="296">
      <c r="A296" s="52">
        <v>295.0</v>
      </c>
      <c r="B296" s="61"/>
      <c r="C296" s="61"/>
      <c r="D296" s="61"/>
      <c r="E296" s="61"/>
      <c r="F296" s="84" t="s">
        <v>32</v>
      </c>
      <c r="G296" s="85">
        <f t="shared" si="1"/>
        <v>1</v>
      </c>
      <c r="H296" s="86" t="s">
        <v>262</v>
      </c>
      <c r="I296" s="87">
        <v>6000.0</v>
      </c>
      <c r="J296" s="56">
        <f t="shared" si="10"/>
        <v>6000</v>
      </c>
      <c r="K296" s="90"/>
      <c r="L296" s="88">
        <v>6000.0</v>
      </c>
      <c r="M296" s="61"/>
      <c r="N296" s="61"/>
      <c r="O296" s="61"/>
      <c r="P296" s="61"/>
      <c r="Q296" s="61"/>
      <c r="R296" s="61"/>
      <c r="S296" s="52">
        <v>0.0</v>
      </c>
    </row>
    <row r="297">
      <c r="A297" s="52">
        <v>296.0</v>
      </c>
      <c r="B297" s="61"/>
      <c r="C297" s="61"/>
      <c r="D297" s="61"/>
      <c r="E297" s="61"/>
      <c r="F297" s="84" t="s">
        <v>423</v>
      </c>
      <c r="G297" s="85">
        <f t="shared" si="1"/>
        <v>1</v>
      </c>
      <c r="H297" s="86" t="s">
        <v>262</v>
      </c>
      <c r="I297" s="87">
        <v>11000.0</v>
      </c>
      <c r="J297" s="56">
        <f t="shared" si="10"/>
        <v>11000</v>
      </c>
      <c r="K297" s="90"/>
      <c r="L297" s="88">
        <v>11000.0</v>
      </c>
      <c r="M297" s="61"/>
      <c r="N297" s="61"/>
      <c r="O297" s="61"/>
      <c r="P297" s="61"/>
      <c r="Q297" s="61"/>
      <c r="R297" s="61"/>
      <c r="S297" s="52">
        <v>0.0</v>
      </c>
    </row>
    <row r="298">
      <c r="A298" s="52">
        <v>297.0</v>
      </c>
      <c r="B298" s="61"/>
      <c r="C298" s="61"/>
      <c r="D298" s="61"/>
      <c r="E298" s="61"/>
      <c r="F298" s="84" t="s">
        <v>424</v>
      </c>
      <c r="G298" s="85">
        <f t="shared" si="1"/>
        <v>16</v>
      </c>
      <c r="H298" s="86" t="s">
        <v>398</v>
      </c>
      <c r="I298" s="87">
        <v>6000.0</v>
      </c>
      <c r="J298" s="56">
        <f t="shared" si="10"/>
        <v>96000</v>
      </c>
      <c r="K298" s="90"/>
      <c r="L298" s="88">
        <v>6000.0</v>
      </c>
      <c r="M298" s="61"/>
      <c r="N298" s="61"/>
      <c r="O298" s="61"/>
      <c r="P298" s="61"/>
      <c r="Q298" s="61"/>
      <c r="R298" s="61"/>
      <c r="S298" s="52">
        <v>0.0</v>
      </c>
    </row>
    <row r="299">
      <c r="A299" s="52">
        <v>298.0</v>
      </c>
      <c r="B299" s="61"/>
      <c r="C299" s="61"/>
      <c r="D299" s="61"/>
      <c r="E299" s="61"/>
      <c r="F299" s="84" t="s">
        <v>425</v>
      </c>
      <c r="G299" s="85">
        <f t="shared" si="1"/>
        <v>2</v>
      </c>
      <c r="H299" s="86" t="s">
        <v>311</v>
      </c>
      <c r="I299" s="87">
        <v>0.0</v>
      </c>
      <c r="J299" s="56">
        <f t="shared" si="10"/>
        <v>0</v>
      </c>
      <c r="K299" s="90"/>
      <c r="L299" s="88">
        <v>0.0</v>
      </c>
      <c r="M299" s="61"/>
      <c r="N299" s="61"/>
      <c r="O299" s="61"/>
      <c r="P299" s="61"/>
      <c r="Q299" s="61"/>
      <c r="R299" s="61"/>
      <c r="S299" s="52">
        <v>0.0</v>
      </c>
    </row>
    <row r="300">
      <c r="A300" s="52">
        <v>299.0</v>
      </c>
      <c r="B300" s="61"/>
      <c r="C300" s="61"/>
      <c r="D300" s="61"/>
      <c r="E300" s="61"/>
      <c r="F300" s="84" t="s">
        <v>426</v>
      </c>
      <c r="G300" s="85">
        <f t="shared" si="1"/>
        <v>2</v>
      </c>
      <c r="H300" s="86" t="s">
        <v>311</v>
      </c>
      <c r="I300" s="87">
        <v>0.0</v>
      </c>
      <c r="J300" s="56">
        <f t="shared" si="10"/>
        <v>0</v>
      </c>
      <c r="K300" s="90"/>
      <c r="L300" s="88">
        <v>0.0</v>
      </c>
      <c r="M300" s="61"/>
      <c r="N300" s="61"/>
      <c r="O300" s="61"/>
      <c r="P300" s="61"/>
      <c r="Q300" s="61"/>
      <c r="R300" s="61"/>
      <c r="S300" s="52">
        <v>0.0</v>
      </c>
    </row>
    <row r="301">
      <c r="A301" s="52">
        <v>300.0</v>
      </c>
      <c r="B301" s="61"/>
      <c r="C301" s="61"/>
      <c r="D301" s="61"/>
      <c r="E301" s="61"/>
      <c r="F301" s="84" t="s">
        <v>427</v>
      </c>
      <c r="G301" s="85">
        <f t="shared" si="1"/>
        <v>4</v>
      </c>
      <c r="H301" s="86" t="s">
        <v>320</v>
      </c>
      <c r="I301" s="87">
        <v>5000.0</v>
      </c>
      <c r="J301" s="56">
        <f t="shared" si="10"/>
        <v>20000</v>
      </c>
      <c r="K301" s="90"/>
      <c r="L301" s="88">
        <v>5000.0</v>
      </c>
      <c r="M301" s="61"/>
      <c r="N301" s="61"/>
      <c r="O301" s="61"/>
      <c r="P301" s="61"/>
      <c r="Q301" s="61"/>
      <c r="R301" s="61"/>
      <c r="S301" s="52">
        <v>0.0</v>
      </c>
    </row>
    <row r="302">
      <c r="A302" s="52">
        <v>301.0</v>
      </c>
      <c r="B302" s="61"/>
      <c r="C302" s="61"/>
      <c r="D302" s="61"/>
      <c r="E302" s="61"/>
      <c r="F302" s="84" t="s">
        <v>428</v>
      </c>
      <c r="G302" s="85">
        <f t="shared" si="1"/>
        <v>1</v>
      </c>
      <c r="H302" s="86" t="s">
        <v>262</v>
      </c>
      <c r="I302" s="87">
        <v>0.0</v>
      </c>
      <c r="J302" s="56">
        <f t="shared" si="10"/>
        <v>0</v>
      </c>
      <c r="K302" s="90"/>
      <c r="L302" s="88">
        <v>0.0</v>
      </c>
      <c r="M302" s="61"/>
      <c r="N302" s="61"/>
      <c r="O302" s="61"/>
      <c r="P302" s="61"/>
      <c r="Q302" s="61"/>
      <c r="R302" s="61"/>
      <c r="S302" s="52">
        <v>0.0</v>
      </c>
    </row>
    <row r="303">
      <c r="A303" s="52">
        <v>302.0</v>
      </c>
      <c r="B303" s="61"/>
      <c r="C303" s="61"/>
      <c r="D303" s="61"/>
      <c r="E303" s="61"/>
      <c r="F303" s="84" t="s">
        <v>429</v>
      </c>
      <c r="G303" s="85">
        <f t="shared" si="1"/>
        <v>4</v>
      </c>
      <c r="H303" s="86" t="s">
        <v>320</v>
      </c>
      <c r="I303" s="87">
        <v>11000.0</v>
      </c>
      <c r="J303" s="56">
        <f t="shared" si="10"/>
        <v>44000</v>
      </c>
      <c r="K303" s="90"/>
      <c r="L303" s="88">
        <v>11000.0</v>
      </c>
      <c r="M303" s="61"/>
      <c r="N303" s="61"/>
      <c r="O303" s="61"/>
      <c r="P303" s="61"/>
      <c r="Q303" s="61"/>
      <c r="R303" s="61"/>
      <c r="S303" s="52">
        <v>0.0</v>
      </c>
    </row>
    <row r="304">
      <c r="A304" s="52">
        <v>303.0</v>
      </c>
      <c r="B304" s="61"/>
      <c r="C304" s="61"/>
      <c r="D304" s="61"/>
      <c r="E304" s="61"/>
      <c r="F304" s="84" t="s">
        <v>430</v>
      </c>
      <c r="G304" s="85">
        <f t="shared" si="1"/>
        <v>1</v>
      </c>
      <c r="H304" s="86" t="s">
        <v>262</v>
      </c>
      <c r="I304" s="87">
        <v>18000.0</v>
      </c>
      <c r="J304" s="56">
        <f t="shared" si="10"/>
        <v>18000</v>
      </c>
      <c r="K304" s="90"/>
      <c r="L304" s="88">
        <v>18000.0</v>
      </c>
      <c r="M304" s="61"/>
      <c r="N304" s="61"/>
      <c r="O304" s="61"/>
      <c r="P304" s="61"/>
      <c r="Q304" s="61"/>
      <c r="R304" s="61"/>
      <c r="S304" s="52">
        <v>0.0</v>
      </c>
    </row>
    <row r="305">
      <c r="A305" s="52">
        <v>304.0</v>
      </c>
      <c r="B305" s="61"/>
      <c r="C305" s="61"/>
      <c r="D305" s="61"/>
      <c r="E305" s="61"/>
      <c r="F305" s="84" t="s">
        <v>431</v>
      </c>
      <c r="G305" s="85">
        <f t="shared" si="1"/>
        <v>20</v>
      </c>
      <c r="H305" s="86" t="s">
        <v>384</v>
      </c>
      <c r="I305" s="87">
        <v>0.0</v>
      </c>
      <c r="J305" s="56">
        <f t="shared" si="10"/>
        <v>0</v>
      </c>
      <c r="K305" s="90"/>
      <c r="L305" s="88">
        <v>0.0</v>
      </c>
      <c r="M305" s="61"/>
      <c r="N305" s="61"/>
      <c r="O305" s="61"/>
      <c r="P305" s="61"/>
      <c r="Q305" s="61"/>
      <c r="R305" s="61"/>
      <c r="S305" s="52">
        <v>0.0</v>
      </c>
    </row>
    <row r="306">
      <c r="A306" s="52">
        <v>305.0</v>
      </c>
      <c r="B306" s="61"/>
      <c r="C306" s="61"/>
      <c r="D306" s="61"/>
      <c r="E306" s="61"/>
      <c r="F306" s="84" t="s">
        <v>432</v>
      </c>
      <c r="G306" s="85">
        <f t="shared" si="1"/>
        <v>10</v>
      </c>
      <c r="H306" s="86" t="s">
        <v>277</v>
      </c>
      <c r="I306" s="87">
        <v>0.0</v>
      </c>
      <c r="J306" s="56">
        <f t="shared" si="10"/>
        <v>0</v>
      </c>
      <c r="K306" s="90"/>
      <c r="L306" s="88">
        <v>0.0</v>
      </c>
      <c r="M306" s="61"/>
      <c r="N306" s="61"/>
      <c r="O306" s="61"/>
      <c r="P306" s="61"/>
      <c r="Q306" s="61"/>
      <c r="R306" s="61"/>
      <c r="S306" s="52">
        <v>0.0</v>
      </c>
    </row>
    <row r="307">
      <c r="A307" s="52">
        <v>306.0</v>
      </c>
      <c r="B307" s="61"/>
      <c r="C307" s="61"/>
      <c r="D307" s="61"/>
      <c r="E307" s="61"/>
      <c r="F307" s="84" t="s">
        <v>433</v>
      </c>
      <c r="G307" s="85">
        <f t="shared" si="1"/>
        <v>4</v>
      </c>
      <c r="H307" s="86" t="s">
        <v>320</v>
      </c>
      <c r="I307" s="87">
        <v>35000.0</v>
      </c>
      <c r="J307" s="56">
        <f t="shared" si="10"/>
        <v>140000</v>
      </c>
      <c r="K307" s="90"/>
      <c r="L307" s="88">
        <v>35000.0</v>
      </c>
      <c r="M307" s="61"/>
      <c r="N307" s="61"/>
      <c r="O307" s="61"/>
      <c r="P307" s="61"/>
      <c r="Q307" s="61"/>
      <c r="R307" s="61"/>
      <c r="S307" s="52">
        <v>0.0</v>
      </c>
    </row>
    <row r="308">
      <c r="A308" s="52">
        <v>307.0</v>
      </c>
      <c r="B308" s="61"/>
      <c r="C308" s="61"/>
      <c r="D308" s="61"/>
      <c r="E308" s="61"/>
      <c r="F308" s="84" t="s">
        <v>434</v>
      </c>
      <c r="G308" s="85">
        <f t="shared" si="1"/>
        <v>7</v>
      </c>
      <c r="H308" s="86" t="s">
        <v>280</v>
      </c>
      <c r="I308" s="87">
        <v>4500.0</v>
      </c>
      <c r="J308" s="56">
        <f t="shared" si="10"/>
        <v>31500</v>
      </c>
      <c r="K308" s="90"/>
      <c r="L308" s="88">
        <v>4500.0</v>
      </c>
      <c r="M308" s="61"/>
      <c r="N308" s="61"/>
      <c r="O308" s="61"/>
      <c r="P308" s="61"/>
      <c r="Q308" s="61"/>
      <c r="R308" s="61"/>
      <c r="S308" s="52">
        <v>0.0</v>
      </c>
    </row>
    <row r="309">
      <c r="A309" s="52">
        <v>308.0</v>
      </c>
      <c r="B309" s="61"/>
      <c r="C309" s="61"/>
      <c r="D309" s="61"/>
      <c r="E309" s="61"/>
      <c r="F309" s="84" t="s">
        <v>435</v>
      </c>
      <c r="G309" s="85">
        <f t="shared" si="1"/>
        <v>2</v>
      </c>
      <c r="H309" s="86" t="s">
        <v>311</v>
      </c>
      <c r="I309" s="87">
        <v>2000.0</v>
      </c>
      <c r="J309" s="56">
        <f t="shared" si="10"/>
        <v>4000</v>
      </c>
      <c r="K309" s="90"/>
      <c r="L309" s="88">
        <v>2000.0</v>
      </c>
      <c r="M309" s="61"/>
      <c r="N309" s="61"/>
      <c r="O309" s="61"/>
      <c r="P309" s="61"/>
      <c r="Q309" s="61"/>
      <c r="R309" s="61"/>
      <c r="S309" s="52">
        <v>0.0</v>
      </c>
    </row>
    <row r="310">
      <c r="A310" s="52">
        <v>309.0</v>
      </c>
      <c r="B310" s="61"/>
      <c r="C310" s="61"/>
      <c r="D310" s="61"/>
      <c r="E310" s="61"/>
      <c r="F310" s="84" t="s">
        <v>436</v>
      </c>
      <c r="G310" s="85">
        <f t="shared" si="1"/>
        <v>1</v>
      </c>
      <c r="H310" s="86" t="s">
        <v>262</v>
      </c>
      <c r="I310" s="87">
        <v>0.0</v>
      </c>
      <c r="J310" s="56">
        <f t="shared" si="10"/>
        <v>0</v>
      </c>
      <c r="K310" s="90"/>
      <c r="L310" s="88">
        <v>0.0</v>
      </c>
      <c r="M310" s="61"/>
      <c r="N310" s="61"/>
      <c r="O310" s="61"/>
      <c r="P310" s="61"/>
      <c r="Q310" s="61"/>
      <c r="R310" s="61"/>
      <c r="S310" s="52">
        <v>0.0</v>
      </c>
    </row>
    <row r="311">
      <c r="A311" s="52">
        <v>310.0</v>
      </c>
      <c r="B311" s="61"/>
      <c r="C311" s="61"/>
      <c r="D311" s="61"/>
      <c r="E311" s="61"/>
      <c r="F311" s="84" t="s">
        <v>437</v>
      </c>
      <c r="G311" s="85">
        <f t="shared" si="1"/>
        <v>4</v>
      </c>
      <c r="H311" s="86" t="s">
        <v>320</v>
      </c>
      <c r="I311" s="87">
        <v>14000.0</v>
      </c>
      <c r="J311" s="56">
        <f t="shared" si="10"/>
        <v>56000</v>
      </c>
      <c r="K311" s="90"/>
      <c r="L311" s="88">
        <v>14000.0</v>
      </c>
      <c r="M311" s="61"/>
      <c r="N311" s="61"/>
      <c r="O311" s="61"/>
      <c r="P311" s="61"/>
      <c r="Q311" s="61"/>
      <c r="R311" s="61"/>
      <c r="S311" s="52">
        <v>0.0</v>
      </c>
    </row>
    <row r="312">
      <c r="A312" s="52">
        <v>311.0</v>
      </c>
      <c r="B312" s="61"/>
      <c r="C312" s="61"/>
      <c r="D312" s="61"/>
      <c r="E312" s="61"/>
      <c r="F312" s="84" t="s">
        <v>438</v>
      </c>
      <c r="G312" s="85">
        <f t="shared" si="1"/>
        <v>2</v>
      </c>
      <c r="H312" s="86" t="s">
        <v>311</v>
      </c>
      <c r="I312" s="87">
        <v>14000.0</v>
      </c>
      <c r="J312" s="56">
        <f t="shared" si="10"/>
        <v>28000</v>
      </c>
      <c r="K312" s="90"/>
      <c r="L312" s="88">
        <v>14000.0</v>
      </c>
      <c r="M312" s="61"/>
      <c r="N312" s="61"/>
      <c r="O312" s="61"/>
      <c r="P312" s="61"/>
      <c r="Q312" s="61"/>
      <c r="R312" s="61"/>
      <c r="S312" s="52">
        <v>0.0</v>
      </c>
    </row>
    <row r="313">
      <c r="A313" s="52">
        <v>312.0</v>
      </c>
      <c r="B313" s="61"/>
      <c r="C313" s="61"/>
      <c r="D313" s="61"/>
      <c r="E313" s="61"/>
      <c r="F313" s="84" t="s">
        <v>439</v>
      </c>
      <c r="G313" s="85">
        <f t="shared" si="1"/>
        <v>4</v>
      </c>
      <c r="H313" s="86" t="s">
        <v>320</v>
      </c>
      <c r="I313" s="87">
        <v>15000.0</v>
      </c>
      <c r="J313" s="56">
        <f t="shared" si="10"/>
        <v>60000</v>
      </c>
      <c r="K313" s="90"/>
      <c r="L313" s="88">
        <v>15000.0</v>
      </c>
      <c r="M313" s="61"/>
      <c r="N313" s="61"/>
      <c r="O313" s="61"/>
      <c r="P313" s="61"/>
      <c r="Q313" s="61"/>
      <c r="R313" s="61"/>
      <c r="S313" s="52">
        <v>0.0</v>
      </c>
    </row>
    <row r="314">
      <c r="A314" s="52">
        <v>313.0</v>
      </c>
      <c r="B314" s="61"/>
      <c r="C314" s="61"/>
      <c r="D314" s="61"/>
      <c r="E314" s="61"/>
      <c r="F314" s="84" t="s">
        <v>440</v>
      </c>
      <c r="G314" s="85">
        <f t="shared" si="1"/>
        <v>3</v>
      </c>
      <c r="H314" s="86" t="s">
        <v>305</v>
      </c>
      <c r="I314" s="87">
        <v>10000.0</v>
      </c>
      <c r="J314" s="56">
        <f t="shared" si="10"/>
        <v>30000</v>
      </c>
      <c r="K314" s="90"/>
      <c r="L314" s="88">
        <v>10000.0</v>
      </c>
      <c r="M314" s="61"/>
      <c r="N314" s="61"/>
      <c r="O314" s="61"/>
      <c r="P314" s="61"/>
      <c r="Q314" s="61"/>
      <c r="R314" s="61"/>
      <c r="S314" s="52">
        <v>0.0</v>
      </c>
    </row>
    <row r="315">
      <c r="A315" s="52">
        <v>314.0</v>
      </c>
      <c r="B315" s="61"/>
      <c r="C315" s="61"/>
      <c r="D315" s="61"/>
      <c r="E315" s="61"/>
      <c r="F315" s="84" t="s">
        <v>441</v>
      </c>
      <c r="G315" s="85">
        <f t="shared" si="1"/>
        <v>2</v>
      </c>
      <c r="H315" s="86" t="s">
        <v>311</v>
      </c>
      <c r="I315" s="87">
        <v>27500.0</v>
      </c>
      <c r="J315" s="56">
        <f t="shared" si="10"/>
        <v>55000</v>
      </c>
      <c r="K315" s="90"/>
      <c r="L315" s="88">
        <v>27500.0</v>
      </c>
      <c r="M315" s="61"/>
      <c r="N315" s="61"/>
      <c r="O315" s="61"/>
      <c r="P315" s="61"/>
      <c r="Q315" s="61"/>
      <c r="R315" s="61"/>
      <c r="S315" s="52">
        <v>0.0</v>
      </c>
    </row>
    <row r="316">
      <c r="A316" s="52">
        <v>315.0</v>
      </c>
      <c r="B316" s="61"/>
      <c r="C316" s="61"/>
      <c r="D316" s="61"/>
      <c r="E316" s="61"/>
      <c r="F316" s="84" t="s">
        <v>442</v>
      </c>
      <c r="G316" s="85">
        <f t="shared" si="1"/>
        <v>2</v>
      </c>
      <c r="H316" s="86" t="s">
        <v>311</v>
      </c>
      <c r="I316" s="87">
        <v>10000.0</v>
      </c>
      <c r="J316" s="56">
        <f t="shared" si="10"/>
        <v>20000</v>
      </c>
      <c r="K316" s="90"/>
      <c r="L316" s="88">
        <v>10000.0</v>
      </c>
      <c r="M316" s="61"/>
      <c r="N316" s="61"/>
      <c r="O316" s="61"/>
      <c r="P316" s="61"/>
      <c r="Q316" s="61"/>
      <c r="R316" s="61"/>
      <c r="S316" s="52">
        <v>0.0</v>
      </c>
    </row>
    <row r="317">
      <c r="A317" s="52">
        <v>316.0</v>
      </c>
      <c r="B317" s="61"/>
      <c r="C317" s="61"/>
      <c r="D317" s="61"/>
      <c r="E317" s="61"/>
      <c r="F317" s="84" t="s">
        <v>443</v>
      </c>
      <c r="G317" s="85">
        <f t="shared" si="1"/>
        <v>1</v>
      </c>
      <c r="H317" s="86" t="s">
        <v>262</v>
      </c>
      <c r="I317" s="87">
        <v>31000.0</v>
      </c>
      <c r="J317" s="56">
        <f t="shared" si="10"/>
        <v>31000</v>
      </c>
      <c r="K317" s="90"/>
      <c r="L317" s="88">
        <v>31000.0</v>
      </c>
      <c r="M317" s="61"/>
      <c r="N317" s="61"/>
      <c r="O317" s="61"/>
      <c r="P317" s="61"/>
      <c r="Q317" s="61"/>
      <c r="R317" s="61"/>
      <c r="S317" s="52">
        <v>0.0</v>
      </c>
    </row>
    <row r="318">
      <c r="A318" s="52">
        <v>317.0</v>
      </c>
      <c r="B318" s="61"/>
      <c r="C318" s="61"/>
      <c r="D318" s="61"/>
      <c r="E318" s="61"/>
      <c r="F318" s="84" t="s">
        <v>444</v>
      </c>
      <c r="G318" s="85">
        <f t="shared" si="1"/>
        <v>3</v>
      </c>
      <c r="H318" s="86" t="s">
        <v>305</v>
      </c>
      <c r="I318" s="87">
        <v>21000.0</v>
      </c>
      <c r="J318" s="56">
        <f t="shared" si="10"/>
        <v>63000</v>
      </c>
      <c r="K318" s="90"/>
      <c r="L318" s="88">
        <v>21000.0</v>
      </c>
      <c r="M318" s="61"/>
      <c r="N318" s="61"/>
      <c r="O318" s="61"/>
      <c r="P318" s="61"/>
      <c r="Q318" s="61"/>
      <c r="R318" s="61"/>
      <c r="S318" s="52">
        <v>0.0</v>
      </c>
    </row>
    <row r="319">
      <c r="A319" s="52">
        <v>318.0</v>
      </c>
      <c r="B319" s="61"/>
      <c r="C319" s="61"/>
      <c r="D319" s="61"/>
      <c r="E319" s="61"/>
      <c r="F319" s="84" t="s">
        <v>445</v>
      </c>
      <c r="G319" s="85">
        <f t="shared" si="1"/>
        <v>1</v>
      </c>
      <c r="H319" s="86" t="s">
        <v>262</v>
      </c>
      <c r="I319" s="87">
        <v>22500.0</v>
      </c>
      <c r="J319" s="56">
        <f t="shared" si="10"/>
        <v>22500</v>
      </c>
      <c r="K319" s="90"/>
      <c r="L319" s="88">
        <v>22500.0</v>
      </c>
      <c r="M319" s="61"/>
      <c r="N319" s="61"/>
      <c r="O319" s="61"/>
      <c r="P319" s="61"/>
      <c r="Q319" s="61"/>
      <c r="R319" s="61"/>
      <c r="S319" s="52">
        <v>0.0</v>
      </c>
    </row>
    <row r="320">
      <c r="A320" s="52">
        <v>319.0</v>
      </c>
      <c r="B320" s="61"/>
      <c r="C320" s="61"/>
      <c r="D320" s="61"/>
      <c r="E320" s="61"/>
      <c r="F320" s="84" t="s">
        <v>446</v>
      </c>
      <c r="G320" s="85">
        <f t="shared" si="1"/>
        <v>1</v>
      </c>
      <c r="H320" s="86" t="s">
        <v>262</v>
      </c>
      <c r="I320" s="87">
        <v>28500.0</v>
      </c>
      <c r="J320" s="56">
        <f t="shared" si="10"/>
        <v>28500</v>
      </c>
      <c r="K320" s="90"/>
      <c r="L320" s="88">
        <v>28500.0</v>
      </c>
      <c r="M320" s="61"/>
      <c r="N320" s="61"/>
      <c r="O320" s="61"/>
      <c r="P320" s="61"/>
      <c r="Q320" s="61"/>
      <c r="R320" s="61"/>
      <c r="S320" s="52">
        <v>0.0</v>
      </c>
    </row>
    <row r="321">
      <c r="A321" s="52">
        <v>320.0</v>
      </c>
      <c r="B321" s="61"/>
      <c r="C321" s="61"/>
      <c r="D321" s="61"/>
      <c r="E321" s="61"/>
      <c r="F321" s="84" t="s">
        <v>447</v>
      </c>
      <c r="G321" s="85">
        <f t="shared" si="1"/>
        <v>2</v>
      </c>
      <c r="H321" s="86" t="s">
        <v>311</v>
      </c>
      <c r="I321" s="87">
        <v>21000.0</v>
      </c>
      <c r="J321" s="56">
        <f t="shared" si="10"/>
        <v>42000</v>
      </c>
      <c r="K321" s="90"/>
      <c r="L321" s="88">
        <v>21000.0</v>
      </c>
      <c r="M321" s="61"/>
      <c r="N321" s="61"/>
      <c r="O321" s="61"/>
      <c r="P321" s="61"/>
      <c r="Q321" s="61"/>
      <c r="R321" s="61"/>
      <c r="S321" s="52">
        <v>0.0</v>
      </c>
    </row>
    <row r="322">
      <c r="A322" s="52">
        <v>321.0</v>
      </c>
      <c r="B322" s="61"/>
      <c r="C322" s="61"/>
      <c r="D322" s="61"/>
      <c r="E322" s="61"/>
      <c r="F322" s="84" t="s">
        <v>448</v>
      </c>
      <c r="G322" s="85">
        <f t="shared" si="1"/>
        <v>21</v>
      </c>
      <c r="H322" s="86" t="s">
        <v>257</v>
      </c>
      <c r="I322" s="87">
        <v>1500.0</v>
      </c>
      <c r="J322" s="56">
        <f t="shared" si="10"/>
        <v>31500</v>
      </c>
      <c r="K322" s="90"/>
      <c r="L322" s="88">
        <v>1500.0</v>
      </c>
      <c r="M322" s="61"/>
      <c r="N322" s="61"/>
      <c r="O322" s="61"/>
      <c r="P322" s="61"/>
      <c r="Q322" s="61"/>
      <c r="R322" s="61"/>
      <c r="S322" s="52">
        <v>0.0</v>
      </c>
    </row>
    <row r="323">
      <c r="A323" s="52">
        <v>322.0</v>
      </c>
      <c r="B323" s="61"/>
      <c r="C323" s="61"/>
      <c r="D323" s="61"/>
      <c r="E323" s="61"/>
      <c r="F323" s="84" t="s">
        <v>449</v>
      </c>
      <c r="G323" s="85">
        <f t="shared" si="1"/>
        <v>5</v>
      </c>
      <c r="H323" s="86" t="s">
        <v>271</v>
      </c>
      <c r="I323" s="87">
        <v>2000.0</v>
      </c>
      <c r="J323" s="56">
        <f t="shared" si="10"/>
        <v>10000</v>
      </c>
      <c r="K323" s="90"/>
      <c r="L323" s="88">
        <v>2000.0</v>
      </c>
      <c r="M323" s="61"/>
      <c r="N323" s="61"/>
      <c r="O323" s="61"/>
      <c r="P323" s="61"/>
      <c r="Q323" s="61"/>
      <c r="R323" s="61"/>
      <c r="S323" s="52">
        <v>0.0</v>
      </c>
    </row>
    <row r="324">
      <c r="A324" s="52">
        <v>323.0</v>
      </c>
      <c r="B324" s="61"/>
      <c r="C324" s="61"/>
      <c r="D324" s="61"/>
      <c r="E324" s="61"/>
      <c r="F324" s="84" t="s">
        <v>450</v>
      </c>
      <c r="G324" s="85">
        <f t="shared" si="1"/>
        <v>3</v>
      </c>
      <c r="H324" s="86" t="s">
        <v>305</v>
      </c>
      <c r="I324" s="87">
        <v>5000.0</v>
      </c>
      <c r="J324" s="56">
        <f t="shared" si="10"/>
        <v>15000</v>
      </c>
      <c r="K324" s="90"/>
      <c r="L324" s="88">
        <v>5000.0</v>
      </c>
      <c r="M324" s="61"/>
      <c r="N324" s="61"/>
      <c r="O324" s="61"/>
      <c r="P324" s="61"/>
      <c r="Q324" s="61"/>
      <c r="R324" s="61"/>
      <c r="S324" s="52">
        <v>0.0</v>
      </c>
    </row>
    <row r="325">
      <c r="A325" s="52">
        <v>324.0</v>
      </c>
      <c r="B325" s="61"/>
      <c r="C325" s="61"/>
      <c r="D325" s="61"/>
      <c r="E325" s="61"/>
      <c r="F325" s="84" t="s">
        <v>451</v>
      </c>
      <c r="G325" s="85">
        <f t="shared" si="1"/>
        <v>2</v>
      </c>
      <c r="H325" s="86" t="s">
        <v>311</v>
      </c>
      <c r="I325" s="87">
        <v>14000.0</v>
      </c>
      <c r="J325" s="56">
        <f t="shared" si="10"/>
        <v>28000</v>
      </c>
      <c r="K325" s="90"/>
      <c r="L325" s="88">
        <v>14000.0</v>
      </c>
      <c r="M325" s="61"/>
      <c r="N325" s="61"/>
      <c r="O325" s="61"/>
      <c r="P325" s="61"/>
      <c r="Q325" s="61"/>
      <c r="R325" s="61"/>
      <c r="S325" s="52">
        <v>0.0</v>
      </c>
    </row>
    <row r="326">
      <c r="A326" s="52">
        <v>325.0</v>
      </c>
      <c r="B326" s="61"/>
      <c r="C326" s="61"/>
      <c r="D326" s="61"/>
      <c r="E326" s="61"/>
      <c r="F326" s="84" t="s">
        <v>452</v>
      </c>
      <c r="G326" s="85">
        <f t="shared" si="1"/>
        <v>2</v>
      </c>
      <c r="H326" s="86" t="s">
        <v>311</v>
      </c>
      <c r="I326" s="87">
        <v>16500.0</v>
      </c>
      <c r="J326" s="56">
        <f t="shared" si="10"/>
        <v>33000</v>
      </c>
      <c r="K326" s="90"/>
      <c r="L326" s="88">
        <v>16500.0</v>
      </c>
      <c r="M326" s="61"/>
      <c r="N326" s="61"/>
      <c r="O326" s="61"/>
      <c r="P326" s="61"/>
      <c r="Q326" s="61"/>
      <c r="R326" s="61"/>
      <c r="S326" s="52">
        <v>0.0</v>
      </c>
    </row>
    <row r="327">
      <c r="A327" s="52">
        <v>326.0</v>
      </c>
      <c r="B327" s="61"/>
      <c r="C327" s="61"/>
      <c r="D327" s="61"/>
      <c r="E327" s="61"/>
      <c r="F327" s="84" t="s">
        <v>453</v>
      </c>
      <c r="G327" s="85">
        <f t="shared" si="1"/>
        <v>1</v>
      </c>
      <c r="H327" s="86" t="s">
        <v>262</v>
      </c>
      <c r="I327" s="87">
        <v>17000.0</v>
      </c>
      <c r="J327" s="56">
        <f t="shared" si="10"/>
        <v>17000</v>
      </c>
      <c r="K327" s="90"/>
      <c r="L327" s="88">
        <v>17000.0</v>
      </c>
      <c r="M327" s="61"/>
      <c r="N327" s="61"/>
      <c r="O327" s="61"/>
      <c r="P327" s="61"/>
      <c r="Q327" s="61"/>
      <c r="R327" s="61"/>
      <c r="S327" s="52">
        <v>0.0</v>
      </c>
    </row>
    <row r="328">
      <c r="A328" s="52">
        <v>327.0</v>
      </c>
      <c r="B328" s="61"/>
      <c r="C328" s="61"/>
      <c r="D328" s="61"/>
      <c r="E328" s="61"/>
      <c r="F328" s="84" t="s">
        <v>454</v>
      </c>
      <c r="G328" s="85">
        <f t="shared" si="1"/>
        <v>3</v>
      </c>
      <c r="H328" s="86" t="s">
        <v>305</v>
      </c>
      <c r="I328" s="87">
        <v>20000.0</v>
      </c>
      <c r="J328" s="56">
        <f t="shared" si="10"/>
        <v>60000</v>
      </c>
      <c r="K328" s="90"/>
      <c r="L328" s="88">
        <v>20000.0</v>
      </c>
      <c r="M328" s="61"/>
      <c r="N328" s="61"/>
      <c r="O328" s="61"/>
      <c r="P328" s="61"/>
      <c r="Q328" s="61"/>
      <c r="R328" s="61"/>
      <c r="S328" s="52">
        <v>0.0</v>
      </c>
    </row>
    <row r="329">
      <c r="A329" s="52">
        <v>328.0</v>
      </c>
      <c r="B329" s="61"/>
      <c r="C329" s="61"/>
      <c r="D329" s="61"/>
      <c r="E329" s="61"/>
      <c r="F329" s="84" t="s">
        <v>455</v>
      </c>
      <c r="G329" s="85">
        <f t="shared" si="1"/>
        <v>3</v>
      </c>
      <c r="H329" s="86" t="s">
        <v>305</v>
      </c>
      <c r="I329" s="87">
        <v>22000.0</v>
      </c>
      <c r="J329" s="56">
        <f t="shared" si="10"/>
        <v>66000</v>
      </c>
      <c r="K329" s="90"/>
      <c r="L329" s="88">
        <v>22000.0</v>
      </c>
      <c r="M329" s="61"/>
      <c r="N329" s="61"/>
      <c r="O329" s="61"/>
      <c r="P329" s="61"/>
      <c r="Q329" s="61"/>
      <c r="R329" s="61"/>
      <c r="S329" s="52">
        <v>0.0</v>
      </c>
    </row>
    <row r="330">
      <c r="A330" s="52">
        <v>329.0</v>
      </c>
      <c r="B330" s="61"/>
      <c r="C330" s="61"/>
      <c r="D330" s="61"/>
      <c r="E330" s="61"/>
      <c r="F330" s="84" t="s">
        <v>456</v>
      </c>
      <c r="G330" s="85">
        <f t="shared" si="1"/>
        <v>1</v>
      </c>
      <c r="H330" s="86" t="s">
        <v>262</v>
      </c>
      <c r="I330" s="87">
        <v>5500.0</v>
      </c>
      <c r="J330" s="56">
        <f t="shared" si="10"/>
        <v>5500</v>
      </c>
      <c r="K330" s="90"/>
      <c r="L330" s="88">
        <v>5500.0</v>
      </c>
      <c r="M330" s="61"/>
      <c r="N330" s="61"/>
      <c r="O330" s="61"/>
      <c r="P330" s="61"/>
      <c r="Q330" s="61"/>
      <c r="R330" s="61"/>
      <c r="S330" s="52">
        <v>0.0</v>
      </c>
    </row>
    <row r="331">
      <c r="A331" s="52">
        <v>330.0</v>
      </c>
      <c r="B331" s="61"/>
      <c r="C331" s="61"/>
      <c r="D331" s="61"/>
      <c r="E331" s="61"/>
      <c r="F331" s="84" t="s">
        <v>457</v>
      </c>
      <c r="G331" s="85">
        <f t="shared" si="1"/>
        <v>1</v>
      </c>
      <c r="H331" s="86" t="s">
        <v>458</v>
      </c>
      <c r="I331" s="87">
        <v>23000.0</v>
      </c>
      <c r="J331" s="56">
        <f t="shared" si="10"/>
        <v>23000</v>
      </c>
      <c r="K331" s="90"/>
      <c r="L331" s="88">
        <v>23000.0</v>
      </c>
      <c r="M331" s="61"/>
      <c r="N331" s="61"/>
      <c r="O331" s="61"/>
      <c r="P331" s="61"/>
      <c r="Q331" s="61"/>
      <c r="R331" s="61"/>
      <c r="S331" s="52">
        <v>0.0</v>
      </c>
    </row>
    <row r="332">
      <c r="A332" s="52">
        <v>331.0</v>
      </c>
      <c r="B332" s="61"/>
      <c r="C332" s="61"/>
      <c r="D332" s="61"/>
      <c r="E332" s="61"/>
      <c r="F332" s="84" t="s">
        <v>459</v>
      </c>
      <c r="G332" s="85">
        <f t="shared" si="1"/>
        <v>2</v>
      </c>
      <c r="H332" s="86" t="s">
        <v>311</v>
      </c>
      <c r="I332" s="87">
        <v>21000.0</v>
      </c>
      <c r="J332" s="56">
        <f t="shared" si="10"/>
        <v>42000</v>
      </c>
      <c r="K332" s="90"/>
      <c r="L332" s="88">
        <v>21000.0</v>
      </c>
      <c r="M332" s="61"/>
      <c r="N332" s="61"/>
      <c r="O332" s="61"/>
      <c r="P332" s="61"/>
      <c r="Q332" s="61"/>
      <c r="R332" s="61"/>
      <c r="S332" s="52">
        <v>0.0</v>
      </c>
    </row>
    <row r="333">
      <c r="A333" s="52">
        <v>332.0</v>
      </c>
      <c r="B333" s="61"/>
      <c r="C333" s="61"/>
      <c r="D333" s="61"/>
      <c r="E333" s="61"/>
      <c r="F333" s="84" t="s">
        <v>460</v>
      </c>
      <c r="G333" s="85">
        <f t="shared" si="1"/>
        <v>6</v>
      </c>
      <c r="H333" s="86" t="s">
        <v>300</v>
      </c>
      <c r="I333" s="87">
        <v>15000.0</v>
      </c>
      <c r="J333" s="56">
        <f t="shared" si="10"/>
        <v>90000</v>
      </c>
      <c r="K333" s="90"/>
      <c r="L333" s="88">
        <v>15000.0</v>
      </c>
      <c r="M333" s="61"/>
      <c r="N333" s="61"/>
      <c r="O333" s="61"/>
      <c r="P333" s="61"/>
      <c r="Q333" s="61"/>
      <c r="R333" s="61"/>
      <c r="S333" s="52">
        <v>0.0</v>
      </c>
    </row>
    <row r="334">
      <c r="A334" s="52">
        <v>333.0</v>
      </c>
      <c r="B334" s="61"/>
      <c r="C334" s="61"/>
      <c r="D334" s="61"/>
      <c r="E334" s="61"/>
      <c r="F334" s="84" t="s">
        <v>461</v>
      </c>
      <c r="G334" s="85">
        <f t="shared" si="1"/>
        <v>1</v>
      </c>
      <c r="H334" s="86" t="s">
        <v>262</v>
      </c>
      <c r="I334" s="87">
        <v>17000.0</v>
      </c>
      <c r="J334" s="56">
        <f t="shared" si="10"/>
        <v>17000</v>
      </c>
      <c r="K334" s="90"/>
      <c r="L334" s="88">
        <v>17000.0</v>
      </c>
      <c r="M334" s="61"/>
      <c r="N334" s="61"/>
      <c r="O334" s="61"/>
      <c r="P334" s="61"/>
      <c r="Q334" s="61"/>
      <c r="R334" s="61"/>
      <c r="S334" s="52">
        <v>0.0</v>
      </c>
    </row>
    <row r="335">
      <c r="A335" s="52">
        <v>334.0</v>
      </c>
      <c r="B335" s="61"/>
      <c r="C335" s="61"/>
      <c r="D335" s="61"/>
      <c r="E335" s="61"/>
      <c r="F335" s="84" t="s">
        <v>462</v>
      </c>
      <c r="G335" s="85">
        <f t="shared" si="1"/>
        <v>10</v>
      </c>
      <c r="H335" s="86" t="s">
        <v>277</v>
      </c>
      <c r="I335" s="87">
        <v>20000.0</v>
      </c>
      <c r="J335" s="56">
        <f t="shared" si="10"/>
        <v>200000</v>
      </c>
      <c r="K335" s="90"/>
      <c r="L335" s="88">
        <v>20000.0</v>
      </c>
      <c r="M335" s="61"/>
      <c r="N335" s="61"/>
      <c r="O335" s="61"/>
      <c r="P335" s="61"/>
      <c r="Q335" s="61"/>
      <c r="R335" s="61"/>
      <c r="S335" s="52">
        <v>0.0</v>
      </c>
    </row>
    <row r="336">
      <c r="A336" s="52">
        <v>335.0</v>
      </c>
      <c r="B336" s="61"/>
      <c r="C336" s="61"/>
      <c r="D336" s="61"/>
      <c r="E336" s="61"/>
      <c r="F336" s="84" t="s">
        <v>463</v>
      </c>
      <c r="G336" s="85">
        <f t="shared" si="1"/>
        <v>3</v>
      </c>
      <c r="H336" s="86" t="s">
        <v>305</v>
      </c>
      <c r="I336" s="87">
        <v>75000.0</v>
      </c>
      <c r="J336" s="56">
        <f t="shared" si="10"/>
        <v>225000</v>
      </c>
      <c r="K336" s="90"/>
      <c r="L336" s="88">
        <v>75000.0</v>
      </c>
      <c r="M336" s="61"/>
      <c r="N336" s="61"/>
      <c r="O336" s="61"/>
      <c r="P336" s="61"/>
      <c r="Q336" s="61"/>
      <c r="R336" s="61"/>
      <c r="S336" s="52">
        <v>0.0</v>
      </c>
    </row>
    <row r="337">
      <c r="A337" s="52">
        <v>336.0</v>
      </c>
      <c r="B337" s="61"/>
      <c r="C337" s="61"/>
      <c r="D337" s="61"/>
      <c r="E337" s="61"/>
      <c r="F337" s="84" t="s">
        <v>464</v>
      </c>
      <c r="G337" s="85">
        <f t="shared" si="1"/>
        <v>2</v>
      </c>
      <c r="H337" s="86" t="s">
        <v>311</v>
      </c>
      <c r="I337" s="87">
        <v>3000.0</v>
      </c>
      <c r="J337" s="56">
        <f t="shared" si="10"/>
        <v>6000</v>
      </c>
      <c r="K337" s="90"/>
      <c r="L337" s="88">
        <v>3000.0</v>
      </c>
      <c r="M337" s="61"/>
      <c r="N337" s="61"/>
      <c r="O337" s="61"/>
      <c r="P337" s="61"/>
      <c r="Q337" s="61"/>
      <c r="R337" s="61"/>
      <c r="S337" s="52">
        <v>0.0</v>
      </c>
    </row>
    <row r="338">
      <c r="A338" s="52">
        <v>337.0</v>
      </c>
      <c r="B338" s="61"/>
      <c r="C338" s="61"/>
      <c r="D338" s="61"/>
      <c r="E338" s="61"/>
      <c r="F338" s="84" t="s">
        <v>465</v>
      </c>
      <c r="G338" s="85">
        <f t="shared" si="1"/>
        <v>1</v>
      </c>
      <c r="H338" s="86" t="s">
        <v>262</v>
      </c>
      <c r="I338" s="87">
        <v>15000.0</v>
      </c>
      <c r="J338" s="56">
        <f t="shared" si="10"/>
        <v>15000</v>
      </c>
      <c r="K338" s="90"/>
      <c r="L338" s="88">
        <v>15000.0</v>
      </c>
      <c r="M338" s="61"/>
      <c r="N338" s="61"/>
      <c r="O338" s="61"/>
      <c r="P338" s="61"/>
      <c r="Q338" s="61"/>
      <c r="R338" s="61"/>
      <c r="S338" s="52">
        <v>0.0</v>
      </c>
    </row>
    <row r="339">
      <c r="A339" s="52">
        <v>338.0</v>
      </c>
      <c r="B339" s="61"/>
      <c r="C339" s="61"/>
      <c r="D339" s="61"/>
      <c r="E339" s="61"/>
      <c r="F339" s="84" t="s">
        <v>466</v>
      </c>
      <c r="G339" s="85">
        <f t="shared" si="1"/>
        <v>5</v>
      </c>
      <c r="H339" s="86" t="s">
        <v>271</v>
      </c>
      <c r="I339" s="87">
        <v>10000.0</v>
      </c>
      <c r="J339" s="56">
        <f t="shared" si="10"/>
        <v>50000</v>
      </c>
      <c r="K339" s="90"/>
      <c r="L339" s="88">
        <v>10000.0</v>
      </c>
      <c r="M339" s="61"/>
      <c r="N339" s="61"/>
      <c r="O339" s="61"/>
      <c r="P339" s="61"/>
      <c r="Q339" s="61"/>
      <c r="R339" s="61"/>
      <c r="S339" s="52">
        <v>0.0</v>
      </c>
    </row>
    <row r="340">
      <c r="A340" s="52">
        <v>339.0</v>
      </c>
      <c r="B340" s="61"/>
      <c r="C340" s="61"/>
      <c r="D340" s="61"/>
      <c r="E340" s="61"/>
      <c r="F340" s="84" t="s">
        <v>467</v>
      </c>
      <c r="G340" s="85">
        <f t="shared" si="1"/>
        <v>4</v>
      </c>
      <c r="H340" s="86" t="s">
        <v>320</v>
      </c>
      <c r="I340" s="87">
        <v>18000.0</v>
      </c>
      <c r="J340" s="56">
        <f t="shared" si="10"/>
        <v>72000</v>
      </c>
      <c r="K340" s="90"/>
      <c r="L340" s="88">
        <v>18000.0</v>
      </c>
      <c r="M340" s="61"/>
      <c r="N340" s="61"/>
      <c r="O340" s="61"/>
      <c r="P340" s="61"/>
      <c r="Q340" s="61"/>
      <c r="R340" s="61"/>
      <c r="S340" s="52">
        <v>0.0</v>
      </c>
    </row>
    <row r="341">
      <c r="A341" s="52">
        <v>340.0</v>
      </c>
      <c r="B341" s="61"/>
      <c r="C341" s="61"/>
      <c r="D341" s="61"/>
      <c r="E341" s="61"/>
      <c r="F341" s="84" t="s">
        <v>468</v>
      </c>
      <c r="G341" s="85">
        <f t="shared" si="1"/>
        <v>2</v>
      </c>
      <c r="H341" s="86" t="s">
        <v>311</v>
      </c>
      <c r="I341" s="87">
        <v>15000.0</v>
      </c>
      <c r="J341" s="56">
        <f t="shared" si="10"/>
        <v>30000</v>
      </c>
      <c r="K341" s="90"/>
      <c r="L341" s="88">
        <v>15000.0</v>
      </c>
      <c r="M341" s="61"/>
      <c r="N341" s="61"/>
      <c r="O341" s="61"/>
      <c r="P341" s="61"/>
      <c r="Q341" s="61"/>
      <c r="R341" s="61"/>
      <c r="S341" s="52">
        <v>0.0</v>
      </c>
    </row>
    <row r="342">
      <c r="A342" s="52">
        <v>341.0</v>
      </c>
      <c r="B342" s="61"/>
      <c r="C342" s="61"/>
      <c r="D342" s="61"/>
      <c r="E342" s="61"/>
      <c r="F342" s="84" t="s">
        <v>469</v>
      </c>
      <c r="G342" s="85">
        <f t="shared" si="1"/>
        <v>3</v>
      </c>
      <c r="H342" s="86" t="s">
        <v>305</v>
      </c>
      <c r="I342" s="87">
        <v>13000.0</v>
      </c>
      <c r="J342" s="56">
        <f t="shared" si="10"/>
        <v>39000</v>
      </c>
      <c r="K342" s="90"/>
      <c r="L342" s="88">
        <v>13000.0</v>
      </c>
      <c r="M342" s="61"/>
      <c r="N342" s="61"/>
      <c r="O342" s="61"/>
      <c r="P342" s="61"/>
      <c r="Q342" s="61"/>
      <c r="R342" s="61"/>
      <c r="S342" s="52">
        <v>0.0</v>
      </c>
    </row>
    <row r="343">
      <c r="A343" s="52">
        <v>342.0</v>
      </c>
      <c r="B343" s="61"/>
      <c r="C343" s="61"/>
      <c r="D343" s="61"/>
      <c r="E343" s="61"/>
      <c r="F343" s="84" t="s">
        <v>470</v>
      </c>
      <c r="G343" s="85">
        <f t="shared" si="1"/>
        <v>2</v>
      </c>
      <c r="H343" s="86" t="s">
        <v>311</v>
      </c>
      <c r="I343" s="87">
        <v>135000.0</v>
      </c>
      <c r="J343" s="56">
        <f t="shared" si="10"/>
        <v>270000</v>
      </c>
      <c r="K343" s="90"/>
      <c r="L343" s="88">
        <v>135000.0</v>
      </c>
      <c r="M343" s="61"/>
      <c r="N343" s="61"/>
      <c r="O343" s="61"/>
      <c r="P343" s="61"/>
      <c r="Q343" s="61"/>
      <c r="R343" s="61"/>
      <c r="S343" s="52">
        <v>0.0</v>
      </c>
    </row>
    <row r="344">
      <c r="A344" s="52">
        <v>343.0</v>
      </c>
      <c r="B344" s="61"/>
      <c r="C344" s="61"/>
      <c r="D344" s="61"/>
      <c r="E344" s="61"/>
      <c r="F344" s="84" t="s">
        <v>471</v>
      </c>
      <c r="G344" s="85">
        <f t="shared" si="1"/>
        <v>3</v>
      </c>
      <c r="H344" s="86" t="s">
        <v>305</v>
      </c>
      <c r="I344" s="87">
        <v>6000.0</v>
      </c>
      <c r="J344" s="56">
        <f t="shared" si="10"/>
        <v>18000</v>
      </c>
      <c r="K344" s="90"/>
      <c r="L344" s="88">
        <v>6000.0</v>
      </c>
      <c r="M344" s="61"/>
      <c r="N344" s="61"/>
      <c r="O344" s="61"/>
      <c r="P344" s="61"/>
      <c r="Q344" s="61"/>
      <c r="R344" s="61"/>
      <c r="S344" s="52">
        <v>0.0</v>
      </c>
    </row>
    <row r="345">
      <c r="A345" s="52">
        <v>344.0</v>
      </c>
      <c r="B345" s="61"/>
      <c r="C345" s="61"/>
      <c r="D345" s="61"/>
      <c r="E345" s="61"/>
      <c r="F345" s="84" t="s">
        <v>472</v>
      </c>
      <c r="G345" s="85">
        <f t="shared" si="1"/>
        <v>1</v>
      </c>
      <c r="H345" s="86" t="s">
        <v>262</v>
      </c>
      <c r="I345" s="87">
        <v>7000.0</v>
      </c>
      <c r="J345" s="56">
        <f t="shared" si="10"/>
        <v>7000</v>
      </c>
      <c r="K345" s="90"/>
      <c r="L345" s="88">
        <v>7000.0</v>
      </c>
      <c r="M345" s="61"/>
      <c r="N345" s="61"/>
      <c r="O345" s="61"/>
      <c r="P345" s="61"/>
      <c r="Q345" s="61"/>
      <c r="R345" s="61"/>
      <c r="S345" s="52">
        <v>0.0</v>
      </c>
    </row>
    <row r="346">
      <c r="A346" s="52">
        <v>345.0</v>
      </c>
      <c r="B346" s="61"/>
      <c r="C346" s="61"/>
      <c r="D346" s="61"/>
      <c r="E346" s="61"/>
      <c r="F346" s="84" t="s">
        <v>473</v>
      </c>
      <c r="G346" s="85">
        <f t="shared" si="1"/>
        <v>2</v>
      </c>
      <c r="H346" s="86" t="s">
        <v>311</v>
      </c>
      <c r="I346" s="87">
        <v>125000.0</v>
      </c>
      <c r="J346" s="56">
        <f t="shared" si="10"/>
        <v>250000</v>
      </c>
      <c r="K346" s="90"/>
      <c r="L346" s="88">
        <v>125000.0</v>
      </c>
      <c r="M346" s="61"/>
      <c r="N346" s="61"/>
      <c r="O346" s="61"/>
      <c r="P346" s="61"/>
      <c r="Q346" s="61"/>
      <c r="R346" s="61"/>
      <c r="S346" s="52">
        <v>0.0</v>
      </c>
    </row>
    <row r="347">
      <c r="A347" s="52">
        <v>346.0</v>
      </c>
      <c r="B347" s="61"/>
      <c r="C347" s="61"/>
      <c r="D347" s="61"/>
      <c r="E347" s="61"/>
      <c r="F347" s="84" t="s">
        <v>474</v>
      </c>
      <c r="G347" s="85">
        <f t="shared" si="1"/>
        <v>3</v>
      </c>
      <c r="H347" s="86" t="s">
        <v>305</v>
      </c>
      <c r="I347" s="87">
        <v>11000.0</v>
      </c>
      <c r="J347" s="56">
        <f t="shared" si="10"/>
        <v>33000</v>
      </c>
      <c r="K347" s="90"/>
      <c r="L347" s="88">
        <v>11000.0</v>
      </c>
      <c r="M347" s="61"/>
      <c r="N347" s="61"/>
      <c r="O347" s="61"/>
      <c r="P347" s="61"/>
      <c r="Q347" s="61"/>
      <c r="R347" s="61"/>
      <c r="S347" s="52">
        <v>0.0</v>
      </c>
    </row>
    <row r="348">
      <c r="A348" s="52">
        <v>347.0</v>
      </c>
      <c r="B348" s="61"/>
      <c r="C348" s="61"/>
      <c r="D348" s="61"/>
      <c r="E348" s="61"/>
      <c r="F348" s="84" t="s">
        <v>475</v>
      </c>
      <c r="G348" s="85">
        <f t="shared" si="1"/>
        <v>8</v>
      </c>
      <c r="H348" s="86" t="s">
        <v>259</v>
      </c>
      <c r="I348" s="87">
        <v>3000.0</v>
      </c>
      <c r="J348" s="56">
        <f t="shared" si="10"/>
        <v>24000</v>
      </c>
      <c r="K348" s="90"/>
      <c r="L348" s="88">
        <v>3000.0</v>
      </c>
      <c r="M348" s="61"/>
      <c r="N348" s="61"/>
      <c r="O348" s="61"/>
      <c r="P348" s="61"/>
      <c r="Q348" s="61"/>
      <c r="R348" s="61"/>
      <c r="S348" s="52">
        <v>0.0</v>
      </c>
    </row>
    <row r="349">
      <c r="A349" s="52">
        <v>348.0</v>
      </c>
      <c r="B349" s="61"/>
      <c r="C349" s="61"/>
      <c r="D349" s="61"/>
      <c r="E349" s="61"/>
      <c r="F349" s="84" t="s">
        <v>476</v>
      </c>
      <c r="G349" s="85">
        <f t="shared" si="1"/>
        <v>1</v>
      </c>
      <c r="H349" s="86" t="s">
        <v>262</v>
      </c>
      <c r="I349" s="87">
        <v>2500.0</v>
      </c>
      <c r="J349" s="56">
        <f t="shared" si="10"/>
        <v>2500</v>
      </c>
      <c r="K349" s="90"/>
      <c r="L349" s="88">
        <v>2500.0</v>
      </c>
      <c r="M349" s="61"/>
      <c r="N349" s="61"/>
      <c r="O349" s="61"/>
      <c r="P349" s="61"/>
      <c r="Q349" s="61"/>
      <c r="R349" s="61"/>
      <c r="S349" s="52">
        <v>0.0</v>
      </c>
    </row>
    <row r="350">
      <c r="A350" s="52">
        <v>349.0</v>
      </c>
      <c r="B350" s="61"/>
      <c r="C350" s="61"/>
      <c r="D350" s="61"/>
      <c r="E350" s="61"/>
      <c r="F350" s="84" t="s">
        <v>477</v>
      </c>
      <c r="G350" s="85">
        <f t="shared" si="1"/>
        <v>2</v>
      </c>
      <c r="H350" s="86" t="s">
        <v>311</v>
      </c>
      <c r="I350" s="87">
        <v>16000.0</v>
      </c>
      <c r="J350" s="56">
        <f t="shared" si="10"/>
        <v>32000</v>
      </c>
      <c r="K350" s="90"/>
      <c r="L350" s="88">
        <v>16000.0</v>
      </c>
      <c r="M350" s="61"/>
      <c r="N350" s="61"/>
      <c r="O350" s="61"/>
      <c r="P350" s="61"/>
      <c r="Q350" s="61"/>
      <c r="R350" s="61"/>
      <c r="S350" s="52">
        <v>0.0</v>
      </c>
    </row>
    <row r="351">
      <c r="A351" s="52">
        <v>350.0</v>
      </c>
      <c r="B351" s="61"/>
      <c r="C351" s="61"/>
      <c r="D351" s="61"/>
      <c r="E351" s="61"/>
      <c r="F351" s="52" t="s">
        <v>478</v>
      </c>
      <c r="G351" s="54">
        <f t="shared" si="1"/>
        <v>20</v>
      </c>
      <c r="H351" s="54">
        <v>20.0</v>
      </c>
      <c r="I351" s="55">
        <v>500.0</v>
      </c>
      <c r="J351" s="56">
        <f t="shared" ref="J351:J353" si="15">G351*I351</f>
        <v>10000</v>
      </c>
      <c r="K351" s="90"/>
      <c r="L351" s="58">
        <v>1000.0</v>
      </c>
      <c r="M351" s="61"/>
      <c r="N351" s="61"/>
      <c r="O351" s="61"/>
      <c r="P351" s="61"/>
      <c r="Q351" s="61"/>
      <c r="R351" s="61"/>
      <c r="S351" s="52">
        <v>0.0</v>
      </c>
    </row>
    <row r="352">
      <c r="A352" s="52">
        <v>351.0</v>
      </c>
      <c r="B352" s="61"/>
      <c r="C352" s="61"/>
      <c r="D352" s="61"/>
      <c r="E352" s="61"/>
      <c r="F352" s="52" t="s">
        <v>479</v>
      </c>
      <c r="G352" s="54">
        <f t="shared" si="1"/>
        <v>20</v>
      </c>
      <c r="H352" s="54">
        <v>20.0</v>
      </c>
      <c r="I352" s="55">
        <v>500.0</v>
      </c>
      <c r="J352" s="56">
        <f t="shared" si="15"/>
        <v>10000</v>
      </c>
      <c r="K352" s="90"/>
      <c r="L352" s="58">
        <v>1500.0</v>
      </c>
      <c r="M352" s="61"/>
      <c r="N352" s="61"/>
      <c r="O352" s="61"/>
      <c r="P352" s="61"/>
      <c r="Q352" s="61"/>
      <c r="R352" s="61"/>
      <c r="S352" s="52">
        <v>0.0</v>
      </c>
    </row>
    <row r="353">
      <c r="A353" s="52">
        <v>352.0</v>
      </c>
      <c r="B353" s="61"/>
      <c r="C353" s="61"/>
      <c r="D353" s="61"/>
      <c r="E353" s="61"/>
      <c r="F353" s="52" t="s">
        <v>480</v>
      </c>
      <c r="G353" s="54">
        <f t="shared" si="1"/>
        <v>74</v>
      </c>
      <c r="H353" s="54">
        <v>74.0</v>
      </c>
      <c r="I353" s="55">
        <v>700.0</v>
      </c>
      <c r="J353" s="56">
        <f t="shared" si="15"/>
        <v>51800</v>
      </c>
      <c r="K353" s="90"/>
      <c r="L353" s="58">
        <v>1500.0</v>
      </c>
      <c r="M353" s="61"/>
      <c r="N353" s="61"/>
      <c r="O353" s="61"/>
      <c r="P353" s="61"/>
      <c r="Q353" s="61"/>
      <c r="R353" s="61"/>
      <c r="S353" s="52">
        <v>0.0</v>
      </c>
    </row>
    <row r="354">
      <c r="A354" s="52">
        <v>353.0</v>
      </c>
      <c r="B354" s="61"/>
      <c r="C354" s="61"/>
      <c r="D354" s="61"/>
      <c r="E354" s="52" t="s">
        <v>481</v>
      </c>
      <c r="F354" s="52" t="s">
        <v>482</v>
      </c>
      <c r="G354" s="54">
        <f t="shared" si="1"/>
        <v>3</v>
      </c>
      <c r="H354" s="100">
        <v>3.0</v>
      </c>
      <c r="I354" s="55">
        <v>13500.0</v>
      </c>
      <c r="J354" s="56">
        <f t="shared" ref="J354:J374" si="16">I354*G354</f>
        <v>40500</v>
      </c>
      <c r="K354" s="90"/>
      <c r="L354" s="58">
        <v>16000.0</v>
      </c>
      <c r="M354" s="61"/>
      <c r="N354" s="61"/>
      <c r="O354" s="61"/>
      <c r="P354" s="61"/>
      <c r="Q354" s="61"/>
      <c r="R354" s="61"/>
      <c r="S354" s="52">
        <v>0.0</v>
      </c>
    </row>
    <row r="355">
      <c r="A355" s="52">
        <v>354.0</v>
      </c>
      <c r="B355" s="61"/>
      <c r="C355" s="61"/>
      <c r="D355" s="61"/>
      <c r="E355" s="52" t="s">
        <v>481</v>
      </c>
      <c r="F355" s="52" t="s">
        <v>483</v>
      </c>
      <c r="G355" s="54">
        <f t="shared" si="1"/>
        <v>3</v>
      </c>
      <c r="H355" s="100">
        <v>3.0</v>
      </c>
      <c r="I355" s="55">
        <v>15000.0</v>
      </c>
      <c r="J355" s="56">
        <f t="shared" si="16"/>
        <v>45000</v>
      </c>
      <c r="K355" s="90"/>
      <c r="L355" s="58">
        <v>18000.0</v>
      </c>
      <c r="M355" s="61"/>
      <c r="N355" s="61"/>
      <c r="O355" s="61"/>
      <c r="P355" s="61"/>
      <c r="Q355" s="61"/>
      <c r="R355" s="61"/>
      <c r="S355" s="52">
        <v>0.0</v>
      </c>
    </row>
    <row r="356">
      <c r="A356" s="52">
        <v>355.0</v>
      </c>
      <c r="B356" s="61"/>
      <c r="C356" s="61"/>
      <c r="D356" s="61"/>
      <c r="E356" s="52" t="s">
        <v>481</v>
      </c>
      <c r="F356" s="52" t="s">
        <v>484</v>
      </c>
      <c r="G356" s="54">
        <f t="shared" si="1"/>
        <v>5</v>
      </c>
      <c r="H356" s="100">
        <v>5.0</v>
      </c>
      <c r="I356" s="55">
        <v>6400.0</v>
      </c>
      <c r="J356" s="56">
        <f t="shared" si="16"/>
        <v>32000</v>
      </c>
      <c r="K356" s="90"/>
      <c r="L356" s="58">
        <v>11000.0</v>
      </c>
      <c r="M356" s="61"/>
      <c r="N356" s="61"/>
      <c r="O356" s="61"/>
      <c r="P356" s="61"/>
      <c r="Q356" s="61"/>
      <c r="R356" s="61"/>
      <c r="S356" s="52">
        <v>0.0</v>
      </c>
    </row>
    <row r="357">
      <c r="A357" s="52">
        <v>356.0</v>
      </c>
      <c r="B357" s="61"/>
      <c r="C357" s="61"/>
      <c r="D357" s="61"/>
      <c r="E357" s="52" t="s">
        <v>485</v>
      </c>
      <c r="F357" s="52" t="s">
        <v>486</v>
      </c>
      <c r="G357" s="54">
        <f t="shared" si="1"/>
        <v>2</v>
      </c>
      <c r="H357" s="100">
        <v>2.0</v>
      </c>
      <c r="I357" s="55">
        <v>17500.0</v>
      </c>
      <c r="J357" s="56">
        <f t="shared" si="16"/>
        <v>35000</v>
      </c>
      <c r="K357" s="90"/>
      <c r="L357" s="58">
        <v>18000.0</v>
      </c>
      <c r="M357" s="61"/>
      <c r="N357" s="61"/>
      <c r="O357" s="61"/>
      <c r="P357" s="61"/>
      <c r="Q357" s="61"/>
      <c r="R357" s="61"/>
      <c r="S357" s="52">
        <v>0.0</v>
      </c>
    </row>
    <row r="358">
      <c r="A358" s="52">
        <v>357.0</v>
      </c>
      <c r="B358" s="61"/>
      <c r="C358" s="61"/>
      <c r="D358" s="61"/>
      <c r="E358" s="52" t="s">
        <v>487</v>
      </c>
      <c r="F358" s="52" t="s">
        <v>488</v>
      </c>
      <c r="G358" s="54">
        <f t="shared" si="1"/>
        <v>2</v>
      </c>
      <c r="H358" s="100">
        <v>2.0</v>
      </c>
      <c r="I358" s="55">
        <v>15750.0</v>
      </c>
      <c r="J358" s="56">
        <f t="shared" si="16"/>
        <v>31500</v>
      </c>
      <c r="K358" s="90"/>
      <c r="L358" s="58">
        <v>22000.0</v>
      </c>
      <c r="M358" s="61"/>
      <c r="N358" s="61"/>
      <c r="O358" s="61"/>
      <c r="P358" s="61"/>
      <c r="Q358" s="61"/>
      <c r="R358" s="61"/>
      <c r="S358" s="52">
        <v>0.0</v>
      </c>
    </row>
    <row r="359">
      <c r="A359" s="52">
        <v>358.0</v>
      </c>
      <c r="B359" s="61"/>
      <c r="C359" s="61"/>
      <c r="D359" s="61"/>
      <c r="E359" s="52" t="s">
        <v>487</v>
      </c>
      <c r="F359" s="52" t="s">
        <v>489</v>
      </c>
      <c r="G359" s="54">
        <f t="shared" si="1"/>
        <v>2</v>
      </c>
      <c r="H359" s="100">
        <v>2.0</v>
      </c>
      <c r="I359" s="55">
        <v>19750.0</v>
      </c>
      <c r="J359" s="56">
        <f t="shared" si="16"/>
        <v>39500</v>
      </c>
      <c r="K359" s="90"/>
      <c r="L359" s="58">
        <v>26000.0</v>
      </c>
      <c r="M359" s="61"/>
      <c r="N359" s="61"/>
      <c r="O359" s="61"/>
      <c r="P359" s="61"/>
      <c r="Q359" s="61"/>
      <c r="R359" s="61"/>
      <c r="S359" s="52">
        <v>0.0</v>
      </c>
    </row>
    <row r="360">
      <c r="A360" s="52">
        <v>359.0</v>
      </c>
      <c r="B360" s="61"/>
      <c r="C360" s="61"/>
      <c r="D360" s="61"/>
      <c r="E360" s="61"/>
      <c r="F360" s="52" t="s">
        <v>490</v>
      </c>
      <c r="G360" s="54">
        <f t="shared" si="1"/>
        <v>5</v>
      </c>
      <c r="H360" s="100">
        <v>5.0</v>
      </c>
      <c r="I360" s="55">
        <v>41000.0</v>
      </c>
      <c r="J360" s="56">
        <f t="shared" si="16"/>
        <v>205000</v>
      </c>
      <c r="K360" s="90"/>
      <c r="L360" s="58">
        <v>42000.0</v>
      </c>
      <c r="M360" s="61"/>
      <c r="N360" s="61"/>
      <c r="O360" s="52" t="s">
        <v>215</v>
      </c>
      <c r="P360" s="52" t="s">
        <v>30</v>
      </c>
      <c r="Q360" s="70" t="b">
        <v>1</v>
      </c>
      <c r="R360" s="61"/>
      <c r="S360" s="52">
        <v>0.0</v>
      </c>
    </row>
    <row r="361">
      <c r="A361" s="52">
        <v>360.0</v>
      </c>
      <c r="B361" s="61"/>
      <c r="C361" s="61"/>
      <c r="D361" s="61"/>
      <c r="E361" s="61"/>
      <c r="F361" s="52" t="s">
        <v>491</v>
      </c>
      <c r="G361" s="54">
        <f t="shared" si="1"/>
        <v>5</v>
      </c>
      <c r="H361" s="100">
        <v>5.0</v>
      </c>
      <c r="I361" s="55">
        <v>43000.0</v>
      </c>
      <c r="J361" s="56">
        <f t="shared" si="16"/>
        <v>215000</v>
      </c>
      <c r="K361" s="90"/>
      <c r="L361" s="58">
        <v>44000.0</v>
      </c>
      <c r="M361" s="61"/>
      <c r="N361" s="61"/>
      <c r="O361" s="52" t="s">
        <v>215</v>
      </c>
      <c r="P361" s="52" t="s">
        <v>30</v>
      </c>
      <c r="Q361" s="70" t="b">
        <v>1</v>
      </c>
      <c r="R361" s="61"/>
      <c r="S361" s="52">
        <v>0.0</v>
      </c>
    </row>
    <row r="362">
      <c r="A362" s="52">
        <v>361.0</v>
      </c>
      <c r="B362" s="61"/>
      <c r="C362" s="61"/>
      <c r="D362" s="61"/>
      <c r="E362" s="61"/>
      <c r="F362" s="52" t="s">
        <v>492</v>
      </c>
      <c r="G362" s="54">
        <f t="shared" si="1"/>
        <v>5</v>
      </c>
      <c r="H362" s="100">
        <v>5.0</v>
      </c>
      <c r="I362" s="55">
        <v>4700.0</v>
      </c>
      <c r="J362" s="56">
        <f t="shared" si="16"/>
        <v>23500</v>
      </c>
      <c r="K362" s="90"/>
      <c r="L362" s="58">
        <v>7000.0</v>
      </c>
      <c r="M362" s="61"/>
      <c r="N362" s="61"/>
      <c r="O362" s="61"/>
      <c r="P362" s="61"/>
      <c r="Q362" s="61"/>
      <c r="R362" s="61"/>
      <c r="S362" s="52">
        <v>0.0</v>
      </c>
    </row>
    <row r="363">
      <c r="A363" s="52">
        <v>362.0</v>
      </c>
      <c r="B363" s="61"/>
      <c r="C363" s="61"/>
      <c r="D363" s="61"/>
      <c r="E363" s="61"/>
      <c r="F363" s="52" t="s">
        <v>493</v>
      </c>
      <c r="G363" s="54">
        <f t="shared" si="1"/>
        <v>5</v>
      </c>
      <c r="H363" s="100">
        <v>5.0</v>
      </c>
      <c r="I363" s="55">
        <v>9000.0</v>
      </c>
      <c r="J363" s="56">
        <f t="shared" si="16"/>
        <v>45000</v>
      </c>
      <c r="K363" s="90"/>
      <c r="L363" s="58">
        <v>12000.0</v>
      </c>
      <c r="M363" s="61"/>
      <c r="N363" s="61"/>
      <c r="O363" s="61"/>
      <c r="P363" s="61"/>
      <c r="Q363" s="61"/>
      <c r="R363" s="61"/>
      <c r="S363" s="52">
        <v>0.0</v>
      </c>
    </row>
    <row r="364">
      <c r="A364" s="52">
        <v>363.0</v>
      </c>
      <c r="B364" s="61"/>
      <c r="C364" s="61"/>
      <c r="D364" s="61"/>
      <c r="E364" s="61"/>
      <c r="F364" s="52" t="s">
        <v>494</v>
      </c>
      <c r="G364" s="54">
        <f t="shared" si="1"/>
        <v>12</v>
      </c>
      <c r="H364" s="100">
        <v>12.0</v>
      </c>
      <c r="I364" s="55">
        <v>4000.0</v>
      </c>
      <c r="J364" s="56">
        <f t="shared" si="16"/>
        <v>48000</v>
      </c>
      <c r="K364" s="90"/>
      <c r="L364" s="58">
        <v>7500.0</v>
      </c>
      <c r="M364" s="61"/>
      <c r="N364" s="61"/>
      <c r="O364" s="61"/>
      <c r="P364" s="61"/>
      <c r="Q364" s="61"/>
      <c r="R364" s="61"/>
      <c r="S364" s="52">
        <v>0.0</v>
      </c>
    </row>
    <row r="365">
      <c r="A365" s="52">
        <v>364.0</v>
      </c>
      <c r="B365" s="61"/>
      <c r="C365" s="61"/>
      <c r="D365" s="61"/>
      <c r="E365" s="61"/>
      <c r="F365" s="52" t="s">
        <v>495</v>
      </c>
      <c r="G365" s="54">
        <f t="shared" si="1"/>
        <v>3</v>
      </c>
      <c r="H365" s="100">
        <v>3.0</v>
      </c>
      <c r="I365" s="55">
        <v>7500.0</v>
      </c>
      <c r="J365" s="56">
        <f t="shared" si="16"/>
        <v>22500</v>
      </c>
      <c r="K365" s="90"/>
      <c r="L365" s="58">
        <v>12000.0</v>
      </c>
      <c r="M365" s="61"/>
      <c r="N365" s="61"/>
      <c r="O365" s="61"/>
      <c r="P365" s="61"/>
      <c r="Q365" s="61"/>
      <c r="R365" s="61"/>
      <c r="S365" s="52">
        <v>0.0</v>
      </c>
    </row>
    <row r="366">
      <c r="A366" s="52">
        <v>365.0</v>
      </c>
      <c r="B366" s="61"/>
      <c r="C366" s="61"/>
      <c r="D366" s="61"/>
      <c r="E366" s="61"/>
      <c r="F366" s="52" t="s">
        <v>496</v>
      </c>
      <c r="G366" s="54">
        <f t="shared" si="1"/>
        <v>20</v>
      </c>
      <c r="H366" s="100">
        <v>20.0</v>
      </c>
      <c r="I366" s="55">
        <v>1200.0</v>
      </c>
      <c r="J366" s="56">
        <f t="shared" si="16"/>
        <v>24000</v>
      </c>
      <c r="K366" s="90"/>
      <c r="L366" s="58">
        <v>2500.0</v>
      </c>
      <c r="M366" s="61"/>
      <c r="N366" s="61"/>
      <c r="O366" s="61"/>
      <c r="P366" s="61"/>
      <c r="Q366" s="61"/>
      <c r="R366" s="61"/>
      <c r="S366" s="52">
        <v>0.0</v>
      </c>
    </row>
    <row r="367">
      <c r="A367" s="52">
        <v>366.0</v>
      </c>
      <c r="B367" s="61"/>
      <c r="C367" s="61"/>
      <c r="D367" s="61"/>
      <c r="E367" s="61"/>
      <c r="F367" s="52" t="s">
        <v>497</v>
      </c>
      <c r="G367" s="54">
        <f t="shared" si="1"/>
        <v>10</v>
      </c>
      <c r="H367" s="100">
        <v>10.0</v>
      </c>
      <c r="I367" s="55">
        <v>5000.0</v>
      </c>
      <c r="J367" s="56">
        <f t="shared" si="16"/>
        <v>50000</v>
      </c>
      <c r="K367" s="90"/>
      <c r="L367" s="58">
        <v>8000.0</v>
      </c>
      <c r="M367" s="61"/>
      <c r="N367" s="61"/>
      <c r="O367" s="61"/>
      <c r="P367" s="61"/>
      <c r="Q367" s="61"/>
      <c r="R367" s="61"/>
      <c r="S367" s="52">
        <v>0.0</v>
      </c>
    </row>
    <row r="368">
      <c r="A368" s="52">
        <v>367.0</v>
      </c>
      <c r="B368" s="61"/>
      <c r="C368" s="61"/>
      <c r="D368" s="61"/>
      <c r="E368" s="52" t="s">
        <v>498</v>
      </c>
      <c r="F368" s="52" t="s">
        <v>499</v>
      </c>
      <c r="G368" s="54">
        <f t="shared" si="1"/>
        <v>15</v>
      </c>
      <c r="H368" s="100">
        <v>15.0</v>
      </c>
      <c r="I368" s="55">
        <v>1400.0</v>
      </c>
      <c r="J368" s="56">
        <f t="shared" si="16"/>
        <v>21000</v>
      </c>
      <c r="K368" s="90"/>
      <c r="L368" s="58">
        <v>3500.0</v>
      </c>
      <c r="M368" s="61"/>
      <c r="N368" s="61"/>
      <c r="O368" s="52" t="s">
        <v>500</v>
      </c>
      <c r="P368" s="61"/>
      <c r="Q368" s="61"/>
      <c r="R368" s="61"/>
      <c r="S368" s="61"/>
    </row>
    <row r="369">
      <c r="A369" s="52">
        <v>368.0</v>
      </c>
      <c r="B369" s="61"/>
      <c r="C369" s="61"/>
      <c r="D369" s="61"/>
      <c r="E369" s="52" t="s">
        <v>501</v>
      </c>
      <c r="F369" s="52" t="s">
        <v>502</v>
      </c>
      <c r="G369" s="54">
        <f t="shared" si="1"/>
        <v>10</v>
      </c>
      <c r="H369" s="100">
        <v>10.0</v>
      </c>
      <c r="I369" s="55">
        <v>4500.0</v>
      </c>
      <c r="J369" s="56">
        <f t="shared" si="16"/>
        <v>45000</v>
      </c>
      <c r="K369" s="90"/>
      <c r="L369" s="58">
        <v>7000.0</v>
      </c>
      <c r="M369" s="61"/>
      <c r="N369" s="61"/>
      <c r="O369" s="61"/>
      <c r="P369" s="61"/>
      <c r="Q369" s="61"/>
      <c r="R369" s="61"/>
      <c r="S369" s="61"/>
    </row>
    <row r="370">
      <c r="A370" s="52">
        <v>369.0</v>
      </c>
      <c r="B370" s="61"/>
      <c r="C370" s="61"/>
      <c r="D370" s="61"/>
      <c r="E370" s="52" t="s">
        <v>501</v>
      </c>
      <c r="F370" s="52" t="s">
        <v>503</v>
      </c>
      <c r="G370" s="54">
        <f t="shared" si="1"/>
        <v>10</v>
      </c>
      <c r="H370" s="100">
        <v>10.0</v>
      </c>
      <c r="I370" s="55">
        <v>4500.0</v>
      </c>
      <c r="J370" s="56">
        <f t="shared" si="16"/>
        <v>45000</v>
      </c>
      <c r="K370" s="90"/>
      <c r="L370" s="58">
        <v>7000.0</v>
      </c>
      <c r="M370" s="61"/>
      <c r="N370" s="61"/>
      <c r="O370" s="61"/>
      <c r="P370" s="61"/>
      <c r="Q370" s="61"/>
      <c r="R370" s="61"/>
      <c r="S370" s="61"/>
    </row>
    <row r="371">
      <c r="A371" s="52">
        <v>370.0</v>
      </c>
      <c r="B371" s="61"/>
      <c r="C371" s="61"/>
      <c r="D371" s="61"/>
      <c r="E371" s="52" t="s">
        <v>501</v>
      </c>
      <c r="F371" s="52" t="s">
        <v>504</v>
      </c>
      <c r="G371" s="54">
        <f t="shared" si="1"/>
        <v>10</v>
      </c>
      <c r="H371" s="100">
        <v>10.0</v>
      </c>
      <c r="I371" s="55">
        <v>4500.0</v>
      </c>
      <c r="J371" s="56">
        <f t="shared" si="16"/>
        <v>45000</v>
      </c>
      <c r="K371" s="90"/>
      <c r="L371" s="58">
        <v>7000.0</v>
      </c>
      <c r="M371" s="61"/>
      <c r="N371" s="61"/>
      <c r="O371" s="61"/>
      <c r="P371" s="61"/>
      <c r="Q371" s="61"/>
      <c r="R371" s="61"/>
      <c r="S371" s="61"/>
    </row>
    <row r="372">
      <c r="A372" s="52">
        <v>371.0</v>
      </c>
      <c r="B372" s="61"/>
      <c r="C372" s="61"/>
      <c r="D372" s="61"/>
      <c r="E372" s="61"/>
      <c r="F372" s="52" t="s">
        <v>505</v>
      </c>
      <c r="G372" s="54">
        <f t="shared" si="1"/>
        <v>5</v>
      </c>
      <c r="H372" s="100">
        <v>5.0</v>
      </c>
      <c r="I372" s="55">
        <v>6000.0</v>
      </c>
      <c r="J372" s="56">
        <f t="shared" si="16"/>
        <v>30000</v>
      </c>
      <c r="K372" s="90"/>
      <c r="L372" s="58">
        <v>8000.0</v>
      </c>
      <c r="M372" s="61"/>
      <c r="N372" s="61"/>
      <c r="O372" s="61"/>
      <c r="P372" s="61"/>
      <c r="Q372" s="61"/>
      <c r="R372" s="61"/>
      <c r="S372" s="61"/>
    </row>
    <row r="373">
      <c r="A373" s="52">
        <v>372.0</v>
      </c>
      <c r="B373" s="61"/>
      <c r="C373" s="61"/>
      <c r="D373" s="61"/>
      <c r="E373" s="61"/>
      <c r="F373" s="52" t="s">
        <v>506</v>
      </c>
      <c r="G373" s="54">
        <f t="shared" si="1"/>
        <v>5</v>
      </c>
      <c r="H373" s="100">
        <v>5.0</v>
      </c>
      <c r="I373" s="55">
        <v>19000.0</v>
      </c>
      <c r="J373" s="56">
        <f t="shared" si="16"/>
        <v>95000</v>
      </c>
      <c r="K373" s="90"/>
      <c r="L373" s="58">
        <v>25000.0</v>
      </c>
      <c r="M373" s="61"/>
      <c r="N373" s="61"/>
      <c r="O373" s="61"/>
      <c r="P373" s="61"/>
      <c r="Q373" s="61"/>
      <c r="R373" s="61"/>
      <c r="S373" s="61"/>
    </row>
    <row r="374">
      <c r="A374" s="52">
        <v>373.0</v>
      </c>
      <c r="B374" s="61"/>
      <c r="C374" s="61"/>
      <c r="D374" s="61"/>
      <c r="E374" s="61"/>
      <c r="F374" s="52" t="s">
        <v>507</v>
      </c>
      <c r="G374" s="54">
        <f t="shared" si="1"/>
        <v>5</v>
      </c>
      <c r="H374" s="100">
        <v>5.0</v>
      </c>
      <c r="I374" s="55">
        <v>41500.0</v>
      </c>
      <c r="J374" s="56">
        <f t="shared" si="16"/>
        <v>207500</v>
      </c>
      <c r="K374" s="90"/>
      <c r="L374" s="58">
        <v>4300.0</v>
      </c>
      <c r="M374" s="61"/>
      <c r="N374" s="61"/>
      <c r="O374" s="52" t="s">
        <v>508</v>
      </c>
      <c r="P374" s="61"/>
      <c r="Q374" s="61"/>
      <c r="R374" s="61"/>
      <c r="S374" s="61"/>
    </row>
    <row r="375">
      <c r="A375" s="52">
        <v>374.0</v>
      </c>
      <c r="B375" s="61"/>
      <c r="C375" s="61"/>
      <c r="D375" s="61"/>
      <c r="E375" s="61"/>
      <c r="F375" s="61"/>
      <c r="G375" s="54">
        <f t="shared" si="1"/>
        <v>0</v>
      </c>
      <c r="H375" s="101"/>
      <c r="I375" s="102"/>
      <c r="J375" s="56"/>
      <c r="K375" s="90"/>
      <c r="L375" s="103"/>
      <c r="M375" s="61"/>
      <c r="N375" s="61"/>
      <c r="O375" s="61"/>
      <c r="P375" s="61"/>
      <c r="Q375" s="61"/>
      <c r="R375" s="61"/>
      <c r="S375" s="61"/>
    </row>
    <row r="376">
      <c r="A376" s="52">
        <v>375.0</v>
      </c>
      <c r="B376" s="61"/>
      <c r="C376" s="61"/>
      <c r="D376" s="61"/>
      <c r="E376" s="61"/>
      <c r="F376" s="61"/>
      <c r="G376" s="54">
        <f t="shared" si="1"/>
        <v>0</v>
      </c>
      <c r="H376" s="101"/>
      <c r="I376" s="102"/>
      <c r="J376" s="56"/>
      <c r="K376" s="90"/>
      <c r="L376" s="103"/>
      <c r="M376" s="61"/>
      <c r="N376" s="61"/>
      <c r="O376" s="61"/>
      <c r="P376" s="61"/>
      <c r="Q376" s="61"/>
      <c r="R376" s="61"/>
      <c r="S376" s="61"/>
    </row>
    <row r="377">
      <c r="A377" s="52">
        <v>376.0</v>
      </c>
      <c r="B377" s="61"/>
      <c r="C377" s="61"/>
      <c r="D377" s="61"/>
      <c r="E377" s="61"/>
      <c r="F377" s="61"/>
      <c r="G377" s="54">
        <f t="shared" si="1"/>
        <v>0</v>
      </c>
      <c r="H377" s="101"/>
      <c r="I377" s="102"/>
      <c r="J377" s="56"/>
      <c r="K377" s="90"/>
      <c r="L377" s="103"/>
      <c r="M377" s="61"/>
      <c r="N377" s="61"/>
      <c r="O377" s="61"/>
      <c r="P377" s="61"/>
      <c r="Q377" s="61"/>
      <c r="R377" s="61"/>
      <c r="S377" s="61"/>
    </row>
    <row r="378">
      <c r="A378" s="52">
        <v>377.0</v>
      </c>
      <c r="B378" s="61"/>
      <c r="C378" s="61"/>
      <c r="D378" s="61"/>
      <c r="E378" s="61"/>
      <c r="F378" s="61"/>
      <c r="G378" s="54">
        <f t="shared" si="1"/>
        <v>0</v>
      </c>
      <c r="H378" s="101"/>
      <c r="I378" s="102"/>
      <c r="J378" s="56"/>
      <c r="K378" s="90"/>
      <c r="L378" s="103"/>
      <c r="M378" s="61"/>
      <c r="N378" s="61"/>
      <c r="O378" s="61"/>
      <c r="P378" s="61"/>
      <c r="Q378" s="61"/>
      <c r="R378" s="61"/>
      <c r="S378" s="61"/>
    </row>
    <row r="379">
      <c r="A379" s="52">
        <v>378.0</v>
      </c>
      <c r="B379" s="61"/>
      <c r="C379" s="61"/>
      <c r="D379" s="61"/>
      <c r="E379" s="61"/>
      <c r="F379" s="61"/>
      <c r="G379" s="54">
        <f t="shared" si="1"/>
        <v>0</v>
      </c>
      <c r="H379" s="101"/>
      <c r="I379" s="102"/>
      <c r="J379" s="56"/>
      <c r="K379" s="90"/>
      <c r="L379" s="103"/>
      <c r="M379" s="61"/>
      <c r="N379" s="61"/>
      <c r="O379" s="61"/>
      <c r="P379" s="61"/>
      <c r="Q379" s="61"/>
      <c r="R379" s="61"/>
      <c r="S379" s="61"/>
    </row>
    <row r="380">
      <c r="A380" s="52">
        <v>379.0</v>
      </c>
      <c r="B380" s="61"/>
      <c r="C380" s="61"/>
      <c r="D380" s="61"/>
      <c r="E380" s="61"/>
      <c r="F380" s="61"/>
      <c r="G380" s="54">
        <f t="shared" si="1"/>
        <v>0</v>
      </c>
      <c r="H380" s="101"/>
      <c r="I380" s="102"/>
      <c r="J380" s="56"/>
      <c r="K380" s="90"/>
      <c r="L380" s="103"/>
      <c r="M380" s="61"/>
      <c r="N380" s="61"/>
      <c r="O380" s="61"/>
      <c r="P380" s="61"/>
      <c r="Q380" s="61"/>
      <c r="R380" s="61"/>
      <c r="S380" s="61"/>
    </row>
    <row r="381">
      <c r="A381" s="52">
        <v>380.0</v>
      </c>
      <c r="B381" s="61"/>
      <c r="C381" s="61"/>
      <c r="D381" s="61"/>
      <c r="E381" s="61"/>
      <c r="F381" s="61"/>
      <c r="G381" s="54">
        <f t="shared" si="1"/>
        <v>0</v>
      </c>
      <c r="H381" s="101"/>
      <c r="I381" s="102"/>
      <c r="J381" s="56"/>
      <c r="K381" s="90"/>
      <c r="L381" s="103"/>
      <c r="M381" s="61"/>
      <c r="N381" s="61"/>
      <c r="O381" s="61"/>
      <c r="P381" s="61"/>
      <c r="Q381" s="61"/>
      <c r="R381" s="61"/>
      <c r="S381" s="61"/>
    </row>
    <row r="382">
      <c r="A382" s="52">
        <v>381.0</v>
      </c>
      <c r="B382" s="61"/>
      <c r="C382" s="61"/>
      <c r="D382" s="61"/>
      <c r="E382" s="61"/>
      <c r="F382" s="61"/>
      <c r="G382" s="54">
        <f t="shared" si="1"/>
        <v>0</v>
      </c>
      <c r="H382" s="101"/>
      <c r="I382" s="102"/>
      <c r="J382" s="56"/>
      <c r="K382" s="90"/>
      <c r="L382" s="103"/>
      <c r="M382" s="61"/>
      <c r="N382" s="61"/>
      <c r="O382" s="61"/>
      <c r="P382" s="61"/>
      <c r="Q382" s="61"/>
      <c r="R382" s="61"/>
      <c r="S382" s="61"/>
    </row>
    <row r="383">
      <c r="A383" s="52">
        <v>382.0</v>
      </c>
      <c r="B383" s="61"/>
      <c r="C383" s="61"/>
      <c r="D383" s="61"/>
      <c r="E383" s="61"/>
      <c r="F383" s="61"/>
      <c r="G383" s="54">
        <f t="shared" si="1"/>
        <v>0</v>
      </c>
      <c r="H383" s="101"/>
      <c r="I383" s="102"/>
      <c r="J383" s="56"/>
      <c r="K383" s="90"/>
      <c r="L383" s="103"/>
      <c r="M383" s="61"/>
      <c r="N383" s="61"/>
      <c r="O383" s="61"/>
      <c r="P383" s="61"/>
      <c r="Q383" s="61"/>
      <c r="R383" s="61"/>
      <c r="S383" s="61"/>
    </row>
    <row r="384">
      <c r="A384" s="52">
        <v>383.0</v>
      </c>
      <c r="B384" s="61"/>
      <c r="C384" s="61"/>
      <c r="D384" s="61"/>
      <c r="E384" s="61"/>
      <c r="F384" s="61"/>
      <c r="G384" s="54">
        <f t="shared" si="1"/>
        <v>0</v>
      </c>
      <c r="H384" s="101"/>
      <c r="I384" s="102"/>
      <c r="J384" s="56"/>
      <c r="K384" s="90"/>
      <c r="L384" s="103"/>
      <c r="M384" s="61"/>
      <c r="N384" s="61"/>
      <c r="O384" s="61"/>
      <c r="P384" s="61"/>
      <c r="Q384" s="61"/>
      <c r="R384" s="61"/>
      <c r="S384" s="61"/>
    </row>
    <row r="385">
      <c r="A385" s="52">
        <v>384.0</v>
      </c>
      <c r="B385" s="61"/>
      <c r="C385" s="61"/>
      <c r="D385" s="61"/>
      <c r="E385" s="61"/>
      <c r="F385" s="61"/>
      <c r="G385" s="54">
        <f t="shared" si="1"/>
        <v>0</v>
      </c>
      <c r="H385" s="101"/>
      <c r="I385" s="102"/>
      <c r="J385" s="56"/>
      <c r="K385" s="90"/>
      <c r="L385" s="103"/>
      <c r="M385" s="61"/>
      <c r="N385" s="61"/>
      <c r="O385" s="61"/>
      <c r="P385" s="61"/>
      <c r="Q385" s="61"/>
      <c r="R385" s="61"/>
      <c r="S385" s="61"/>
    </row>
    <row r="386">
      <c r="G386" s="40"/>
      <c r="H386" s="42"/>
      <c r="I386" s="104"/>
      <c r="J386" s="105"/>
      <c r="K386" s="106"/>
      <c r="L386" s="107"/>
    </row>
    <row r="387">
      <c r="G387" s="40"/>
      <c r="H387" s="42"/>
      <c r="I387" s="104"/>
      <c r="J387" s="105"/>
      <c r="K387" s="106"/>
      <c r="L387" s="107"/>
    </row>
    <row r="388">
      <c r="G388" s="40"/>
      <c r="H388" s="42"/>
      <c r="I388" s="104"/>
      <c r="J388" s="105"/>
      <c r="K388" s="106"/>
      <c r="L388" s="107"/>
    </row>
    <row r="389">
      <c r="G389" s="40"/>
      <c r="H389" s="42"/>
      <c r="I389" s="104"/>
      <c r="J389" s="105"/>
      <c r="K389" s="106"/>
      <c r="L389" s="107"/>
    </row>
    <row r="390">
      <c r="G390" s="40"/>
      <c r="H390" s="42"/>
      <c r="I390" s="104"/>
      <c r="J390" s="105"/>
      <c r="K390" s="106"/>
      <c r="L390" s="107"/>
    </row>
    <row r="391">
      <c r="G391" s="40"/>
      <c r="H391" s="42"/>
      <c r="I391" s="104"/>
      <c r="J391" s="105"/>
      <c r="K391" s="106"/>
      <c r="L391" s="107"/>
    </row>
    <row r="392">
      <c r="G392" s="40"/>
      <c r="H392" s="42"/>
      <c r="I392" s="104"/>
      <c r="J392" s="105"/>
      <c r="K392" s="106"/>
      <c r="L392" s="107"/>
    </row>
    <row r="393">
      <c r="G393" s="40"/>
      <c r="H393" s="42"/>
      <c r="I393" s="104"/>
      <c r="J393" s="105"/>
      <c r="K393" s="106"/>
      <c r="L393" s="107"/>
    </row>
    <row r="394">
      <c r="G394" s="40"/>
      <c r="H394" s="42"/>
      <c r="I394" s="104"/>
      <c r="J394" s="105"/>
      <c r="K394" s="106"/>
      <c r="L394" s="107"/>
    </row>
    <row r="395">
      <c r="G395" s="40"/>
      <c r="H395" s="42"/>
      <c r="I395" s="104"/>
      <c r="J395" s="105"/>
      <c r="K395" s="106"/>
      <c r="L395" s="107"/>
    </row>
    <row r="396">
      <c r="G396" s="40"/>
      <c r="H396" s="42"/>
      <c r="I396" s="104"/>
      <c r="J396" s="105"/>
      <c r="K396" s="106"/>
      <c r="L396" s="107"/>
    </row>
    <row r="397">
      <c r="G397" s="40"/>
      <c r="H397" s="42"/>
      <c r="I397" s="104"/>
      <c r="J397" s="105"/>
      <c r="K397" s="106"/>
      <c r="L397" s="107"/>
    </row>
    <row r="398">
      <c r="G398" s="40"/>
      <c r="H398" s="42"/>
      <c r="I398" s="104"/>
      <c r="J398" s="105"/>
      <c r="K398" s="106"/>
      <c r="L398" s="107"/>
    </row>
    <row r="399">
      <c r="G399" s="40"/>
      <c r="H399" s="42"/>
      <c r="I399" s="104"/>
      <c r="J399" s="105"/>
      <c r="K399" s="106"/>
      <c r="L399" s="107"/>
    </row>
    <row r="400">
      <c r="G400" s="40"/>
      <c r="H400" s="42"/>
      <c r="I400" s="104"/>
      <c r="J400" s="105"/>
      <c r="K400" s="106"/>
      <c r="L400" s="107"/>
    </row>
    <row r="401">
      <c r="G401" s="40"/>
      <c r="H401" s="42"/>
      <c r="I401" s="104"/>
      <c r="J401" s="105"/>
      <c r="K401" s="106"/>
      <c r="L401" s="107"/>
    </row>
    <row r="402">
      <c r="G402" s="40"/>
      <c r="H402" s="42"/>
      <c r="I402" s="104"/>
      <c r="J402" s="105"/>
      <c r="K402" s="106"/>
      <c r="L402" s="107"/>
    </row>
    <row r="403">
      <c r="G403" s="40"/>
      <c r="H403" s="42"/>
      <c r="I403" s="104"/>
      <c r="J403" s="105"/>
      <c r="K403" s="106"/>
      <c r="L403" s="107"/>
    </row>
    <row r="404">
      <c r="G404" s="40"/>
      <c r="H404" s="42"/>
      <c r="I404" s="104"/>
      <c r="J404" s="105"/>
      <c r="K404" s="106"/>
      <c r="L404" s="107"/>
    </row>
    <row r="405">
      <c r="G405" s="40"/>
      <c r="H405" s="42"/>
      <c r="I405" s="104"/>
      <c r="J405" s="105"/>
      <c r="K405" s="106"/>
      <c r="L405" s="107"/>
    </row>
    <row r="406">
      <c r="G406" s="40"/>
      <c r="H406" s="42"/>
      <c r="I406" s="104"/>
      <c r="J406" s="105"/>
      <c r="K406" s="106"/>
      <c r="L406" s="107"/>
    </row>
    <row r="407">
      <c r="G407" s="40"/>
      <c r="H407" s="42"/>
      <c r="I407" s="104"/>
      <c r="J407" s="105"/>
      <c r="K407" s="106"/>
      <c r="L407" s="107"/>
    </row>
    <row r="408">
      <c r="G408" s="40"/>
      <c r="H408" s="42"/>
      <c r="I408" s="104"/>
      <c r="J408" s="105"/>
      <c r="K408" s="106"/>
      <c r="L408" s="107"/>
    </row>
    <row r="409">
      <c r="G409" s="40"/>
      <c r="H409" s="42"/>
      <c r="I409" s="104"/>
      <c r="J409" s="105"/>
      <c r="K409" s="106"/>
      <c r="L409" s="107"/>
    </row>
    <row r="410">
      <c r="G410" s="40"/>
      <c r="H410" s="42"/>
      <c r="I410" s="104"/>
      <c r="J410" s="105"/>
      <c r="K410" s="106"/>
      <c r="L410" s="107"/>
    </row>
    <row r="411">
      <c r="G411" s="40"/>
      <c r="H411" s="42"/>
      <c r="I411" s="104"/>
      <c r="J411" s="105"/>
      <c r="K411" s="106"/>
      <c r="L411" s="107"/>
    </row>
    <row r="412">
      <c r="G412" s="40"/>
      <c r="H412" s="42"/>
      <c r="I412" s="104"/>
      <c r="J412" s="105"/>
      <c r="K412" s="106"/>
      <c r="L412" s="107"/>
    </row>
    <row r="413">
      <c r="G413" s="40"/>
      <c r="H413" s="42"/>
      <c r="I413" s="104"/>
      <c r="J413" s="105"/>
      <c r="K413" s="106"/>
      <c r="L413" s="107"/>
    </row>
    <row r="414">
      <c r="G414" s="40"/>
      <c r="H414" s="42"/>
      <c r="I414" s="104"/>
      <c r="J414" s="105"/>
      <c r="K414" s="106"/>
      <c r="L414" s="107"/>
    </row>
    <row r="415">
      <c r="G415" s="40"/>
      <c r="H415" s="42"/>
      <c r="I415" s="104"/>
      <c r="J415" s="105"/>
      <c r="K415" s="106"/>
      <c r="L415" s="107"/>
    </row>
    <row r="416">
      <c r="G416" s="40"/>
      <c r="H416" s="42"/>
      <c r="I416" s="104"/>
      <c r="J416" s="105"/>
      <c r="K416" s="106"/>
      <c r="L416" s="107"/>
    </row>
    <row r="417">
      <c r="G417" s="40"/>
      <c r="H417" s="42"/>
      <c r="I417" s="104"/>
      <c r="J417" s="105"/>
      <c r="K417" s="106"/>
      <c r="L417" s="107"/>
    </row>
    <row r="418">
      <c r="G418" s="40"/>
      <c r="H418" s="42"/>
      <c r="I418" s="104"/>
      <c r="J418" s="105"/>
      <c r="K418" s="106"/>
      <c r="L418" s="107"/>
    </row>
    <row r="419">
      <c r="G419" s="40"/>
      <c r="H419" s="42"/>
      <c r="I419" s="104"/>
      <c r="J419" s="105"/>
      <c r="K419" s="106"/>
      <c r="L419" s="107"/>
    </row>
    <row r="420">
      <c r="G420" s="40"/>
      <c r="H420" s="42"/>
      <c r="I420" s="104"/>
      <c r="J420" s="105"/>
      <c r="K420" s="106"/>
      <c r="L420" s="107"/>
    </row>
    <row r="421">
      <c r="G421" s="40"/>
      <c r="H421" s="42"/>
      <c r="I421" s="104"/>
      <c r="J421" s="105"/>
      <c r="K421" s="106"/>
      <c r="L421" s="107"/>
    </row>
    <row r="422">
      <c r="G422" s="40"/>
      <c r="H422" s="42"/>
      <c r="I422" s="104"/>
      <c r="J422" s="105"/>
      <c r="K422" s="106"/>
      <c r="L422" s="107"/>
    </row>
    <row r="423">
      <c r="G423" s="40"/>
      <c r="H423" s="42"/>
      <c r="I423" s="104"/>
      <c r="J423" s="105"/>
      <c r="K423" s="106"/>
      <c r="L423" s="107"/>
    </row>
    <row r="424">
      <c r="G424" s="40"/>
      <c r="H424" s="42"/>
      <c r="I424" s="104"/>
      <c r="J424" s="105"/>
      <c r="K424" s="106"/>
      <c r="L424" s="107"/>
    </row>
    <row r="425">
      <c r="G425" s="40"/>
      <c r="H425" s="42"/>
      <c r="I425" s="104"/>
      <c r="J425" s="105"/>
      <c r="K425" s="106"/>
      <c r="L425" s="107"/>
    </row>
    <row r="426">
      <c r="G426" s="40"/>
      <c r="H426" s="42"/>
      <c r="I426" s="104"/>
      <c r="J426" s="105"/>
      <c r="K426" s="106"/>
      <c r="L426" s="107"/>
    </row>
    <row r="427">
      <c r="G427" s="40"/>
      <c r="H427" s="42"/>
      <c r="I427" s="104"/>
      <c r="J427" s="105"/>
      <c r="K427" s="106"/>
      <c r="L427" s="107"/>
    </row>
    <row r="428">
      <c r="G428" s="40"/>
      <c r="H428" s="42"/>
      <c r="I428" s="104"/>
      <c r="J428" s="105"/>
      <c r="K428" s="106"/>
      <c r="L428" s="107"/>
    </row>
    <row r="429">
      <c r="G429" s="40"/>
      <c r="H429" s="42"/>
      <c r="I429" s="104"/>
      <c r="J429" s="105"/>
      <c r="K429" s="106"/>
      <c r="L429" s="107"/>
    </row>
    <row r="430">
      <c r="G430" s="40"/>
      <c r="H430" s="42"/>
      <c r="I430" s="104"/>
      <c r="J430" s="105"/>
      <c r="K430" s="106"/>
      <c r="L430" s="107"/>
    </row>
    <row r="431">
      <c r="G431" s="40"/>
      <c r="H431" s="42"/>
      <c r="I431" s="104"/>
      <c r="J431" s="105"/>
      <c r="K431" s="106"/>
      <c r="L431" s="107"/>
    </row>
    <row r="432">
      <c r="G432" s="40"/>
      <c r="H432" s="42"/>
      <c r="I432" s="104"/>
      <c r="J432" s="105"/>
      <c r="K432" s="106"/>
      <c r="L432" s="107"/>
    </row>
    <row r="433">
      <c r="G433" s="40"/>
      <c r="H433" s="42"/>
      <c r="I433" s="104"/>
      <c r="J433" s="105"/>
      <c r="K433" s="106"/>
      <c r="L433" s="107"/>
    </row>
    <row r="434">
      <c r="G434" s="40"/>
      <c r="H434" s="42"/>
      <c r="I434" s="104"/>
      <c r="J434" s="105"/>
      <c r="K434" s="106"/>
      <c r="L434" s="107"/>
    </row>
    <row r="435">
      <c r="G435" s="40"/>
      <c r="H435" s="42"/>
      <c r="I435" s="104"/>
      <c r="J435" s="105"/>
      <c r="K435" s="106"/>
      <c r="L435" s="107"/>
    </row>
    <row r="436">
      <c r="G436" s="40"/>
      <c r="H436" s="42"/>
      <c r="I436" s="104"/>
      <c r="J436" s="105"/>
      <c r="K436" s="106"/>
      <c r="L436" s="107"/>
    </row>
    <row r="437">
      <c r="G437" s="40"/>
      <c r="H437" s="42"/>
      <c r="I437" s="104"/>
      <c r="J437" s="105"/>
      <c r="K437" s="106"/>
      <c r="L437" s="107"/>
    </row>
    <row r="438">
      <c r="G438" s="40"/>
      <c r="H438" s="42"/>
      <c r="I438" s="104"/>
      <c r="J438" s="105"/>
      <c r="K438" s="106"/>
      <c r="L438" s="107"/>
    </row>
    <row r="439">
      <c r="G439" s="40"/>
      <c r="H439" s="42"/>
      <c r="I439" s="104"/>
      <c r="J439" s="105"/>
      <c r="K439" s="106"/>
      <c r="L439" s="107"/>
    </row>
    <row r="440">
      <c r="G440" s="40"/>
      <c r="H440" s="42"/>
      <c r="I440" s="104"/>
      <c r="J440" s="105"/>
      <c r="K440" s="106"/>
      <c r="L440" s="107"/>
    </row>
    <row r="441">
      <c r="G441" s="40"/>
      <c r="H441" s="42"/>
      <c r="I441" s="104"/>
      <c r="J441" s="105"/>
      <c r="K441" s="106"/>
      <c r="L441" s="107"/>
    </row>
    <row r="442">
      <c r="G442" s="40"/>
      <c r="H442" s="42"/>
      <c r="I442" s="104"/>
      <c r="J442" s="105"/>
      <c r="K442" s="106"/>
      <c r="L442" s="107"/>
    </row>
    <row r="443">
      <c r="G443" s="40"/>
      <c r="H443" s="42"/>
      <c r="I443" s="104"/>
      <c r="J443" s="105"/>
      <c r="K443" s="106"/>
      <c r="L443" s="107"/>
    </row>
    <row r="444">
      <c r="G444" s="40"/>
      <c r="H444" s="42"/>
      <c r="I444" s="104"/>
      <c r="J444" s="105"/>
      <c r="K444" s="106"/>
      <c r="L444" s="107"/>
    </row>
    <row r="445">
      <c r="G445" s="40"/>
      <c r="H445" s="42"/>
      <c r="I445" s="104"/>
      <c r="J445" s="105"/>
      <c r="K445" s="106"/>
      <c r="L445" s="107"/>
    </row>
    <row r="446">
      <c r="G446" s="40"/>
      <c r="H446" s="42"/>
      <c r="I446" s="104"/>
      <c r="J446" s="105"/>
      <c r="K446" s="106"/>
      <c r="L446" s="107"/>
    </row>
    <row r="447">
      <c r="G447" s="40"/>
      <c r="H447" s="42"/>
      <c r="I447" s="104"/>
      <c r="J447" s="105"/>
      <c r="K447" s="106"/>
      <c r="L447" s="107"/>
    </row>
    <row r="448">
      <c r="G448" s="40"/>
      <c r="H448" s="42"/>
      <c r="I448" s="104"/>
      <c r="J448" s="105"/>
      <c r="K448" s="106"/>
      <c r="L448" s="107"/>
    </row>
    <row r="449">
      <c r="G449" s="40"/>
      <c r="H449" s="42"/>
      <c r="I449" s="104"/>
      <c r="J449" s="105"/>
      <c r="K449" s="106"/>
      <c r="L449" s="107"/>
    </row>
    <row r="450">
      <c r="G450" s="40"/>
      <c r="H450" s="42"/>
      <c r="I450" s="104"/>
      <c r="J450" s="105"/>
      <c r="K450" s="106"/>
      <c r="L450" s="107"/>
    </row>
    <row r="451">
      <c r="G451" s="40"/>
      <c r="H451" s="42"/>
      <c r="I451" s="104"/>
      <c r="J451" s="105"/>
      <c r="K451" s="106"/>
      <c r="L451" s="107"/>
    </row>
    <row r="452">
      <c r="G452" s="40"/>
      <c r="H452" s="42"/>
      <c r="I452" s="104"/>
      <c r="J452" s="105"/>
      <c r="K452" s="106"/>
      <c r="L452" s="107"/>
    </row>
    <row r="453">
      <c r="G453" s="40"/>
      <c r="H453" s="42"/>
      <c r="I453" s="104"/>
      <c r="J453" s="105"/>
      <c r="K453" s="106"/>
      <c r="L453" s="107"/>
    </row>
    <row r="454">
      <c r="G454" s="40"/>
      <c r="H454" s="42"/>
      <c r="I454" s="104"/>
      <c r="J454" s="105"/>
      <c r="K454" s="106"/>
      <c r="L454" s="107"/>
    </row>
    <row r="455">
      <c r="G455" s="40"/>
      <c r="H455" s="42"/>
      <c r="I455" s="104"/>
      <c r="J455" s="105"/>
      <c r="K455" s="106"/>
      <c r="L455" s="107"/>
    </row>
    <row r="456">
      <c r="G456" s="40"/>
      <c r="H456" s="42"/>
      <c r="I456" s="104"/>
      <c r="J456" s="105"/>
      <c r="K456" s="106"/>
      <c r="L456" s="107"/>
    </row>
    <row r="457">
      <c r="G457" s="40"/>
      <c r="H457" s="42"/>
      <c r="I457" s="104"/>
      <c r="J457" s="105"/>
      <c r="K457" s="106"/>
      <c r="L457" s="107"/>
    </row>
    <row r="458">
      <c r="G458" s="40"/>
      <c r="H458" s="42"/>
      <c r="I458" s="104"/>
      <c r="J458" s="105"/>
      <c r="K458" s="106"/>
      <c r="L458" s="107"/>
    </row>
    <row r="459">
      <c r="G459" s="40"/>
      <c r="H459" s="42"/>
      <c r="I459" s="104"/>
      <c r="J459" s="105"/>
      <c r="K459" s="106"/>
      <c r="L459" s="107"/>
    </row>
    <row r="460">
      <c r="G460" s="40"/>
      <c r="H460" s="42"/>
      <c r="I460" s="104"/>
      <c r="J460" s="105"/>
      <c r="K460" s="106"/>
      <c r="L460" s="107"/>
    </row>
    <row r="461">
      <c r="G461" s="40"/>
      <c r="H461" s="42"/>
      <c r="I461" s="104"/>
      <c r="J461" s="105"/>
      <c r="K461" s="106"/>
      <c r="L461" s="107"/>
    </row>
    <row r="462">
      <c r="G462" s="40"/>
      <c r="H462" s="42"/>
      <c r="I462" s="104"/>
      <c r="J462" s="105"/>
      <c r="K462" s="106"/>
      <c r="L462" s="107"/>
    </row>
    <row r="463">
      <c r="G463" s="40"/>
      <c r="H463" s="42"/>
      <c r="I463" s="104"/>
      <c r="J463" s="105"/>
      <c r="K463" s="106"/>
      <c r="L463" s="107"/>
    </row>
    <row r="464">
      <c r="G464" s="40"/>
      <c r="H464" s="42"/>
      <c r="I464" s="104"/>
      <c r="J464" s="105"/>
      <c r="K464" s="106"/>
      <c r="L464" s="107"/>
    </row>
    <row r="465">
      <c r="G465" s="40"/>
      <c r="H465" s="42"/>
      <c r="I465" s="104"/>
      <c r="J465" s="105"/>
      <c r="K465" s="106"/>
      <c r="L465" s="107"/>
    </row>
    <row r="466">
      <c r="G466" s="40"/>
      <c r="H466" s="42"/>
      <c r="I466" s="104"/>
      <c r="J466" s="105"/>
      <c r="K466" s="106"/>
      <c r="L466" s="107"/>
    </row>
    <row r="467">
      <c r="G467" s="40"/>
      <c r="H467" s="42"/>
      <c r="I467" s="104"/>
      <c r="J467" s="105"/>
      <c r="K467" s="106"/>
      <c r="L467" s="107"/>
    </row>
    <row r="468">
      <c r="G468" s="40"/>
      <c r="H468" s="42"/>
      <c r="I468" s="104"/>
      <c r="J468" s="105"/>
      <c r="K468" s="106"/>
      <c r="L468" s="107"/>
    </row>
    <row r="469">
      <c r="G469" s="40"/>
      <c r="H469" s="42"/>
      <c r="I469" s="104"/>
      <c r="J469" s="105"/>
      <c r="K469" s="106"/>
      <c r="L469" s="107"/>
    </row>
    <row r="470">
      <c r="G470" s="40"/>
      <c r="H470" s="42"/>
      <c r="I470" s="104"/>
      <c r="J470" s="105"/>
      <c r="K470" s="106"/>
      <c r="L470" s="107"/>
    </row>
    <row r="471">
      <c r="G471" s="40"/>
      <c r="H471" s="42"/>
      <c r="I471" s="104"/>
      <c r="J471" s="105"/>
      <c r="K471" s="106"/>
      <c r="L471" s="107"/>
    </row>
    <row r="472">
      <c r="G472" s="40"/>
      <c r="H472" s="42"/>
      <c r="I472" s="104"/>
      <c r="J472" s="105"/>
      <c r="K472" s="106"/>
      <c r="L472" s="107"/>
    </row>
    <row r="473">
      <c r="G473" s="40"/>
      <c r="H473" s="42"/>
      <c r="I473" s="104"/>
      <c r="J473" s="105"/>
      <c r="K473" s="106"/>
      <c r="L473" s="107"/>
    </row>
    <row r="474">
      <c r="G474" s="40"/>
      <c r="H474" s="42"/>
      <c r="I474" s="104"/>
      <c r="J474" s="105"/>
      <c r="K474" s="106"/>
      <c r="L474" s="107"/>
    </row>
    <row r="475">
      <c r="G475" s="40"/>
      <c r="H475" s="42"/>
      <c r="I475" s="104"/>
      <c r="J475" s="105"/>
      <c r="K475" s="106"/>
      <c r="L475" s="107"/>
    </row>
    <row r="476">
      <c r="G476" s="40"/>
      <c r="H476" s="42"/>
      <c r="I476" s="104"/>
      <c r="J476" s="105"/>
      <c r="K476" s="106"/>
      <c r="L476" s="107"/>
    </row>
    <row r="477">
      <c r="G477" s="40"/>
      <c r="H477" s="42"/>
      <c r="I477" s="104"/>
      <c r="J477" s="105"/>
      <c r="K477" s="106"/>
      <c r="L477" s="107"/>
    </row>
    <row r="478">
      <c r="G478" s="40"/>
      <c r="H478" s="42"/>
      <c r="I478" s="104"/>
      <c r="J478" s="105"/>
      <c r="K478" s="106"/>
      <c r="L478" s="107"/>
    </row>
    <row r="479">
      <c r="G479" s="40"/>
      <c r="H479" s="42"/>
      <c r="I479" s="104"/>
      <c r="J479" s="105"/>
      <c r="K479" s="106"/>
      <c r="L479" s="107"/>
    </row>
    <row r="480">
      <c r="G480" s="40"/>
      <c r="H480" s="42"/>
      <c r="I480" s="104"/>
      <c r="J480" s="105"/>
      <c r="K480" s="106"/>
      <c r="L480" s="107"/>
    </row>
    <row r="481">
      <c r="G481" s="40"/>
      <c r="H481" s="42"/>
      <c r="I481" s="104"/>
      <c r="J481" s="105"/>
      <c r="K481" s="106"/>
      <c r="L481" s="107"/>
    </row>
    <row r="482">
      <c r="G482" s="40"/>
      <c r="H482" s="42"/>
      <c r="I482" s="104"/>
      <c r="J482" s="105"/>
      <c r="K482" s="106"/>
      <c r="L482" s="107"/>
    </row>
    <row r="483">
      <c r="G483" s="40"/>
      <c r="H483" s="42"/>
      <c r="I483" s="104"/>
      <c r="J483" s="105"/>
      <c r="K483" s="106"/>
      <c r="L483" s="107"/>
    </row>
    <row r="484">
      <c r="G484" s="40"/>
      <c r="H484" s="42"/>
      <c r="I484" s="104"/>
      <c r="J484" s="105"/>
      <c r="K484" s="106"/>
      <c r="L484" s="107"/>
    </row>
    <row r="485">
      <c r="G485" s="40"/>
      <c r="H485" s="42"/>
      <c r="I485" s="104"/>
      <c r="J485" s="105"/>
      <c r="K485" s="106"/>
      <c r="L485" s="107"/>
    </row>
    <row r="486">
      <c r="G486" s="40"/>
      <c r="H486" s="42"/>
      <c r="I486" s="104"/>
      <c r="J486" s="105"/>
      <c r="K486" s="106"/>
      <c r="L486" s="107"/>
    </row>
    <row r="487">
      <c r="G487" s="40"/>
      <c r="H487" s="42"/>
      <c r="I487" s="104"/>
      <c r="J487" s="105"/>
      <c r="K487" s="106"/>
      <c r="L487" s="107"/>
    </row>
    <row r="488">
      <c r="G488" s="40"/>
      <c r="H488" s="42"/>
      <c r="I488" s="104"/>
      <c r="J488" s="105"/>
      <c r="K488" s="106"/>
      <c r="L488" s="107"/>
    </row>
    <row r="489">
      <c r="G489" s="40"/>
      <c r="H489" s="42"/>
      <c r="I489" s="104"/>
      <c r="J489" s="105"/>
      <c r="K489" s="106"/>
      <c r="L489" s="107"/>
    </row>
    <row r="490">
      <c r="G490" s="40"/>
      <c r="H490" s="42"/>
      <c r="I490" s="104"/>
      <c r="J490" s="105"/>
      <c r="K490" s="106"/>
      <c r="L490" s="107"/>
    </row>
    <row r="491">
      <c r="G491" s="40"/>
      <c r="H491" s="42"/>
      <c r="I491" s="104"/>
      <c r="J491" s="105"/>
      <c r="K491" s="106"/>
      <c r="L491" s="107"/>
    </row>
    <row r="492">
      <c r="G492" s="40"/>
      <c r="H492" s="42"/>
      <c r="I492" s="104"/>
      <c r="J492" s="105"/>
      <c r="K492" s="106"/>
      <c r="L492" s="107"/>
    </row>
    <row r="493">
      <c r="G493" s="40"/>
      <c r="H493" s="42"/>
      <c r="I493" s="104"/>
      <c r="J493" s="105"/>
      <c r="K493" s="106"/>
      <c r="L493" s="107"/>
    </row>
    <row r="494">
      <c r="G494" s="40"/>
      <c r="H494" s="42"/>
      <c r="I494" s="104"/>
      <c r="J494" s="105"/>
      <c r="K494" s="106"/>
      <c r="L494" s="107"/>
    </row>
    <row r="495">
      <c r="G495" s="40"/>
      <c r="H495" s="42"/>
      <c r="I495" s="104"/>
      <c r="J495" s="105"/>
      <c r="K495" s="106"/>
      <c r="L495" s="107"/>
    </row>
    <row r="496">
      <c r="G496" s="40"/>
      <c r="H496" s="42"/>
      <c r="I496" s="104"/>
      <c r="J496" s="105"/>
      <c r="K496" s="106"/>
      <c r="L496" s="107"/>
    </row>
    <row r="497">
      <c r="G497" s="40"/>
      <c r="H497" s="42"/>
      <c r="I497" s="104"/>
      <c r="J497" s="105"/>
      <c r="K497" s="106"/>
      <c r="L497" s="107"/>
    </row>
    <row r="498">
      <c r="G498" s="40"/>
      <c r="H498" s="42"/>
      <c r="I498" s="104"/>
      <c r="J498" s="105"/>
      <c r="K498" s="106"/>
      <c r="L498" s="107"/>
    </row>
    <row r="499">
      <c r="G499" s="40"/>
      <c r="H499" s="42"/>
      <c r="I499" s="104"/>
      <c r="J499" s="105"/>
      <c r="K499" s="106"/>
      <c r="L499" s="107"/>
    </row>
    <row r="500">
      <c r="G500" s="40"/>
      <c r="H500" s="42"/>
      <c r="I500" s="104"/>
      <c r="J500" s="105"/>
      <c r="K500" s="106"/>
      <c r="L500" s="107"/>
    </row>
    <row r="501">
      <c r="G501" s="40"/>
      <c r="H501" s="42"/>
      <c r="I501" s="104"/>
      <c r="J501" s="105"/>
      <c r="K501" s="106"/>
      <c r="L501" s="107"/>
    </row>
    <row r="502">
      <c r="G502" s="40"/>
      <c r="H502" s="42"/>
      <c r="I502" s="104"/>
      <c r="J502" s="105"/>
      <c r="K502" s="106"/>
      <c r="L502" s="107"/>
    </row>
    <row r="503">
      <c r="G503" s="40"/>
      <c r="H503" s="42"/>
      <c r="I503" s="104"/>
      <c r="J503" s="105"/>
      <c r="K503" s="106"/>
      <c r="L503" s="107"/>
    </row>
    <row r="504">
      <c r="G504" s="40"/>
      <c r="H504" s="42"/>
      <c r="I504" s="104"/>
      <c r="J504" s="105"/>
      <c r="K504" s="106"/>
      <c r="L504" s="107"/>
    </row>
    <row r="505">
      <c r="G505" s="40"/>
      <c r="H505" s="42"/>
      <c r="I505" s="104"/>
      <c r="J505" s="105"/>
      <c r="K505" s="106"/>
      <c r="L505" s="107"/>
    </row>
    <row r="506">
      <c r="G506" s="40"/>
      <c r="H506" s="42"/>
      <c r="I506" s="104"/>
      <c r="J506" s="105"/>
      <c r="K506" s="106"/>
      <c r="L506" s="107"/>
    </row>
    <row r="507">
      <c r="G507" s="40"/>
      <c r="H507" s="42"/>
      <c r="I507" s="104"/>
      <c r="J507" s="105"/>
      <c r="K507" s="106"/>
      <c r="L507" s="107"/>
    </row>
    <row r="508">
      <c r="G508" s="40"/>
      <c r="H508" s="42"/>
      <c r="I508" s="104"/>
      <c r="J508" s="105"/>
      <c r="K508" s="106"/>
      <c r="L508" s="107"/>
    </row>
    <row r="509">
      <c r="G509" s="40"/>
      <c r="H509" s="42"/>
      <c r="I509" s="104"/>
      <c r="J509" s="105"/>
      <c r="K509" s="106"/>
      <c r="L509" s="107"/>
    </row>
    <row r="510">
      <c r="G510" s="40"/>
      <c r="H510" s="42"/>
      <c r="I510" s="104"/>
      <c r="J510" s="105"/>
      <c r="K510" s="106"/>
      <c r="L510" s="107"/>
    </row>
    <row r="511">
      <c r="G511" s="40"/>
      <c r="H511" s="42"/>
      <c r="I511" s="104"/>
      <c r="J511" s="105"/>
      <c r="K511" s="106"/>
      <c r="L511" s="107"/>
    </row>
    <row r="512">
      <c r="G512" s="40"/>
      <c r="H512" s="42"/>
      <c r="I512" s="104"/>
      <c r="J512" s="105"/>
      <c r="K512" s="106"/>
      <c r="L512" s="107"/>
    </row>
    <row r="513">
      <c r="G513" s="40"/>
      <c r="H513" s="42"/>
      <c r="I513" s="104"/>
      <c r="J513" s="105"/>
      <c r="K513" s="106"/>
      <c r="L513" s="107"/>
    </row>
    <row r="514">
      <c r="G514" s="40"/>
      <c r="H514" s="42"/>
      <c r="I514" s="104"/>
      <c r="J514" s="105"/>
      <c r="K514" s="106"/>
      <c r="L514" s="107"/>
    </row>
    <row r="515">
      <c r="G515" s="40"/>
      <c r="H515" s="42"/>
      <c r="I515" s="104"/>
      <c r="J515" s="105"/>
      <c r="K515" s="106"/>
      <c r="L515" s="107"/>
    </row>
    <row r="516">
      <c r="G516" s="40"/>
      <c r="H516" s="42"/>
      <c r="I516" s="104"/>
      <c r="J516" s="105"/>
      <c r="K516" s="106"/>
      <c r="L516" s="107"/>
    </row>
    <row r="517">
      <c r="G517" s="40"/>
      <c r="H517" s="42"/>
      <c r="I517" s="104"/>
      <c r="J517" s="105"/>
      <c r="K517" s="106"/>
      <c r="L517" s="107"/>
    </row>
    <row r="518">
      <c r="G518" s="40"/>
      <c r="H518" s="42"/>
      <c r="I518" s="104"/>
      <c r="J518" s="105"/>
      <c r="K518" s="106"/>
      <c r="L518" s="107"/>
    </row>
    <row r="519">
      <c r="G519" s="40"/>
      <c r="H519" s="42"/>
      <c r="I519" s="104"/>
      <c r="J519" s="105"/>
      <c r="K519" s="106"/>
      <c r="L519" s="107"/>
    </row>
    <row r="520">
      <c r="G520" s="40"/>
      <c r="H520" s="42"/>
      <c r="I520" s="104"/>
      <c r="J520" s="105"/>
      <c r="K520" s="106"/>
      <c r="L520" s="107"/>
    </row>
    <row r="521">
      <c r="G521" s="40"/>
      <c r="H521" s="42"/>
      <c r="I521" s="104"/>
      <c r="J521" s="105"/>
      <c r="K521" s="106"/>
      <c r="L521" s="107"/>
    </row>
    <row r="522">
      <c r="G522" s="40"/>
      <c r="H522" s="42"/>
      <c r="I522" s="104"/>
      <c r="J522" s="105"/>
      <c r="K522" s="106"/>
      <c r="L522" s="107"/>
    </row>
    <row r="523">
      <c r="G523" s="40"/>
      <c r="H523" s="42"/>
      <c r="I523" s="104"/>
      <c r="J523" s="105"/>
      <c r="K523" s="106"/>
      <c r="L523" s="107"/>
    </row>
    <row r="524">
      <c r="G524" s="40"/>
      <c r="H524" s="42"/>
      <c r="I524" s="104"/>
      <c r="J524" s="105"/>
      <c r="K524" s="106"/>
      <c r="L524" s="107"/>
    </row>
    <row r="525">
      <c r="G525" s="40"/>
      <c r="H525" s="42"/>
      <c r="I525" s="104"/>
      <c r="J525" s="105"/>
      <c r="K525" s="106"/>
      <c r="L525" s="107"/>
    </row>
    <row r="526">
      <c r="G526" s="40"/>
      <c r="H526" s="42"/>
      <c r="I526" s="104"/>
      <c r="J526" s="105"/>
      <c r="K526" s="106"/>
      <c r="L526" s="107"/>
    </row>
    <row r="527">
      <c r="G527" s="40"/>
      <c r="H527" s="42"/>
      <c r="I527" s="104"/>
      <c r="J527" s="105"/>
      <c r="K527" s="106"/>
      <c r="L527" s="107"/>
    </row>
    <row r="528">
      <c r="G528" s="40"/>
      <c r="H528" s="42"/>
      <c r="I528" s="104"/>
      <c r="J528" s="105"/>
      <c r="K528" s="106"/>
      <c r="L528" s="107"/>
    </row>
    <row r="529">
      <c r="G529" s="40"/>
      <c r="H529" s="42"/>
      <c r="I529" s="104"/>
      <c r="J529" s="105"/>
      <c r="K529" s="106"/>
      <c r="L529" s="107"/>
    </row>
    <row r="530">
      <c r="G530" s="40"/>
      <c r="H530" s="42"/>
      <c r="I530" s="104"/>
      <c r="J530" s="105"/>
      <c r="K530" s="106"/>
      <c r="L530" s="107"/>
    </row>
    <row r="531">
      <c r="G531" s="40"/>
      <c r="H531" s="42"/>
      <c r="I531" s="104"/>
      <c r="J531" s="105"/>
      <c r="K531" s="106"/>
      <c r="L531" s="107"/>
    </row>
    <row r="532">
      <c r="G532" s="40"/>
      <c r="H532" s="42"/>
      <c r="I532" s="104"/>
      <c r="J532" s="105"/>
      <c r="K532" s="106"/>
      <c r="L532" s="107"/>
    </row>
    <row r="533">
      <c r="G533" s="40"/>
      <c r="H533" s="42"/>
      <c r="I533" s="104"/>
      <c r="J533" s="105"/>
      <c r="K533" s="106"/>
      <c r="L533" s="107"/>
    </row>
    <row r="534">
      <c r="G534" s="40"/>
      <c r="H534" s="42"/>
      <c r="I534" s="104"/>
      <c r="J534" s="105"/>
      <c r="K534" s="106"/>
      <c r="L534" s="107"/>
    </row>
    <row r="535">
      <c r="G535" s="40"/>
      <c r="H535" s="42"/>
      <c r="I535" s="104"/>
      <c r="J535" s="105"/>
      <c r="K535" s="106"/>
      <c r="L535" s="107"/>
    </row>
    <row r="536">
      <c r="G536" s="40"/>
      <c r="H536" s="42"/>
      <c r="I536" s="104"/>
      <c r="J536" s="105"/>
      <c r="K536" s="106"/>
      <c r="L536" s="107"/>
    </row>
    <row r="537">
      <c r="G537" s="40"/>
      <c r="H537" s="42"/>
      <c r="I537" s="104"/>
      <c r="J537" s="105"/>
      <c r="K537" s="106"/>
      <c r="L537" s="107"/>
    </row>
    <row r="538">
      <c r="G538" s="40"/>
      <c r="H538" s="42"/>
      <c r="I538" s="104"/>
      <c r="J538" s="105"/>
      <c r="K538" s="106"/>
      <c r="L538" s="107"/>
    </row>
    <row r="539">
      <c r="G539" s="40"/>
      <c r="H539" s="42"/>
      <c r="I539" s="104"/>
      <c r="J539" s="105"/>
      <c r="K539" s="106"/>
      <c r="L539" s="107"/>
    </row>
    <row r="540">
      <c r="G540" s="40"/>
      <c r="H540" s="42"/>
      <c r="I540" s="104"/>
      <c r="J540" s="105"/>
      <c r="K540" s="106"/>
      <c r="L540" s="107"/>
    </row>
    <row r="541">
      <c r="G541" s="40"/>
      <c r="H541" s="42"/>
      <c r="I541" s="104"/>
      <c r="J541" s="105"/>
      <c r="K541" s="106"/>
      <c r="L541" s="107"/>
    </row>
    <row r="542">
      <c r="G542" s="40"/>
      <c r="H542" s="42"/>
      <c r="I542" s="104"/>
      <c r="J542" s="105"/>
      <c r="K542" s="106"/>
      <c r="L542" s="107"/>
    </row>
    <row r="543">
      <c r="G543" s="40"/>
      <c r="H543" s="42"/>
      <c r="I543" s="104"/>
      <c r="J543" s="105"/>
      <c r="K543" s="106"/>
      <c r="L543" s="107"/>
    </row>
    <row r="544">
      <c r="G544" s="40"/>
      <c r="H544" s="42"/>
      <c r="I544" s="104"/>
      <c r="J544" s="105"/>
      <c r="K544" s="106"/>
      <c r="L544" s="107"/>
    </row>
    <row r="545">
      <c r="G545" s="40"/>
      <c r="H545" s="42"/>
      <c r="I545" s="104"/>
      <c r="J545" s="105"/>
      <c r="K545" s="106"/>
      <c r="L545" s="107"/>
    </row>
    <row r="546">
      <c r="G546" s="40"/>
      <c r="H546" s="42"/>
      <c r="I546" s="104"/>
      <c r="J546" s="105"/>
      <c r="K546" s="106"/>
      <c r="L546" s="107"/>
    </row>
    <row r="547">
      <c r="G547" s="40"/>
      <c r="H547" s="42"/>
      <c r="I547" s="104"/>
      <c r="J547" s="105"/>
      <c r="K547" s="106"/>
      <c r="L547" s="107"/>
    </row>
    <row r="548">
      <c r="G548" s="40"/>
      <c r="H548" s="42"/>
      <c r="I548" s="104"/>
      <c r="J548" s="105"/>
      <c r="K548" s="106"/>
      <c r="L548" s="107"/>
    </row>
    <row r="549">
      <c r="G549" s="40"/>
      <c r="H549" s="42"/>
      <c r="I549" s="104"/>
      <c r="J549" s="105"/>
      <c r="K549" s="106"/>
      <c r="L549" s="107"/>
    </row>
    <row r="550">
      <c r="G550" s="40"/>
      <c r="H550" s="42"/>
      <c r="I550" s="104"/>
      <c r="J550" s="105"/>
      <c r="K550" s="106"/>
      <c r="L550" s="107"/>
    </row>
    <row r="551">
      <c r="G551" s="40"/>
      <c r="H551" s="42"/>
      <c r="I551" s="104"/>
      <c r="J551" s="105"/>
      <c r="K551" s="106"/>
      <c r="L551" s="107"/>
    </row>
    <row r="552">
      <c r="G552" s="40"/>
      <c r="H552" s="42"/>
      <c r="I552" s="104"/>
      <c r="J552" s="105"/>
      <c r="K552" s="106"/>
      <c r="L552" s="107"/>
    </row>
    <row r="553">
      <c r="G553" s="40"/>
      <c r="H553" s="42"/>
      <c r="I553" s="104"/>
      <c r="J553" s="105"/>
      <c r="K553" s="106"/>
      <c r="L553" s="107"/>
    </row>
    <row r="554">
      <c r="G554" s="40"/>
      <c r="H554" s="42"/>
      <c r="I554" s="104"/>
      <c r="J554" s="105"/>
      <c r="K554" s="106"/>
      <c r="L554" s="107"/>
    </row>
    <row r="555">
      <c r="G555" s="40"/>
      <c r="H555" s="42"/>
      <c r="I555" s="104"/>
      <c r="J555" s="105"/>
      <c r="K555" s="106"/>
      <c r="L555" s="107"/>
    </row>
    <row r="556">
      <c r="G556" s="40"/>
      <c r="H556" s="42"/>
      <c r="I556" s="104"/>
      <c r="J556" s="105"/>
      <c r="K556" s="106"/>
      <c r="L556" s="107"/>
    </row>
    <row r="557">
      <c r="G557" s="40"/>
      <c r="H557" s="42"/>
      <c r="I557" s="104"/>
      <c r="J557" s="105"/>
      <c r="K557" s="106"/>
      <c r="L557" s="107"/>
    </row>
    <row r="558">
      <c r="G558" s="40"/>
      <c r="H558" s="42"/>
      <c r="I558" s="104"/>
      <c r="J558" s="105"/>
      <c r="K558" s="106"/>
      <c r="L558" s="107"/>
    </row>
    <row r="559">
      <c r="G559" s="40"/>
      <c r="H559" s="42"/>
      <c r="I559" s="104"/>
      <c r="J559" s="105"/>
      <c r="K559" s="106"/>
      <c r="L559" s="107"/>
    </row>
    <row r="560">
      <c r="G560" s="40"/>
      <c r="H560" s="42"/>
      <c r="I560" s="104"/>
      <c r="J560" s="105"/>
      <c r="K560" s="106"/>
      <c r="L560" s="107"/>
    </row>
    <row r="561">
      <c r="G561" s="40"/>
      <c r="H561" s="42"/>
      <c r="I561" s="104"/>
      <c r="J561" s="105"/>
      <c r="K561" s="106"/>
      <c r="L561" s="107"/>
    </row>
    <row r="562">
      <c r="G562" s="40"/>
      <c r="H562" s="42"/>
      <c r="I562" s="104"/>
      <c r="J562" s="105"/>
      <c r="K562" s="106"/>
      <c r="L562" s="107"/>
    </row>
    <row r="563">
      <c r="G563" s="40"/>
      <c r="H563" s="42"/>
      <c r="I563" s="104"/>
      <c r="J563" s="105"/>
      <c r="K563" s="106"/>
      <c r="L563" s="107"/>
    </row>
    <row r="564">
      <c r="G564" s="40"/>
      <c r="H564" s="42"/>
      <c r="I564" s="104"/>
      <c r="J564" s="105"/>
      <c r="K564" s="106"/>
      <c r="L564" s="107"/>
    </row>
    <row r="565">
      <c r="G565" s="40"/>
      <c r="H565" s="42"/>
      <c r="I565" s="104"/>
      <c r="J565" s="105"/>
      <c r="K565" s="106"/>
      <c r="L565" s="107"/>
    </row>
    <row r="566">
      <c r="G566" s="40"/>
      <c r="H566" s="42"/>
      <c r="I566" s="104"/>
      <c r="J566" s="105"/>
      <c r="K566" s="106"/>
      <c r="L566" s="107"/>
    </row>
    <row r="567">
      <c r="G567" s="40"/>
      <c r="H567" s="42"/>
      <c r="I567" s="104"/>
      <c r="J567" s="105"/>
      <c r="K567" s="106"/>
      <c r="L567" s="107"/>
    </row>
    <row r="568">
      <c r="G568" s="40"/>
      <c r="H568" s="42"/>
      <c r="I568" s="104"/>
      <c r="J568" s="105"/>
      <c r="K568" s="106"/>
      <c r="L568" s="107"/>
    </row>
    <row r="569">
      <c r="G569" s="40"/>
      <c r="H569" s="42"/>
      <c r="I569" s="104"/>
      <c r="J569" s="105"/>
      <c r="K569" s="106"/>
      <c r="L569" s="107"/>
    </row>
    <row r="570">
      <c r="G570" s="40"/>
      <c r="H570" s="42"/>
      <c r="I570" s="104"/>
      <c r="J570" s="105"/>
      <c r="K570" s="106"/>
      <c r="L570" s="107"/>
    </row>
    <row r="571">
      <c r="G571" s="40"/>
      <c r="H571" s="42"/>
      <c r="I571" s="104"/>
      <c r="J571" s="105"/>
      <c r="K571" s="106"/>
      <c r="L571" s="107"/>
    </row>
    <row r="572">
      <c r="G572" s="40"/>
      <c r="H572" s="42"/>
      <c r="I572" s="104"/>
      <c r="J572" s="105"/>
      <c r="K572" s="106"/>
      <c r="L572" s="107"/>
    </row>
    <row r="573">
      <c r="G573" s="40"/>
      <c r="H573" s="42"/>
      <c r="I573" s="104"/>
      <c r="J573" s="105"/>
      <c r="K573" s="106"/>
      <c r="L573" s="107"/>
    </row>
    <row r="574">
      <c r="G574" s="40"/>
      <c r="H574" s="42"/>
      <c r="I574" s="104"/>
      <c r="J574" s="105"/>
      <c r="K574" s="106"/>
      <c r="L574" s="107"/>
    </row>
    <row r="575">
      <c r="G575" s="40"/>
      <c r="H575" s="42"/>
      <c r="I575" s="104"/>
      <c r="J575" s="105"/>
      <c r="K575" s="106"/>
      <c r="L575" s="107"/>
    </row>
    <row r="576">
      <c r="G576" s="40"/>
      <c r="H576" s="42"/>
      <c r="I576" s="104"/>
      <c r="J576" s="105"/>
      <c r="K576" s="106"/>
      <c r="L576" s="107"/>
    </row>
    <row r="577">
      <c r="G577" s="40"/>
      <c r="H577" s="42"/>
      <c r="I577" s="104"/>
      <c r="J577" s="105"/>
      <c r="K577" s="106"/>
      <c r="L577" s="107"/>
    </row>
    <row r="578">
      <c r="G578" s="40"/>
      <c r="H578" s="42"/>
      <c r="I578" s="104"/>
      <c r="J578" s="105"/>
      <c r="K578" s="106"/>
      <c r="L578" s="107"/>
    </row>
    <row r="579">
      <c r="G579" s="40"/>
      <c r="H579" s="42"/>
      <c r="I579" s="104"/>
      <c r="J579" s="105"/>
      <c r="K579" s="106"/>
      <c r="L579" s="107"/>
    </row>
    <row r="580">
      <c r="G580" s="40"/>
      <c r="H580" s="42"/>
      <c r="I580" s="104"/>
      <c r="J580" s="105"/>
      <c r="K580" s="106"/>
      <c r="L580" s="107"/>
    </row>
    <row r="581">
      <c r="G581" s="40"/>
      <c r="H581" s="42"/>
      <c r="I581" s="104"/>
      <c r="J581" s="105"/>
      <c r="K581" s="106"/>
      <c r="L581" s="107"/>
    </row>
    <row r="582">
      <c r="G582" s="40"/>
      <c r="H582" s="42"/>
      <c r="I582" s="104"/>
      <c r="J582" s="105"/>
      <c r="K582" s="106"/>
      <c r="L582" s="107"/>
    </row>
    <row r="583">
      <c r="G583" s="40"/>
      <c r="H583" s="42"/>
      <c r="I583" s="104"/>
      <c r="J583" s="105"/>
      <c r="K583" s="106"/>
      <c r="L583" s="107"/>
    </row>
    <row r="584">
      <c r="G584" s="40"/>
      <c r="H584" s="42"/>
      <c r="I584" s="104"/>
      <c r="J584" s="105"/>
      <c r="K584" s="106"/>
      <c r="L584" s="107"/>
    </row>
    <row r="585">
      <c r="G585" s="40"/>
      <c r="H585" s="42"/>
      <c r="I585" s="104"/>
      <c r="J585" s="105"/>
      <c r="K585" s="106"/>
      <c r="L585" s="107"/>
    </row>
    <row r="586">
      <c r="G586" s="40"/>
      <c r="H586" s="42"/>
      <c r="I586" s="104"/>
      <c r="J586" s="105"/>
      <c r="K586" s="106"/>
      <c r="L586" s="107"/>
    </row>
    <row r="587">
      <c r="G587" s="40"/>
      <c r="H587" s="42"/>
      <c r="I587" s="104"/>
      <c r="J587" s="105"/>
      <c r="K587" s="106"/>
      <c r="L587" s="107"/>
    </row>
    <row r="588">
      <c r="G588" s="40"/>
      <c r="H588" s="42"/>
      <c r="I588" s="104"/>
      <c r="J588" s="105"/>
      <c r="K588" s="106"/>
      <c r="L588" s="107"/>
    </row>
    <row r="589">
      <c r="G589" s="40"/>
      <c r="H589" s="42"/>
      <c r="I589" s="104"/>
      <c r="J589" s="105"/>
      <c r="K589" s="106"/>
      <c r="L589" s="107"/>
    </row>
    <row r="590">
      <c r="G590" s="40"/>
      <c r="H590" s="42"/>
      <c r="I590" s="104"/>
      <c r="J590" s="105"/>
      <c r="K590" s="106"/>
      <c r="L590" s="107"/>
    </row>
    <row r="591">
      <c r="G591" s="40"/>
      <c r="H591" s="42"/>
      <c r="I591" s="104"/>
      <c r="J591" s="105"/>
      <c r="K591" s="106"/>
      <c r="L591" s="107"/>
    </row>
    <row r="592">
      <c r="G592" s="40"/>
      <c r="H592" s="42"/>
      <c r="I592" s="104"/>
      <c r="J592" s="105"/>
      <c r="K592" s="106"/>
      <c r="L592" s="107"/>
    </row>
    <row r="593">
      <c r="G593" s="40"/>
      <c r="H593" s="42"/>
      <c r="I593" s="104"/>
      <c r="J593" s="105"/>
      <c r="K593" s="106"/>
      <c r="L593" s="107"/>
    </row>
    <row r="594">
      <c r="G594" s="40"/>
      <c r="H594" s="42"/>
      <c r="I594" s="104"/>
      <c r="J594" s="105"/>
      <c r="K594" s="106"/>
      <c r="L594" s="107"/>
    </row>
    <row r="595">
      <c r="G595" s="40"/>
      <c r="H595" s="42"/>
      <c r="I595" s="104"/>
      <c r="J595" s="105"/>
      <c r="K595" s="106"/>
      <c r="L595" s="107"/>
    </row>
    <row r="596">
      <c r="G596" s="40"/>
      <c r="H596" s="42"/>
      <c r="I596" s="104"/>
      <c r="J596" s="105"/>
      <c r="K596" s="106"/>
      <c r="L596" s="107"/>
    </row>
    <row r="597">
      <c r="G597" s="40"/>
      <c r="H597" s="42"/>
      <c r="I597" s="104"/>
      <c r="J597" s="105"/>
      <c r="K597" s="106"/>
      <c r="L597" s="107"/>
    </row>
    <row r="598">
      <c r="G598" s="40"/>
      <c r="H598" s="42"/>
      <c r="I598" s="104"/>
      <c r="J598" s="105"/>
      <c r="K598" s="106"/>
      <c r="L598" s="107"/>
    </row>
    <row r="599">
      <c r="G599" s="40"/>
      <c r="H599" s="42"/>
      <c r="I599" s="104"/>
      <c r="J599" s="105"/>
      <c r="K599" s="106"/>
      <c r="L599" s="107"/>
    </row>
    <row r="600">
      <c r="G600" s="40"/>
      <c r="H600" s="42"/>
      <c r="I600" s="104"/>
      <c r="J600" s="105"/>
      <c r="K600" s="106"/>
      <c r="L600" s="107"/>
    </row>
    <row r="601">
      <c r="G601" s="40"/>
      <c r="H601" s="42"/>
      <c r="I601" s="104"/>
      <c r="J601" s="105"/>
      <c r="K601" s="106"/>
      <c r="L601" s="107"/>
    </row>
    <row r="602">
      <c r="G602" s="40"/>
      <c r="H602" s="42"/>
      <c r="I602" s="104"/>
      <c r="J602" s="105"/>
      <c r="K602" s="106"/>
      <c r="L602" s="107"/>
    </row>
    <row r="603">
      <c r="G603" s="40"/>
      <c r="H603" s="42"/>
      <c r="I603" s="104"/>
      <c r="J603" s="105"/>
      <c r="K603" s="106"/>
      <c r="L603" s="107"/>
    </row>
    <row r="604">
      <c r="G604" s="40"/>
      <c r="H604" s="42"/>
      <c r="I604" s="104"/>
      <c r="J604" s="105"/>
      <c r="K604" s="106"/>
      <c r="L604" s="107"/>
    </row>
    <row r="605">
      <c r="G605" s="40"/>
      <c r="H605" s="42"/>
      <c r="I605" s="104"/>
      <c r="J605" s="105"/>
      <c r="K605" s="106"/>
      <c r="L605" s="107"/>
    </row>
    <row r="606">
      <c r="G606" s="40"/>
      <c r="H606" s="42"/>
      <c r="I606" s="104"/>
      <c r="J606" s="105"/>
      <c r="K606" s="106"/>
      <c r="L606" s="107"/>
    </row>
    <row r="607">
      <c r="G607" s="40"/>
      <c r="H607" s="42"/>
      <c r="I607" s="104"/>
      <c r="J607" s="105"/>
      <c r="K607" s="106"/>
      <c r="L607" s="107"/>
    </row>
    <row r="608">
      <c r="G608" s="40"/>
      <c r="H608" s="42"/>
      <c r="I608" s="104"/>
      <c r="J608" s="105"/>
      <c r="K608" s="106"/>
      <c r="L608" s="107"/>
    </row>
    <row r="609">
      <c r="G609" s="40"/>
      <c r="H609" s="42"/>
      <c r="I609" s="104"/>
      <c r="J609" s="105"/>
      <c r="K609" s="106"/>
      <c r="L609" s="107"/>
    </row>
    <row r="610">
      <c r="G610" s="40"/>
      <c r="H610" s="42"/>
      <c r="I610" s="104"/>
      <c r="J610" s="105"/>
      <c r="K610" s="106"/>
      <c r="L610" s="107"/>
    </row>
    <row r="611">
      <c r="G611" s="40"/>
      <c r="H611" s="42"/>
      <c r="I611" s="104"/>
      <c r="J611" s="105"/>
      <c r="K611" s="106"/>
      <c r="L611" s="107"/>
    </row>
    <row r="612">
      <c r="G612" s="40"/>
      <c r="H612" s="42"/>
      <c r="I612" s="104"/>
      <c r="J612" s="105"/>
      <c r="K612" s="106"/>
      <c r="L612" s="107"/>
    </row>
    <row r="613">
      <c r="G613" s="40"/>
      <c r="H613" s="42"/>
      <c r="I613" s="104"/>
      <c r="J613" s="105"/>
      <c r="K613" s="106"/>
      <c r="L613" s="107"/>
    </row>
    <row r="614">
      <c r="G614" s="40"/>
      <c r="H614" s="42"/>
      <c r="I614" s="104"/>
      <c r="J614" s="105"/>
      <c r="K614" s="106"/>
      <c r="L614" s="107"/>
    </row>
    <row r="615">
      <c r="G615" s="40"/>
      <c r="H615" s="42"/>
      <c r="I615" s="104"/>
      <c r="J615" s="105"/>
      <c r="K615" s="106"/>
      <c r="L615" s="107"/>
    </row>
    <row r="616">
      <c r="G616" s="40"/>
      <c r="H616" s="42"/>
      <c r="I616" s="104"/>
      <c r="J616" s="105"/>
      <c r="K616" s="106"/>
      <c r="L616" s="107"/>
    </row>
    <row r="617">
      <c r="G617" s="40"/>
      <c r="H617" s="42"/>
      <c r="I617" s="104"/>
      <c r="J617" s="105"/>
      <c r="K617" s="106"/>
      <c r="L617" s="107"/>
    </row>
    <row r="618">
      <c r="G618" s="40"/>
      <c r="H618" s="42"/>
      <c r="I618" s="104"/>
      <c r="J618" s="105"/>
      <c r="K618" s="106"/>
      <c r="L618" s="107"/>
    </row>
    <row r="619">
      <c r="G619" s="40"/>
      <c r="H619" s="42"/>
      <c r="I619" s="104"/>
      <c r="J619" s="105"/>
      <c r="K619" s="106"/>
      <c r="L619" s="107"/>
    </row>
    <row r="620">
      <c r="G620" s="40"/>
      <c r="H620" s="42"/>
      <c r="I620" s="104"/>
      <c r="J620" s="105"/>
      <c r="K620" s="106"/>
      <c r="L620" s="107"/>
    </row>
    <row r="621">
      <c r="G621" s="40"/>
      <c r="H621" s="42"/>
      <c r="I621" s="104"/>
      <c r="J621" s="105"/>
      <c r="K621" s="106"/>
      <c r="L621" s="107"/>
    </row>
    <row r="622">
      <c r="G622" s="40"/>
      <c r="H622" s="42"/>
      <c r="I622" s="104"/>
      <c r="J622" s="105"/>
      <c r="K622" s="106"/>
      <c r="L622" s="107"/>
    </row>
    <row r="623">
      <c r="G623" s="40"/>
      <c r="H623" s="42"/>
      <c r="I623" s="104"/>
      <c r="J623" s="105"/>
      <c r="K623" s="106"/>
      <c r="L623" s="107"/>
    </row>
    <row r="624">
      <c r="G624" s="40"/>
      <c r="H624" s="42"/>
      <c r="I624" s="104"/>
      <c r="J624" s="105"/>
      <c r="K624" s="106"/>
      <c r="L624" s="107"/>
    </row>
    <row r="625">
      <c r="G625" s="40"/>
      <c r="H625" s="42"/>
      <c r="I625" s="104"/>
      <c r="J625" s="105"/>
      <c r="K625" s="106"/>
      <c r="L625" s="107"/>
    </row>
    <row r="626">
      <c r="G626" s="40"/>
      <c r="H626" s="42"/>
      <c r="I626" s="104"/>
      <c r="J626" s="105"/>
      <c r="K626" s="106"/>
      <c r="L626" s="107"/>
    </row>
    <row r="627">
      <c r="G627" s="40"/>
      <c r="H627" s="42"/>
      <c r="I627" s="104"/>
      <c r="J627" s="105"/>
      <c r="K627" s="106"/>
      <c r="L627" s="107"/>
    </row>
    <row r="628">
      <c r="G628" s="40"/>
      <c r="H628" s="42"/>
      <c r="I628" s="104"/>
      <c r="J628" s="105"/>
      <c r="K628" s="106"/>
      <c r="L628" s="107"/>
    </row>
    <row r="629">
      <c r="G629" s="40"/>
      <c r="H629" s="42"/>
      <c r="I629" s="104"/>
      <c r="J629" s="105"/>
      <c r="K629" s="106"/>
      <c r="L629" s="107"/>
    </row>
    <row r="630">
      <c r="G630" s="40"/>
      <c r="H630" s="42"/>
      <c r="I630" s="104"/>
      <c r="J630" s="105"/>
      <c r="K630" s="106"/>
      <c r="L630" s="107"/>
    </row>
    <row r="631">
      <c r="G631" s="40"/>
      <c r="H631" s="42"/>
      <c r="I631" s="104"/>
      <c r="J631" s="105"/>
      <c r="K631" s="106"/>
      <c r="L631" s="107"/>
    </row>
    <row r="632">
      <c r="G632" s="40"/>
      <c r="H632" s="42"/>
      <c r="I632" s="104"/>
      <c r="J632" s="105"/>
      <c r="K632" s="106"/>
      <c r="L632" s="107"/>
    </row>
    <row r="633">
      <c r="G633" s="40"/>
      <c r="H633" s="42"/>
      <c r="I633" s="104"/>
      <c r="J633" s="105"/>
      <c r="K633" s="106"/>
      <c r="L633" s="107"/>
    </row>
    <row r="634">
      <c r="G634" s="40"/>
      <c r="H634" s="42"/>
      <c r="I634" s="104"/>
      <c r="J634" s="105"/>
      <c r="K634" s="106"/>
      <c r="L634" s="107"/>
    </row>
    <row r="635">
      <c r="G635" s="40"/>
      <c r="H635" s="42"/>
      <c r="I635" s="104"/>
      <c r="J635" s="105"/>
      <c r="K635" s="106"/>
      <c r="L635" s="107"/>
    </row>
    <row r="636">
      <c r="G636" s="40"/>
      <c r="H636" s="42"/>
      <c r="I636" s="104"/>
      <c r="J636" s="105"/>
      <c r="K636" s="106"/>
      <c r="L636" s="107"/>
    </row>
    <row r="637">
      <c r="G637" s="40"/>
      <c r="H637" s="42"/>
      <c r="I637" s="104"/>
      <c r="J637" s="105"/>
      <c r="K637" s="106"/>
      <c r="L637" s="107"/>
    </row>
    <row r="638">
      <c r="G638" s="40"/>
      <c r="H638" s="42"/>
      <c r="I638" s="104"/>
      <c r="J638" s="105"/>
      <c r="K638" s="106"/>
      <c r="L638" s="107"/>
    </row>
    <row r="639">
      <c r="G639" s="40"/>
      <c r="H639" s="42"/>
      <c r="I639" s="104"/>
      <c r="J639" s="105"/>
      <c r="K639" s="106"/>
      <c r="L639" s="107"/>
    </row>
    <row r="640">
      <c r="G640" s="40"/>
      <c r="H640" s="42"/>
      <c r="I640" s="104"/>
      <c r="J640" s="105"/>
      <c r="K640" s="106"/>
      <c r="L640" s="107"/>
    </row>
    <row r="641">
      <c r="G641" s="40"/>
      <c r="H641" s="42"/>
      <c r="I641" s="104"/>
      <c r="J641" s="105"/>
      <c r="K641" s="106"/>
      <c r="L641" s="107"/>
    </row>
    <row r="642">
      <c r="G642" s="40"/>
      <c r="H642" s="42"/>
      <c r="I642" s="104"/>
      <c r="J642" s="105"/>
      <c r="K642" s="106"/>
      <c r="L642" s="107"/>
    </row>
    <row r="643">
      <c r="G643" s="40"/>
      <c r="H643" s="42"/>
      <c r="I643" s="104"/>
      <c r="J643" s="105"/>
      <c r="K643" s="106"/>
      <c r="L643" s="107"/>
    </row>
    <row r="644">
      <c r="G644" s="40"/>
      <c r="H644" s="42"/>
      <c r="I644" s="104"/>
      <c r="J644" s="105"/>
      <c r="K644" s="106"/>
      <c r="L644" s="107"/>
    </row>
    <row r="645">
      <c r="G645" s="40"/>
      <c r="H645" s="42"/>
      <c r="I645" s="104"/>
      <c r="J645" s="105"/>
      <c r="K645" s="106"/>
      <c r="L645" s="107"/>
    </row>
    <row r="646">
      <c r="G646" s="40"/>
      <c r="H646" s="42"/>
      <c r="I646" s="104"/>
      <c r="J646" s="105"/>
      <c r="K646" s="106"/>
      <c r="L646" s="107"/>
    </row>
    <row r="647">
      <c r="G647" s="40"/>
      <c r="H647" s="42"/>
      <c r="I647" s="104"/>
      <c r="J647" s="105"/>
      <c r="K647" s="106"/>
      <c r="L647" s="107"/>
    </row>
    <row r="648">
      <c r="G648" s="40"/>
      <c r="H648" s="42"/>
      <c r="I648" s="104"/>
      <c r="J648" s="105"/>
      <c r="K648" s="106"/>
      <c r="L648" s="107"/>
    </row>
    <row r="649">
      <c r="G649" s="40"/>
      <c r="H649" s="42"/>
      <c r="I649" s="104"/>
      <c r="J649" s="105"/>
      <c r="K649" s="106"/>
      <c r="L649" s="107"/>
    </row>
    <row r="650">
      <c r="G650" s="40"/>
      <c r="H650" s="42"/>
      <c r="I650" s="104"/>
      <c r="J650" s="105"/>
      <c r="K650" s="106"/>
      <c r="L650" s="107"/>
    </row>
    <row r="651">
      <c r="G651" s="40"/>
      <c r="H651" s="42"/>
      <c r="I651" s="104"/>
      <c r="J651" s="105"/>
      <c r="K651" s="106"/>
      <c r="L651" s="107"/>
    </row>
    <row r="652">
      <c r="G652" s="40"/>
      <c r="H652" s="42"/>
      <c r="I652" s="104"/>
      <c r="J652" s="105"/>
      <c r="K652" s="106"/>
      <c r="L652" s="107"/>
    </row>
    <row r="653">
      <c r="G653" s="40"/>
      <c r="H653" s="42"/>
      <c r="I653" s="104"/>
      <c r="J653" s="105"/>
      <c r="K653" s="106"/>
      <c r="L653" s="107"/>
    </row>
    <row r="654">
      <c r="G654" s="40"/>
      <c r="H654" s="42"/>
      <c r="I654" s="104"/>
      <c r="J654" s="105"/>
      <c r="K654" s="106"/>
      <c r="L654" s="107"/>
    </row>
    <row r="655">
      <c r="G655" s="40"/>
      <c r="H655" s="42"/>
      <c r="I655" s="104"/>
      <c r="J655" s="105"/>
      <c r="K655" s="106"/>
      <c r="L655" s="107"/>
    </row>
    <row r="656">
      <c r="G656" s="40"/>
      <c r="H656" s="42"/>
      <c r="I656" s="104"/>
      <c r="J656" s="105"/>
      <c r="K656" s="106"/>
      <c r="L656" s="107"/>
    </row>
    <row r="657">
      <c r="G657" s="40"/>
      <c r="H657" s="42"/>
      <c r="I657" s="104"/>
      <c r="J657" s="105"/>
      <c r="K657" s="106"/>
      <c r="L657" s="107"/>
    </row>
    <row r="658">
      <c r="G658" s="40"/>
      <c r="H658" s="42"/>
      <c r="I658" s="104"/>
      <c r="J658" s="105"/>
      <c r="K658" s="106"/>
      <c r="L658" s="107"/>
    </row>
    <row r="659">
      <c r="G659" s="40"/>
      <c r="H659" s="42"/>
      <c r="I659" s="104"/>
      <c r="J659" s="105"/>
      <c r="K659" s="106"/>
      <c r="L659" s="107"/>
    </row>
    <row r="660">
      <c r="G660" s="40"/>
      <c r="H660" s="42"/>
      <c r="I660" s="104"/>
      <c r="J660" s="105"/>
      <c r="K660" s="106"/>
      <c r="L660" s="107"/>
    </row>
    <row r="661">
      <c r="G661" s="40"/>
      <c r="H661" s="42"/>
      <c r="I661" s="104"/>
      <c r="J661" s="105"/>
      <c r="K661" s="106"/>
      <c r="L661" s="107"/>
    </row>
    <row r="662">
      <c r="G662" s="40"/>
      <c r="H662" s="42"/>
      <c r="I662" s="104"/>
      <c r="J662" s="105"/>
      <c r="K662" s="106"/>
      <c r="L662" s="107"/>
    </row>
    <row r="663">
      <c r="G663" s="40"/>
      <c r="H663" s="42"/>
      <c r="I663" s="104"/>
      <c r="J663" s="105"/>
      <c r="K663" s="106"/>
      <c r="L663" s="107"/>
    </row>
    <row r="664">
      <c r="G664" s="40"/>
      <c r="H664" s="42"/>
      <c r="I664" s="104"/>
      <c r="J664" s="105"/>
      <c r="K664" s="106"/>
      <c r="L664" s="107"/>
    </row>
    <row r="665">
      <c r="G665" s="40"/>
      <c r="H665" s="42"/>
      <c r="I665" s="104"/>
      <c r="J665" s="105"/>
      <c r="K665" s="106"/>
      <c r="L665" s="107"/>
    </row>
    <row r="666">
      <c r="G666" s="40"/>
      <c r="H666" s="42"/>
      <c r="I666" s="104"/>
      <c r="J666" s="105"/>
      <c r="K666" s="106"/>
      <c r="L666" s="107"/>
    </row>
    <row r="667">
      <c r="G667" s="40"/>
      <c r="H667" s="42"/>
      <c r="I667" s="104"/>
      <c r="J667" s="105"/>
      <c r="K667" s="106"/>
      <c r="L667" s="107"/>
    </row>
    <row r="668">
      <c r="G668" s="40"/>
      <c r="H668" s="42"/>
      <c r="I668" s="104"/>
      <c r="J668" s="105"/>
      <c r="K668" s="106"/>
      <c r="L668" s="107"/>
    </row>
    <row r="669">
      <c r="G669" s="40"/>
      <c r="H669" s="42"/>
      <c r="I669" s="104"/>
      <c r="J669" s="105"/>
      <c r="K669" s="106"/>
      <c r="L669" s="107"/>
    </row>
    <row r="670">
      <c r="G670" s="40"/>
      <c r="H670" s="42"/>
      <c r="I670" s="104"/>
      <c r="J670" s="105"/>
      <c r="K670" s="106"/>
      <c r="L670" s="107"/>
    </row>
    <row r="671">
      <c r="G671" s="40"/>
      <c r="H671" s="42"/>
      <c r="I671" s="104"/>
      <c r="J671" s="105"/>
      <c r="K671" s="106"/>
      <c r="L671" s="107"/>
    </row>
    <row r="672">
      <c r="G672" s="40"/>
      <c r="H672" s="42"/>
      <c r="I672" s="104"/>
      <c r="J672" s="105"/>
      <c r="K672" s="106"/>
      <c r="L672" s="107"/>
    </row>
    <row r="673">
      <c r="G673" s="40"/>
      <c r="H673" s="42"/>
      <c r="I673" s="104"/>
      <c r="J673" s="105"/>
      <c r="K673" s="106"/>
      <c r="L673" s="107"/>
    </row>
    <row r="674">
      <c r="G674" s="40"/>
      <c r="H674" s="42"/>
      <c r="I674" s="104"/>
      <c r="J674" s="105"/>
      <c r="K674" s="106"/>
      <c r="L674" s="107"/>
    </row>
    <row r="675">
      <c r="G675" s="40"/>
      <c r="H675" s="42"/>
      <c r="I675" s="104"/>
      <c r="J675" s="105"/>
      <c r="K675" s="106"/>
      <c r="L675" s="107"/>
    </row>
    <row r="676">
      <c r="G676" s="40"/>
      <c r="H676" s="42"/>
      <c r="I676" s="104"/>
      <c r="J676" s="105"/>
      <c r="K676" s="106"/>
      <c r="L676" s="107"/>
    </row>
    <row r="677">
      <c r="G677" s="40"/>
      <c r="H677" s="42"/>
      <c r="I677" s="104"/>
      <c r="J677" s="105"/>
      <c r="K677" s="106"/>
      <c r="L677" s="107"/>
    </row>
    <row r="678">
      <c r="G678" s="40"/>
      <c r="H678" s="42"/>
      <c r="I678" s="104"/>
      <c r="J678" s="105"/>
      <c r="K678" s="106"/>
      <c r="L678" s="107"/>
    </row>
    <row r="679">
      <c r="G679" s="40"/>
      <c r="H679" s="42"/>
      <c r="I679" s="104"/>
      <c r="J679" s="105"/>
      <c r="K679" s="106"/>
      <c r="L679" s="107"/>
    </row>
    <row r="680">
      <c r="G680" s="40"/>
      <c r="H680" s="42"/>
      <c r="I680" s="104"/>
      <c r="J680" s="105"/>
      <c r="K680" s="106"/>
      <c r="L680" s="107"/>
    </row>
    <row r="681">
      <c r="G681" s="40"/>
      <c r="H681" s="42"/>
      <c r="I681" s="104"/>
      <c r="J681" s="105"/>
      <c r="K681" s="106"/>
      <c r="L681" s="107"/>
    </row>
    <row r="682">
      <c r="G682" s="40"/>
      <c r="H682" s="42"/>
      <c r="I682" s="104"/>
      <c r="J682" s="105"/>
      <c r="K682" s="106"/>
      <c r="L682" s="107"/>
    </row>
    <row r="683">
      <c r="G683" s="40"/>
      <c r="H683" s="42"/>
      <c r="I683" s="104"/>
      <c r="J683" s="105"/>
      <c r="K683" s="106"/>
      <c r="L683" s="107"/>
    </row>
    <row r="684">
      <c r="G684" s="40"/>
      <c r="H684" s="42"/>
      <c r="I684" s="104"/>
      <c r="J684" s="105"/>
      <c r="K684" s="106"/>
      <c r="L684" s="107"/>
    </row>
    <row r="685">
      <c r="G685" s="40"/>
      <c r="H685" s="42"/>
      <c r="I685" s="104"/>
      <c r="J685" s="105"/>
      <c r="K685" s="106"/>
      <c r="L685" s="107"/>
    </row>
    <row r="686">
      <c r="G686" s="40"/>
      <c r="H686" s="42"/>
      <c r="I686" s="104"/>
      <c r="J686" s="105"/>
      <c r="K686" s="106"/>
      <c r="L686" s="107"/>
    </row>
    <row r="687">
      <c r="G687" s="40"/>
      <c r="H687" s="42"/>
      <c r="I687" s="104"/>
      <c r="J687" s="105"/>
      <c r="K687" s="106"/>
      <c r="L687" s="107"/>
    </row>
    <row r="688">
      <c r="G688" s="40"/>
      <c r="H688" s="42"/>
      <c r="I688" s="104"/>
      <c r="J688" s="105"/>
      <c r="K688" s="106"/>
      <c r="L688" s="107"/>
    </row>
    <row r="689">
      <c r="G689" s="40"/>
      <c r="H689" s="42"/>
      <c r="I689" s="104"/>
      <c r="J689" s="105"/>
      <c r="K689" s="106"/>
      <c r="L689" s="107"/>
    </row>
    <row r="690">
      <c r="G690" s="40"/>
      <c r="H690" s="42"/>
      <c r="I690" s="104"/>
      <c r="J690" s="105"/>
      <c r="K690" s="106"/>
      <c r="L690" s="107"/>
    </row>
    <row r="691">
      <c r="G691" s="40"/>
      <c r="H691" s="42"/>
      <c r="I691" s="104"/>
      <c r="J691" s="105"/>
      <c r="K691" s="106"/>
      <c r="L691" s="107"/>
    </row>
    <row r="692">
      <c r="G692" s="40"/>
      <c r="H692" s="42"/>
      <c r="I692" s="104"/>
      <c r="J692" s="105"/>
      <c r="K692" s="106"/>
      <c r="L692" s="107"/>
    </row>
    <row r="693">
      <c r="G693" s="40"/>
      <c r="H693" s="42"/>
      <c r="I693" s="104"/>
      <c r="J693" s="105"/>
      <c r="K693" s="106"/>
      <c r="L693" s="107"/>
    </row>
    <row r="694">
      <c r="G694" s="40"/>
      <c r="H694" s="42"/>
      <c r="I694" s="104"/>
      <c r="J694" s="105"/>
      <c r="K694" s="106"/>
      <c r="L694" s="107"/>
    </row>
    <row r="695">
      <c r="G695" s="40"/>
      <c r="H695" s="42"/>
      <c r="I695" s="104"/>
      <c r="J695" s="105"/>
      <c r="K695" s="106"/>
      <c r="L695" s="107"/>
    </row>
    <row r="696">
      <c r="G696" s="40"/>
      <c r="H696" s="42"/>
      <c r="I696" s="104"/>
      <c r="J696" s="105"/>
      <c r="K696" s="106"/>
      <c r="L696" s="107"/>
    </row>
    <row r="697">
      <c r="G697" s="40"/>
      <c r="H697" s="42"/>
      <c r="I697" s="104"/>
      <c r="J697" s="105"/>
      <c r="K697" s="106"/>
      <c r="L697" s="107"/>
    </row>
    <row r="698">
      <c r="G698" s="40"/>
      <c r="H698" s="42"/>
      <c r="I698" s="104"/>
      <c r="J698" s="105"/>
      <c r="K698" s="106"/>
      <c r="L698" s="107"/>
    </row>
    <row r="699">
      <c r="G699" s="40"/>
      <c r="H699" s="42"/>
      <c r="I699" s="104"/>
      <c r="J699" s="105"/>
      <c r="K699" s="106"/>
      <c r="L699" s="107"/>
    </row>
    <row r="700">
      <c r="G700" s="40"/>
      <c r="H700" s="42"/>
      <c r="I700" s="104"/>
      <c r="J700" s="105"/>
      <c r="K700" s="106"/>
      <c r="L700" s="107"/>
    </row>
    <row r="701">
      <c r="G701" s="40"/>
      <c r="H701" s="42"/>
      <c r="I701" s="104"/>
      <c r="J701" s="105"/>
      <c r="K701" s="106"/>
      <c r="L701" s="107"/>
    </row>
    <row r="702">
      <c r="G702" s="40"/>
      <c r="H702" s="42"/>
      <c r="I702" s="104"/>
      <c r="J702" s="105"/>
      <c r="K702" s="106"/>
      <c r="L702" s="107"/>
    </row>
    <row r="703">
      <c r="G703" s="40"/>
      <c r="H703" s="42"/>
      <c r="I703" s="104"/>
      <c r="J703" s="105"/>
      <c r="K703" s="106"/>
      <c r="L703" s="107"/>
    </row>
    <row r="704">
      <c r="G704" s="40"/>
      <c r="H704" s="42"/>
      <c r="I704" s="104"/>
      <c r="J704" s="105"/>
      <c r="K704" s="106"/>
      <c r="L704" s="107"/>
    </row>
    <row r="705">
      <c r="G705" s="40"/>
      <c r="H705" s="42"/>
      <c r="I705" s="104"/>
      <c r="J705" s="105"/>
      <c r="K705" s="106"/>
      <c r="L705" s="107"/>
    </row>
    <row r="706">
      <c r="G706" s="40"/>
      <c r="H706" s="42"/>
      <c r="I706" s="104"/>
      <c r="J706" s="105"/>
      <c r="K706" s="106"/>
      <c r="L706" s="107"/>
    </row>
    <row r="707">
      <c r="G707" s="40"/>
      <c r="H707" s="42"/>
      <c r="I707" s="104"/>
      <c r="J707" s="105"/>
      <c r="K707" s="106"/>
      <c r="L707" s="107"/>
    </row>
    <row r="708">
      <c r="G708" s="40"/>
      <c r="H708" s="42"/>
      <c r="I708" s="104"/>
      <c r="J708" s="105"/>
      <c r="K708" s="106"/>
      <c r="L708" s="107"/>
    </row>
    <row r="709">
      <c r="G709" s="40"/>
      <c r="H709" s="42"/>
      <c r="I709" s="104"/>
      <c r="J709" s="105"/>
      <c r="K709" s="106"/>
      <c r="L709" s="107"/>
    </row>
    <row r="710">
      <c r="G710" s="40"/>
      <c r="H710" s="42"/>
      <c r="I710" s="104"/>
      <c r="J710" s="105"/>
      <c r="K710" s="106"/>
      <c r="L710" s="107"/>
    </row>
    <row r="711">
      <c r="G711" s="40"/>
      <c r="H711" s="42"/>
      <c r="I711" s="104"/>
      <c r="J711" s="105"/>
      <c r="K711" s="106"/>
      <c r="L711" s="107"/>
    </row>
    <row r="712">
      <c r="G712" s="40"/>
      <c r="H712" s="42"/>
      <c r="I712" s="104"/>
      <c r="J712" s="105"/>
      <c r="K712" s="106"/>
      <c r="L712" s="107"/>
    </row>
    <row r="713">
      <c r="G713" s="40"/>
      <c r="H713" s="42"/>
      <c r="I713" s="104"/>
      <c r="J713" s="105"/>
      <c r="K713" s="106"/>
      <c r="L713" s="107"/>
    </row>
    <row r="714">
      <c r="G714" s="40"/>
      <c r="H714" s="42"/>
      <c r="I714" s="104"/>
      <c r="J714" s="105"/>
      <c r="K714" s="106"/>
      <c r="L714" s="107"/>
    </row>
    <row r="715">
      <c r="G715" s="40"/>
      <c r="H715" s="42"/>
      <c r="I715" s="104"/>
      <c r="J715" s="105"/>
      <c r="K715" s="106"/>
      <c r="L715" s="107"/>
    </row>
    <row r="716">
      <c r="G716" s="40"/>
      <c r="H716" s="42"/>
      <c r="I716" s="104"/>
      <c r="J716" s="105"/>
      <c r="K716" s="106"/>
      <c r="L716" s="107"/>
    </row>
    <row r="717">
      <c r="G717" s="40"/>
      <c r="H717" s="42"/>
      <c r="I717" s="104"/>
      <c r="J717" s="105"/>
      <c r="K717" s="106"/>
      <c r="L717" s="107"/>
    </row>
    <row r="718">
      <c r="G718" s="40"/>
      <c r="H718" s="42"/>
      <c r="I718" s="104"/>
      <c r="J718" s="105"/>
      <c r="K718" s="106"/>
      <c r="L718" s="107"/>
    </row>
    <row r="719">
      <c r="G719" s="40"/>
      <c r="H719" s="42"/>
      <c r="I719" s="104"/>
      <c r="J719" s="105"/>
      <c r="K719" s="106"/>
      <c r="L719" s="107"/>
    </row>
    <row r="720">
      <c r="G720" s="40"/>
      <c r="H720" s="42"/>
      <c r="I720" s="104"/>
      <c r="J720" s="105"/>
      <c r="K720" s="106"/>
      <c r="L720" s="107"/>
    </row>
    <row r="721">
      <c r="G721" s="40"/>
      <c r="H721" s="42"/>
      <c r="I721" s="104"/>
      <c r="J721" s="105"/>
      <c r="K721" s="106"/>
      <c r="L721" s="107"/>
    </row>
    <row r="722">
      <c r="G722" s="40"/>
      <c r="H722" s="42"/>
      <c r="I722" s="104"/>
      <c r="J722" s="105"/>
      <c r="K722" s="106"/>
      <c r="L722" s="107"/>
    </row>
    <row r="723">
      <c r="G723" s="40"/>
      <c r="H723" s="42"/>
      <c r="I723" s="104"/>
      <c r="J723" s="105"/>
      <c r="K723" s="106"/>
      <c r="L723" s="107"/>
    </row>
    <row r="724">
      <c r="G724" s="40"/>
      <c r="H724" s="42"/>
      <c r="I724" s="104"/>
      <c r="J724" s="105"/>
      <c r="K724" s="106"/>
      <c r="L724" s="107"/>
    </row>
    <row r="725">
      <c r="G725" s="40"/>
      <c r="H725" s="42"/>
      <c r="I725" s="104"/>
      <c r="J725" s="105"/>
      <c r="K725" s="106"/>
      <c r="L725" s="107"/>
    </row>
    <row r="726">
      <c r="G726" s="40"/>
      <c r="H726" s="42"/>
      <c r="I726" s="104"/>
      <c r="J726" s="105"/>
      <c r="K726" s="106"/>
      <c r="L726" s="107"/>
    </row>
    <row r="727">
      <c r="G727" s="40"/>
      <c r="H727" s="42"/>
      <c r="I727" s="104"/>
      <c r="J727" s="105"/>
      <c r="K727" s="106"/>
      <c r="L727" s="107"/>
    </row>
    <row r="728">
      <c r="G728" s="40"/>
      <c r="H728" s="42"/>
      <c r="I728" s="104"/>
      <c r="J728" s="105"/>
      <c r="K728" s="106"/>
      <c r="L728" s="107"/>
    </row>
    <row r="729">
      <c r="G729" s="40"/>
      <c r="H729" s="42"/>
      <c r="I729" s="104"/>
      <c r="J729" s="105"/>
      <c r="K729" s="106"/>
      <c r="L729" s="107"/>
    </row>
    <row r="730">
      <c r="G730" s="40"/>
      <c r="H730" s="42"/>
      <c r="I730" s="104"/>
      <c r="J730" s="105"/>
      <c r="K730" s="106"/>
      <c r="L730" s="107"/>
    </row>
    <row r="731">
      <c r="G731" s="40"/>
      <c r="H731" s="42"/>
      <c r="I731" s="104"/>
      <c r="J731" s="105"/>
      <c r="K731" s="106"/>
      <c r="L731" s="107"/>
    </row>
    <row r="732">
      <c r="G732" s="40"/>
      <c r="H732" s="42"/>
      <c r="I732" s="104"/>
      <c r="J732" s="105"/>
      <c r="K732" s="106"/>
      <c r="L732" s="107"/>
    </row>
    <row r="733">
      <c r="G733" s="40"/>
      <c r="H733" s="42"/>
      <c r="I733" s="104"/>
      <c r="J733" s="105"/>
      <c r="K733" s="106"/>
      <c r="L733" s="107"/>
    </row>
    <row r="734">
      <c r="G734" s="40"/>
      <c r="H734" s="42"/>
      <c r="I734" s="104"/>
      <c r="J734" s="105"/>
      <c r="K734" s="106"/>
      <c r="L734" s="107"/>
    </row>
    <row r="735">
      <c r="G735" s="40"/>
      <c r="H735" s="42"/>
      <c r="I735" s="104"/>
      <c r="J735" s="105"/>
      <c r="K735" s="106"/>
      <c r="L735" s="107"/>
    </row>
    <row r="736">
      <c r="G736" s="40"/>
      <c r="H736" s="42"/>
      <c r="I736" s="104"/>
      <c r="J736" s="105"/>
      <c r="K736" s="106"/>
      <c r="L736" s="107"/>
    </row>
    <row r="737">
      <c r="G737" s="40"/>
      <c r="H737" s="42"/>
      <c r="I737" s="104"/>
      <c r="J737" s="105"/>
      <c r="K737" s="106"/>
      <c r="L737" s="107"/>
    </row>
    <row r="738">
      <c r="G738" s="40"/>
      <c r="H738" s="42"/>
      <c r="I738" s="104"/>
      <c r="J738" s="105"/>
      <c r="K738" s="106"/>
      <c r="L738" s="107"/>
    </row>
    <row r="739">
      <c r="G739" s="40"/>
      <c r="H739" s="42"/>
      <c r="I739" s="104"/>
      <c r="J739" s="105"/>
      <c r="K739" s="106"/>
      <c r="L739" s="107"/>
    </row>
    <row r="740">
      <c r="G740" s="40"/>
      <c r="H740" s="42"/>
      <c r="I740" s="104"/>
      <c r="J740" s="105"/>
      <c r="K740" s="106"/>
      <c r="L740" s="107"/>
    </row>
    <row r="741">
      <c r="G741" s="40"/>
      <c r="H741" s="42"/>
      <c r="I741" s="104"/>
      <c r="J741" s="105"/>
      <c r="K741" s="106"/>
      <c r="L741" s="107"/>
    </row>
    <row r="742">
      <c r="G742" s="40"/>
      <c r="H742" s="42"/>
      <c r="I742" s="104"/>
      <c r="J742" s="105"/>
      <c r="K742" s="106"/>
      <c r="L742" s="107"/>
    </row>
    <row r="743">
      <c r="G743" s="40"/>
      <c r="H743" s="42"/>
      <c r="I743" s="104"/>
      <c r="J743" s="105"/>
      <c r="K743" s="106"/>
      <c r="L743" s="107"/>
    </row>
    <row r="744">
      <c r="G744" s="40"/>
      <c r="H744" s="42"/>
      <c r="I744" s="104"/>
      <c r="J744" s="105"/>
      <c r="K744" s="106"/>
      <c r="L744" s="107"/>
    </row>
    <row r="745">
      <c r="G745" s="40"/>
      <c r="H745" s="42"/>
      <c r="I745" s="104"/>
      <c r="J745" s="105"/>
      <c r="K745" s="106"/>
      <c r="L745" s="107"/>
    </row>
    <row r="746">
      <c r="G746" s="40"/>
      <c r="H746" s="42"/>
      <c r="I746" s="104"/>
      <c r="J746" s="105"/>
      <c r="K746" s="106"/>
      <c r="L746" s="107"/>
    </row>
    <row r="747">
      <c r="G747" s="40"/>
      <c r="H747" s="42"/>
      <c r="I747" s="104"/>
      <c r="J747" s="105"/>
      <c r="K747" s="106"/>
      <c r="L747" s="107"/>
    </row>
    <row r="748">
      <c r="G748" s="40"/>
      <c r="H748" s="42"/>
      <c r="I748" s="104"/>
      <c r="J748" s="105"/>
      <c r="K748" s="106"/>
      <c r="L748" s="107"/>
    </row>
    <row r="749">
      <c r="G749" s="40"/>
      <c r="H749" s="42"/>
      <c r="I749" s="104"/>
      <c r="J749" s="105"/>
      <c r="K749" s="106"/>
      <c r="L749" s="107"/>
    </row>
    <row r="750">
      <c r="G750" s="40"/>
      <c r="H750" s="42"/>
      <c r="I750" s="104"/>
      <c r="J750" s="105"/>
      <c r="K750" s="106"/>
      <c r="L750" s="107"/>
    </row>
    <row r="751">
      <c r="G751" s="40"/>
      <c r="H751" s="42"/>
      <c r="I751" s="104"/>
      <c r="J751" s="105"/>
      <c r="K751" s="106"/>
      <c r="L751" s="107"/>
    </row>
    <row r="752">
      <c r="G752" s="40"/>
      <c r="H752" s="42"/>
      <c r="I752" s="104"/>
      <c r="J752" s="105"/>
      <c r="K752" s="106"/>
      <c r="L752" s="107"/>
    </row>
    <row r="753">
      <c r="G753" s="40"/>
      <c r="H753" s="42"/>
      <c r="I753" s="104"/>
      <c r="J753" s="105"/>
      <c r="K753" s="106"/>
      <c r="L753" s="107"/>
    </row>
    <row r="754">
      <c r="G754" s="40"/>
      <c r="H754" s="42"/>
      <c r="I754" s="104"/>
      <c r="J754" s="105"/>
      <c r="K754" s="106"/>
      <c r="L754" s="107"/>
    </row>
    <row r="755">
      <c r="G755" s="40"/>
      <c r="H755" s="42"/>
      <c r="I755" s="104"/>
      <c r="J755" s="105"/>
      <c r="K755" s="106"/>
      <c r="L755" s="107"/>
    </row>
    <row r="756">
      <c r="G756" s="40"/>
      <c r="H756" s="42"/>
      <c r="I756" s="104"/>
      <c r="J756" s="105"/>
      <c r="K756" s="106"/>
      <c r="L756" s="107"/>
    </row>
    <row r="757">
      <c r="G757" s="40"/>
      <c r="H757" s="42"/>
      <c r="I757" s="104"/>
      <c r="J757" s="105"/>
      <c r="K757" s="106"/>
      <c r="L757" s="107"/>
    </row>
    <row r="758">
      <c r="G758" s="40"/>
      <c r="H758" s="42"/>
      <c r="I758" s="104"/>
      <c r="J758" s="105"/>
      <c r="K758" s="106"/>
      <c r="L758" s="107"/>
    </row>
    <row r="759">
      <c r="G759" s="40"/>
      <c r="H759" s="42"/>
      <c r="I759" s="104"/>
      <c r="J759" s="105"/>
      <c r="K759" s="106"/>
      <c r="L759" s="107"/>
    </row>
    <row r="760">
      <c r="G760" s="40"/>
      <c r="H760" s="42"/>
      <c r="I760" s="104"/>
      <c r="J760" s="105"/>
      <c r="K760" s="106"/>
      <c r="L760" s="107"/>
    </row>
    <row r="761">
      <c r="G761" s="40"/>
      <c r="H761" s="42"/>
      <c r="I761" s="104"/>
      <c r="J761" s="105"/>
      <c r="K761" s="106"/>
      <c r="L761" s="107"/>
    </row>
    <row r="762">
      <c r="G762" s="40"/>
      <c r="H762" s="42"/>
      <c r="I762" s="104"/>
      <c r="J762" s="105"/>
      <c r="K762" s="106"/>
      <c r="L762" s="107"/>
    </row>
    <row r="763">
      <c r="G763" s="40"/>
      <c r="H763" s="42"/>
      <c r="I763" s="104"/>
      <c r="J763" s="105"/>
      <c r="K763" s="106"/>
      <c r="L763" s="107"/>
    </row>
    <row r="764">
      <c r="G764" s="40"/>
      <c r="H764" s="42"/>
      <c r="I764" s="104"/>
      <c r="J764" s="105"/>
      <c r="K764" s="106"/>
      <c r="L764" s="107"/>
    </row>
    <row r="765">
      <c r="G765" s="40"/>
      <c r="H765" s="42"/>
      <c r="I765" s="104"/>
      <c r="J765" s="105"/>
      <c r="K765" s="106"/>
      <c r="L765" s="107"/>
    </row>
    <row r="766">
      <c r="G766" s="40"/>
      <c r="H766" s="42"/>
      <c r="I766" s="104"/>
      <c r="J766" s="105"/>
      <c r="K766" s="106"/>
      <c r="L766" s="107"/>
    </row>
    <row r="767">
      <c r="G767" s="40"/>
      <c r="H767" s="42"/>
      <c r="I767" s="104"/>
      <c r="J767" s="105"/>
      <c r="K767" s="106"/>
      <c r="L767" s="107"/>
    </row>
    <row r="768">
      <c r="G768" s="40"/>
      <c r="H768" s="42"/>
      <c r="I768" s="104"/>
      <c r="J768" s="105"/>
      <c r="K768" s="106"/>
      <c r="L768" s="107"/>
    </row>
    <row r="769">
      <c r="G769" s="40"/>
      <c r="H769" s="42"/>
      <c r="I769" s="104"/>
      <c r="J769" s="105"/>
      <c r="K769" s="106"/>
      <c r="L769" s="107"/>
    </row>
    <row r="770">
      <c r="G770" s="40"/>
      <c r="H770" s="42"/>
      <c r="I770" s="104"/>
      <c r="J770" s="105"/>
      <c r="K770" s="106"/>
      <c r="L770" s="107"/>
    </row>
    <row r="771">
      <c r="G771" s="40"/>
      <c r="H771" s="42"/>
      <c r="I771" s="104"/>
      <c r="J771" s="105"/>
      <c r="K771" s="106"/>
      <c r="L771" s="107"/>
    </row>
    <row r="772">
      <c r="G772" s="40"/>
      <c r="H772" s="42"/>
      <c r="I772" s="104"/>
      <c r="J772" s="105"/>
      <c r="K772" s="106"/>
      <c r="L772" s="107"/>
    </row>
    <row r="773">
      <c r="G773" s="40"/>
      <c r="H773" s="42"/>
      <c r="I773" s="104"/>
      <c r="J773" s="105"/>
      <c r="K773" s="106"/>
      <c r="L773" s="107"/>
    </row>
    <row r="774">
      <c r="G774" s="40"/>
      <c r="H774" s="42"/>
      <c r="I774" s="104"/>
      <c r="J774" s="105"/>
      <c r="K774" s="106"/>
      <c r="L774" s="107"/>
    </row>
    <row r="775">
      <c r="G775" s="40"/>
      <c r="H775" s="42"/>
      <c r="I775" s="104"/>
      <c r="J775" s="105"/>
      <c r="K775" s="106"/>
      <c r="L775" s="107"/>
    </row>
    <row r="776">
      <c r="G776" s="40"/>
      <c r="H776" s="42"/>
      <c r="I776" s="104"/>
      <c r="J776" s="105"/>
      <c r="K776" s="106"/>
      <c r="L776" s="107"/>
    </row>
    <row r="777">
      <c r="G777" s="40"/>
      <c r="H777" s="42"/>
      <c r="I777" s="104"/>
      <c r="J777" s="105"/>
      <c r="K777" s="106"/>
      <c r="L777" s="107"/>
    </row>
    <row r="778">
      <c r="G778" s="40"/>
      <c r="H778" s="42"/>
      <c r="I778" s="104"/>
      <c r="J778" s="105"/>
      <c r="K778" s="106"/>
      <c r="L778" s="107"/>
    </row>
    <row r="779">
      <c r="G779" s="40"/>
      <c r="H779" s="42"/>
      <c r="I779" s="104"/>
      <c r="J779" s="105"/>
      <c r="K779" s="106"/>
      <c r="L779" s="107"/>
    </row>
    <row r="780">
      <c r="G780" s="40"/>
      <c r="H780" s="42"/>
      <c r="I780" s="104"/>
      <c r="J780" s="105"/>
      <c r="K780" s="106"/>
      <c r="L780" s="107"/>
    </row>
    <row r="781">
      <c r="G781" s="40"/>
      <c r="H781" s="42"/>
      <c r="I781" s="104"/>
      <c r="J781" s="105"/>
      <c r="K781" s="106"/>
      <c r="L781" s="107"/>
    </row>
    <row r="782">
      <c r="G782" s="40"/>
      <c r="H782" s="42"/>
      <c r="I782" s="104"/>
      <c r="J782" s="105"/>
      <c r="K782" s="106"/>
      <c r="L782" s="107"/>
    </row>
    <row r="783">
      <c r="G783" s="40"/>
      <c r="H783" s="42"/>
      <c r="I783" s="104"/>
      <c r="J783" s="105"/>
      <c r="K783" s="106"/>
      <c r="L783" s="107"/>
    </row>
    <row r="784">
      <c r="G784" s="40"/>
      <c r="H784" s="42"/>
      <c r="I784" s="104"/>
      <c r="J784" s="105"/>
      <c r="K784" s="106"/>
      <c r="L784" s="107"/>
    </row>
    <row r="785">
      <c r="G785" s="40"/>
      <c r="H785" s="42"/>
      <c r="I785" s="104"/>
      <c r="J785" s="105"/>
      <c r="K785" s="106"/>
      <c r="L785" s="107"/>
    </row>
    <row r="786">
      <c r="G786" s="40"/>
      <c r="H786" s="42"/>
      <c r="I786" s="104"/>
      <c r="J786" s="105"/>
      <c r="K786" s="106"/>
      <c r="L786" s="107"/>
    </row>
    <row r="787">
      <c r="G787" s="40"/>
      <c r="H787" s="42"/>
      <c r="I787" s="104"/>
      <c r="J787" s="105"/>
      <c r="K787" s="106"/>
      <c r="L787" s="107"/>
    </row>
    <row r="788">
      <c r="G788" s="40"/>
      <c r="H788" s="42"/>
      <c r="I788" s="104"/>
      <c r="J788" s="105"/>
      <c r="K788" s="106"/>
      <c r="L788" s="107"/>
    </row>
    <row r="789">
      <c r="G789" s="40"/>
      <c r="H789" s="42"/>
      <c r="I789" s="104"/>
      <c r="J789" s="105"/>
      <c r="K789" s="106"/>
      <c r="L789" s="107"/>
    </row>
    <row r="790">
      <c r="G790" s="40"/>
      <c r="H790" s="42"/>
      <c r="I790" s="104"/>
      <c r="J790" s="105"/>
      <c r="K790" s="106"/>
      <c r="L790" s="107"/>
    </row>
    <row r="791">
      <c r="G791" s="40"/>
      <c r="H791" s="42"/>
      <c r="I791" s="104"/>
      <c r="J791" s="105"/>
      <c r="K791" s="106"/>
      <c r="L791" s="107"/>
    </row>
    <row r="792">
      <c r="G792" s="40"/>
      <c r="H792" s="42"/>
      <c r="I792" s="104"/>
      <c r="J792" s="105"/>
      <c r="K792" s="106"/>
      <c r="L792" s="107"/>
    </row>
    <row r="793">
      <c r="G793" s="40"/>
      <c r="H793" s="42"/>
      <c r="I793" s="104"/>
      <c r="J793" s="105"/>
      <c r="K793" s="106"/>
      <c r="L793" s="107"/>
    </row>
    <row r="794">
      <c r="G794" s="40"/>
      <c r="H794" s="42"/>
      <c r="I794" s="104"/>
      <c r="J794" s="105"/>
      <c r="K794" s="106"/>
      <c r="L794" s="107"/>
    </row>
    <row r="795">
      <c r="G795" s="40"/>
      <c r="H795" s="42"/>
      <c r="I795" s="104"/>
      <c r="J795" s="105"/>
      <c r="K795" s="106"/>
      <c r="L795" s="107"/>
    </row>
    <row r="796">
      <c r="G796" s="40"/>
      <c r="H796" s="42"/>
      <c r="I796" s="104"/>
      <c r="J796" s="105"/>
      <c r="K796" s="106"/>
      <c r="L796" s="107"/>
    </row>
    <row r="797">
      <c r="G797" s="40"/>
      <c r="H797" s="42"/>
      <c r="I797" s="104"/>
      <c r="J797" s="105"/>
      <c r="K797" s="106"/>
      <c r="L797" s="107"/>
    </row>
    <row r="798">
      <c r="G798" s="40"/>
      <c r="H798" s="42"/>
      <c r="I798" s="104"/>
      <c r="J798" s="105"/>
      <c r="K798" s="106"/>
      <c r="L798" s="107"/>
    </row>
    <row r="799">
      <c r="G799" s="40"/>
      <c r="H799" s="42"/>
      <c r="I799" s="104"/>
      <c r="J799" s="105"/>
      <c r="K799" s="106"/>
      <c r="L799" s="107"/>
    </row>
    <row r="800">
      <c r="G800" s="40"/>
      <c r="H800" s="42"/>
      <c r="I800" s="104"/>
      <c r="J800" s="105"/>
      <c r="K800" s="106"/>
      <c r="L800" s="107"/>
    </row>
    <row r="801">
      <c r="G801" s="40"/>
      <c r="H801" s="42"/>
      <c r="I801" s="104"/>
      <c r="J801" s="105"/>
      <c r="K801" s="106"/>
      <c r="L801" s="107"/>
    </row>
    <row r="802">
      <c r="G802" s="40"/>
      <c r="H802" s="42"/>
      <c r="I802" s="104"/>
      <c r="J802" s="105"/>
      <c r="K802" s="106"/>
      <c r="L802" s="107"/>
    </row>
    <row r="803">
      <c r="G803" s="40"/>
      <c r="H803" s="42"/>
      <c r="I803" s="104"/>
      <c r="J803" s="105"/>
      <c r="K803" s="106"/>
      <c r="L803" s="107"/>
    </row>
    <row r="804">
      <c r="G804" s="40"/>
      <c r="H804" s="42"/>
      <c r="I804" s="104"/>
      <c r="J804" s="105"/>
      <c r="K804" s="106"/>
      <c r="L804" s="107"/>
    </row>
    <row r="805">
      <c r="G805" s="40"/>
      <c r="H805" s="42"/>
      <c r="I805" s="104"/>
      <c r="J805" s="105"/>
      <c r="K805" s="106"/>
      <c r="L805" s="107"/>
    </row>
    <row r="806">
      <c r="G806" s="40"/>
      <c r="H806" s="42"/>
      <c r="I806" s="104"/>
      <c r="J806" s="105"/>
      <c r="K806" s="106"/>
      <c r="L806" s="107"/>
    </row>
    <row r="807">
      <c r="G807" s="40"/>
      <c r="H807" s="42"/>
      <c r="I807" s="104"/>
      <c r="J807" s="105"/>
      <c r="K807" s="106"/>
      <c r="L807" s="107"/>
    </row>
    <row r="808">
      <c r="G808" s="40"/>
      <c r="H808" s="42"/>
      <c r="I808" s="104"/>
      <c r="J808" s="105"/>
      <c r="K808" s="106"/>
      <c r="L808" s="107"/>
    </row>
    <row r="809">
      <c r="G809" s="40"/>
      <c r="H809" s="42"/>
      <c r="I809" s="104"/>
      <c r="J809" s="105"/>
      <c r="K809" s="106"/>
      <c r="L809" s="107"/>
    </row>
    <row r="810">
      <c r="G810" s="40"/>
      <c r="H810" s="42"/>
      <c r="I810" s="104"/>
      <c r="J810" s="105"/>
      <c r="K810" s="106"/>
      <c r="L810" s="107"/>
    </row>
    <row r="811">
      <c r="G811" s="40"/>
      <c r="H811" s="42"/>
      <c r="I811" s="104"/>
      <c r="J811" s="105"/>
      <c r="K811" s="106"/>
      <c r="L811" s="107"/>
    </row>
    <row r="812">
      <c r="G812" s="40"/>
      <c r="H812" s="42"/>
      <c r="I812" s="104"/>
      <c r="J812" s="105"/>
      <c r="K812" s="106"/>
      <c r="L812" s="107"/>
    </row>
    <row r="813">
      <c r="G813" s="40"/>
      <c r="H813" s="42"/>
      <c r="I813" s="104"/>
      <c r="J813" s="105"/>
      <c r="K813" s="106"/>
      <c r="L813" s="107"/>
    </row>
    <row r="814">
      <c r="G814" s="40"/>
      <c r="H814" s="42"/>
      <c r="I814" s="104"/>
      <c r="J814" s="105"/>
      <c r="K814" s="106"/>
      <c r="L814" s="107"/>
    </row>
    <row r="815">
      <c r="G815" s="40"/>
      <c r="H815" s="42"/>
      <c r="I815" s="104"/>
      <c r="J815" s="105"/>
      <c r="K815" s="106"/>
      <c r="L815" s="107"/>
    </row>
    <row r="816">
      <c r="G816" s="40"/>
      <c r="H816" s="42"/>
      <c r="I816" s="104"/>
      <c r="J816" s="105"/>
      <c r="K816" s="106"/>
      <c r="L816" s="107"/>
    </row>
    <row r="817">
      <c r="G817" s="40"/>
      <c r="H817" s="42"/>
      <c r="I817" s="104"/>
      <c r="J817" s="105"/>
      <c r="K817" s="106"/>
      <c r="L817" s="107"/>
    </row>
    <row r="818">
      <c r="G818" s="40"/>
      <c r="H818" s="42"/>
      <c r="I818" s="104"/>
      <c r="J818" s="105"/>
      <c r="K818" s="106"/>
      <c r="L818" s="107"/>
    </row>
    <row r="819">
      <c r="G819" s="40"/>
      <c r="H819" s="42"/>
      <c r="I819" s="104"/>
      <c r="J819" s="105"/>
      <c r="K819" s="106"/>
      <c r="L819" s="107"/>
    </row>
    <row r="820">
      <c r="G820" s="40"/>
      <c r="H820" s="42"/>
      <c r="I820" s="104"/>
      <c r="J820" s="105"/>
      <c r="K820" s="106"/>
      <c r="L820" s="107"/>
    </row>
    <row r="821">
      <c r="G821" s="40"/>
      <c r="H821" s="42"/>
      <c r="I821" s="104"/>
      <c r="J821" s="105"/>
      <c r="K821" s="106"/>
      <c r="L821" s="107"/>
    </row>
    <row r="822">
      <c r="G822" s="40"/>
      <c r="H822" s="42"/>
      <c r="I822" s="104"/>
      <c r="J822" s="105"/>
      <c r="K822" s="106"/>
      <c r="L822" s="107"/>
    </row>
    <row r="823">
      <c r="G823" s="40"/>
      <c r="H823" s="42"/>
      <c r="I823" s="104"/>
      <c r="J823" s="105"/>
      <c r="K823" s="106"/>
      <c r="L823" s="107"/>
    </row>
    <row r="824">
      <c r="G824" s="40"/>
      <c r="H824" s="42"/>
      <c r="I824" s="104"/>
      <c r="J824" s="105"/>
      <c r="K824" s="106"/>
      <c r="L824" s="107"/>
    </row>
    <row r="825">
      <c r="G825" s="40"/>
      <c r="H825" s="42"/>
      <c r="I825" s="104"/>
      <c r="J825" s="105"/>
      <c r="K825" s="106"/>
      <c r="L825" s="107"/>
    </row>
    <row r="826">
      <c r="G826" s="40"/>
      <c r="H826" s="42"/>
      <c r="I826" s="104"/>
      <c r="J826" s="105"/>
      <c r="K826" s="106"/>
      <c r="L826" s="107"/>
    </row>
    <row r="827">
      <c r="G827" s="40"/>
      <c r="H827" s="42"/>
      <c r="I827" s="104"/>
      <c r="J827" s="105"/>
      <c r="K827" s="106"/>
      <c r="L827" s="107"/>
    </row>
    <row r="828">
      <c r="G828" s="40"/>
      <c r="H828" s="42"/>
      <c r="I828" s="104"/>
      <c r="J828" s="105"/>
      <c r="K828" s="106"/>
      <c r="L828" s="107"/>
    </row>
    <row r="829">
      <c r="G829" s="40"/>
      <c r="H829" s="42"/>
      <c r="I829" s="104"/>
      <c r="J829" s="105"/>
      <c r="K829" s="106"/>
      <c r="L829" s="107"/>
    </row>
    <row r="830">
      <c r="G830" s="40"/>
      <c r="H830" s="42"/>
      <c r="I830" s="104"/>
      <c r="J830" s="105"/>
      <c r="K830" s="106"/>
      <c r="L830" s="107"/>
    </row>
    <row r="831">
      <c r="G831" s="40"/>
      <c r="H831" s="42"/>
      <c r="I831" s="104"/>
      <c r="J831" s="105"/>
      <c r="K831" s="106"/>
      <c r="L831" s="107"/>
    </row>
    <row r="832">
      <c r="G832" s="40"/>
      <c r="H832" s="42"/>
      <c r="I832" s="104"/>
      <c r="J832" s="105"/>
      <c r="K832" s="106"/>
      <c r="L832" s="107"/>
    </row>
    <row r="833">
      <c r="G833" s="40"/>
      <c r="H833" s="42"/>
      <c r="I833" s="104"/>
      <c r="J833" s="105"/>
      <c r="K833" s="106"/>
      <c r="L833" s="107"/>
    </row>
    <row r="834">
      <c r="G834" s="40"/>
      <c r="H834" s="42"/>
      <c r="I834" s="104"/>
      <c r="J834" s="105"/>
      <c r="K834" s="106"/>
      <c r="L834" s="107"/>
    </row>
    <row r="835">
      <c r="G835" s="40"/>
      <c r="H835" s="42"/>
      <c r="I835" s="104"/>
      <c r="J835" s="105"/>
      <c r="K835" s="106"/>
      <c r="L835" s="107"/>
    </row>
    <row r="836">
      <c r="G836" s="40"/>
      <c r="H836" s="42"/>
      <c r="I836" s="104"/>
      <c r="J836" s="105"/>
      <c r="K836" s="106"/>
      <c r="L836" s="107"/>
    </row>
    <row r="837">
      <c r="G837" s="40"/>
      <c r="H837" s="42"/>
      <c r="I837" s="104"/>
      <c r="J837" s="105"/>
      <c r="K837" s="106"/>
      <c r="L837" s="107"/>
    </row>
    <row r="838">
      <c r="G838" s="40"/>
      <c r="H838" s="42"/>
      <c r="I838" s="104"/>
      <c r="J838" s="105"/>
      <c r="K838" s="106"/>
      <c r="L838" s="107"/>
    </row>
    <row r="839">
      <c r="G839" s="40"/>
      <c r="H839" s="42"/>
      <c r="I839" s="104"/>
      <c r="J839" s="105"/>
      <c r="K839" s="106"/>
      <c r="L839" s="107"/>
    </row>
    <row r="840">
      <c r="G840" s="40"/>
      <c r="H840" s="42"/>
      <c r="I840" s="104"/>
      <c r="J840" s="105"/>
      <c r="K840" s="106"/>
      <c r="L840" s="107"/>
    </row>
    <row r="841">
      <c r="G841" s="40"/>
      <c r="H841" s="42"/>
      <c r="I841" s="104"/>
      <c r="J841" s="105"/>
      <c r="K841" s="106"/>
      <c r="L841" s="107"/>
    </row>
    <row r="842">
      <c r="G842" s="40"/>
      <c r="H842" s="42"/>
      <c r="I842" s="104"/>
      <c r="J842" s="105"/>
      <c r="K842" s="106"/>
      <c r="L842" s="107"/>
    </row>
    <row r="843">
      <c r="G843" s="40"/>
      <c r="H843" s="42"/>
      <c r="I843" s="104"/>
      <c r="J843" s="105"/>
      <c r="K843" s="106"/>
      <c r="L843" s="107"/>
    </row>
    <row r="844">
      <c r="G844" s="40"/>
      <c r="H844" s="42"/>
      <c r="I844" s="104"/>
      <c r="J844" s="105"/>
      <c r="K844" s="106"/>
      <c r="L844" s="107"/>
    </row>
    <row r="845">
      <c r="G845" s="40"/>
      <c r="H845" s="42"/>
      <c r="I845" s="104"/>
      <c r="J845" s="105"/>
      <c r="K845" s="106"/>
      <c r="L845" s="107"/>
    </row>
    <row r="846">
      <c r="G846" s="40"/>
      <c r="H846" s="42"/>
      <c r="I846" s="104"/>
      <c r="J846" s="105"/>
      <c r="K846" s="106"/>
      <c r="L846" s="107"/>
    </row>
    <row r="847">
      <c r="G847" s="40"/>
      <c r="H847" s="42"/>
      <c r="I847" s="104"/>
      <c r="J847" s="105"/>
      <c r="K847" s="106"/>
      <c r="L847" s="107"/>
    </row>
    <row r="848">
      <c r="G848" s="40"/>
      <c r="H848" s="42"/>
      <c r="I848" s="104"/>
      <c r="J848" s="105"/>
      <c r="K848" s="106"/>
      <c r="L848" s="107"/>
    </row>
    <row r="849">
      <c r="G849" s="40"/>
      <c r="H849" s="42"/>
      <c r="I849" s="104"/>
      <c r="J849" s="105"/>
      <c r="K849" s="106"/>
      <c r="L849" s="107"/>
    </row>
    <row r="850">
      <c r="G850" s="40"/>
      <c r="H850" s="42"/>
      <c r="I850" s="104"/>
      <c r="J850" s="105"/>
      <c r="K850" s="106"/>
      <c r="L850" s="107"/>
    </row>
    <row r="851">
      <c r="G851" s="40"/>
      <c r="H851" s="42"/>
      <c r="I851" s="104"/>
      <c r="J851" s="105"/>
      <c r="K851" s="106"/>
      <c r="L851" s="107"/>
    </row>
    <row r="852">
      <c r="G852" s="40"/>
      <c r="H852" s="42"/>
      <c r="I852" s="104"/>
      <c r="J852" s="105"/>
      <c r="K852" s="106"/>
      <c r="L852" s="107"/>
    </row>
    <row r="853">
      <c r="G853" s="40"/>
      <c r="H853" s="42"/>
      <c r="I853" s="104"/>
      <c r="J853" s="105"/>
      <c r="K853" s="106"/>
      <c r="L853" s="107"/>
    </row>
    <row r="854">
      <c r="G854" s="40"/>
      <c r="H854" s="42"/>
      <c r="I854" s="104"/>
      <c r="J854" s="105"/>
      <c r="K854" s="106"/>
      <c r="L854" s="107"/>
    </row>
    <row r="855">
      <c r="G855" s="40"/>
      <c r="H855" s="42"/>
      <c r="I855" s="104"/>
      <c r="J855" s="105"/>
      <c r="K855" s="106"/>
      <c r="L855" s="107"/>
    </row>
    <row r="856">
      <c r="G856" s="40"/>
      <c r="H856" s="42"/>
      <c r="I856" s="104"/>
      <c r="J856" s="105"/>
      <c r="K856" s="106"/>
      <c r="L856" s="107"/>
    </row>
    <row r="857">
      <c r="G857" s="40"/>
      <c r="H857" s="42"/>
      <c r="I857" s="104"/>
      <c r="J857" s="105"/>
      <c r="K857" s="106"/>
      <c r="L857" s="107"/>
    </row>
    <row r="858">
      <c r="G858" s="40"/>
      <c r="H858" s="42"/>
      <c r="I858" s="104"/>
      <c r="J858" s="105"/>
      <c r="K858" s="106"/>
      <c r="L858" s="107"/>
    </row>
    <row r="859">
      <c r="G859" s="40"/>
      <c r="H859" s="42"/>
      <c r="I859" s="104"/>
      <c r="J859" s="105"/>
      <c r="K859" s="106"/>
      <c r="L859" s="107"/>
    </row>
    <row r="860">
      <c r="G860" s="40"/>
      <c r="H860" s="42"/>
      <c r="I860" s="104"/>
      <c r="J860" s="105"/>
      <c r="K860" s="106"/>
      <c r="L860" s="107"/>
    </row>
    <row r="861">
      <c r="G861" s="40"/>
      <c r="H861" s="42"/>
      <c r="I861" s="104"/>
      <c r="J861" s="105"/>
      <c r="K861" s="106"/>
      <c r="L861" s="107"/>
    </row>
    <row r="862">
      <c r="G862" s="40"/>
      <c r="H862" s="42"/>
      <c r="I862" s="104"/>
      <c r="J862" s="105"/>
      <c r="K862" s="106"/>
      <c r="L862" s="107"/>
    </row>
    <row r="863">
      <c r="G863" s="40"/>
      <c r="H863" s="42"/>
      <c r="I863" s="104"/>
      <c r="J863" s="105"/>
      <c r="K863" s="106"/>
      <c r="L863" s="107"/>
    </row>
    <row r="864">
      <c r="G864" s="40"/>
      <c r="H864" s="42"/>
      <c r="I864" s="104"/>
      <c r="J864" s="105"/>
      <c r="K864" s="106"/>
      <c r="L864" s="107"/>
    </row>
    <row r="865">
      <c r="G865" s="40"/>
      <c r="H865" s="42"/>
      <c r="I865" s="104"/>
      <c r="J865" s="105"/>
      <c r="K865" s="106"/>
      <c r="L865" s="107"/>
    </row>
    <row r="866">
      <c r="G866" s="40"/>
      <c r="H866" s="42"/>
      <c r="I866" s="104"/>
      <c r="J866" s="105"/>
      <c r="K866" s="106"/>
      <c r="L866" s="107"/>
    </row>
    <row r="867">
      <c r="G867" s="40"/>
      <c r="H867" s="42"/>
      <c r="I867" s="104"/>
      <c r="J867" s="105"/>
      <c r="K867" s="106"/>
      <c r="L867" s="107"/>
    </row>
    <row r="868">
      <c r="G868" s="40"/>
      <c r="H868" s="42"/>
      <c r="I868" s="104"/>
      <c r="J868" s="105"/>
      <c r="K868" s="106"/>
      <c r="L868" s="107"/>
    </row>
    <row r="869">
      <c r="G869" s="40"/>
      <c r="H869" s="42"/>
      <c r="I869" s="104"/>
      <c r="J869" s="105"/>
      <c r="K869" s="106"/>
      <c r="L869" s="107"/>
    </row>
    <row r="870">
      <c r="G870" s="40"/>
      <c r="H870" s="42"/>
      <c r="I870" s="104"/>
      <c r="J870" s="105"/>
      <c r="K870" s="106"/>
      <c r="L870" s="107"/>
    </row>
    <row r="871">
      <c r="G871" s="40"/>
      <c r="H871" s="42"/>
      <c r="I871" s="104"/>
      <c r="J871" s="105"/>
      <c r="K871" s="106"/>
      <c r="L871" s="107"/>
    </row>
    <row r="872">
      <c r="G872" s="40"/>
      <c r="H872" s="42"/>
      <c r="I872" s="104"/>
      <c r="J872" s="105"/>
      <c r="K872" s="106"/>
      <c r="L872" s="107"/>
    </row>
    <row r="873">
      <c r="G873" s="40"/>
      <c r="H873" s="42"/>
      <c r="I873" s="104"/>
      <c r="J873" s="105"/>
      <c r="K873" s="106"/>
      <c r="L873" s="107"/>
    </row>
    <row r="874">
      <c r="G874" s="40"/>
      <c r="H874" s="42"/>
      <c r="I874" s="104"/>
      <c r="J874" s="105"/>
      <c r="K874" s="106"/>
      <c r="L874" s="107"/>
    </row>
    <row r="875">
      <c r="G875" s="40"/>
      <c r="H875" s="42"/>
      <c r="I875" s="104"/>
      <c r="J875" s="105"/>
      <c r="K875" s="106"/>
      <c r="L875" s="107"/>
    </row>
    <row r="876">
      <c r="G876" s="40"/>
      <c r="H876" s="42"/>
      <c r="I876" s="104"/>
      <c r="J876" s="105"/>
      <c r="K876" s="106"/>
      <c r="L876" s="107"/>
    </row>
    <row r="877">
      <c r="G877" s="40"/>
      <c r="H877" s="42"/>
      <c r="I877" s="104"/>
      <c r="J877" s="105"/>
      <c r="K877" s="106"/>
      <c r="L877" s="107"/>
    </row>
    <row r="878">
      <c r="G878" s="40"/>
      <c r="H878" s="42"/>
      <c r="I878" s="104"/>
      <c r="J878" s="105"/>
      <c r="K878" s="106"/>
      <c r="L878" s="107"/>
    </row>
    <row r="879">
      <c r="G879" s="40"/>
      <c r="H879" s="42"/>
      <c r="I879" s="104"/>
      <c r="J879" s="105"/>
      <c r="K879" s="106"/>
      <c r="L879" s="107"/>
    </row>
    <row r="880">
      <c r="G880" s="40"/>
      <c r="H880" s="42"/>
      <c r="I880" s="104"/>
      <c r="J880" s="105"/>
      <c r="K880" s="106"/>
      <c r="L880" s="107"/>
    </row>
    <row r="881">
      <c r="G881" s="40"/>
      <c r="H881" s="42"/>
      <c r="I881" s="104"/>
      <c r="J881" s="105"/>
      <c r="K881" s="106"/>
      <c r="L881" s="107"/>
    </row>
    <row r="882">
      <c r="G882" s="40"/>
      <c r="H882" s="42"/>
      <c r="I882" s="104"/>
      <c r="J882" s="105"/>
      <c r="K882" s="106"/>
      <c r="L882" s="107"/>
    </row>
    <row r="883">
      <c r="G883" s="40"/>
      <c r="H883" s="42"/>
      <c r="I883" s="104"/>
      <c r="J883" s="105"/>
      <c r="K883" s="106"/>
      <c r="L883" s="107"/>
    </row>
    <row r="884">
      <c r="G884" s="40"/>
      <c r="H884" s="42"/>
      <c r="I884" s="104"/>
      <c r="J884" s="105"/>
      <c r="K884" s="106"/>
      <c r="L884" s="107"/>
    </row>
    <row r="885">
      <c r="G885" s="40"/>
      <c r="H885" s="42"/>
      <c r="I885" s="104"/>
      <c r="J885" s="105"/>
      <c r="K885" s="106"/>
      <c r="L885" s="107"/>
    </row>
    <row r="886">
      <c r="G886" s="40"/>
      <c r="H886" s="42"/>
      <c r="I886" s="104"/>
      <c r="J886" s="105"/>
      <c r="K886" s="106"/>
      <c r="L886" s="107"/>
    </row>
    <row r="887">
      <c r="G887" s="40"/>
      <c r="H887" s="42"/>
      <c r="I887" s="104"/>
      <c r="J887" s="105"/>
      <c r="K887" s="106"/>
      <c r="L887" s="107"/>
    </row>
    <row r="888">
      <c r="G888" s="40"/>
      <c r="H888" s="42"/>
      <c r="I888" s="104"/>
      <c r="J888" s="105"/>
      <c r="K888" s="106"/>
      <c r="L888" s="107"/>
    </row>
    <row r="889">
      <c r="G889" s="40"/>
      <c r="H889" s="42"/>
      <c r="I889" s="104"/>
      <c r="J889" s="105"/>
      <c r="K889" s="106"/>
      <c r="L889" s="107"/>
    </row>
    <row r="890">
      <c r="G890" s="40"/>
      <c r="H890" s="42"/>
      <c r="I890" s="104"/>
      <c r="J890" s="105"/>
      <c r="K890" s="106"/>
      <c r="L890" s="107"/>
    </row>
    <row r="891">
      <c r="G891" s="40"/>
      <c r="H891" s="42"/>
      <c r="I891" s="104"/>
      <c r="J891" s="105"/>
      <c r="K891" s="106"/>
      <c r="L891" s="107"/>
    </row>
    <row r="892">
      <c r="G892" s="40"/>
      <c r="H892" s="42"/>
      <c r="I892" s="104"/>
      <c r="J892" s="105"/>
      <c r="K892" s="106"/>
      <c r="L892" s="107"/>
    </row>
    <row r="893">
      <c r="G893" s="40"/>
      <c r="H893" s="42"/>
      <c r="I893" s="104"/>
      <c r="J893" s="105"/>
      <c r="K893" s="106"/>
      <c r="L893" s="107"/>
    </row>
    <row r="894">
      <c r="G894" s="40"/>
      <c r="H894" s="42"/>
      <c r="I894" s="104"/>
      <c r="J894" s="105"/>
      <c r="K894" s="106"/>
      <c r="L894" s="107"/>
    </row>
    <row r="895">
      <c r="G895" s="40"/>
      <c r="H895" s="42"/>
      <c r="I895" s="104"/>
      <c r="J895" s="105"/>
      <c r="K895" s="106"/>
      <c r="L895" s="107"/>
    </row>
    <row r="896">
      <c r="G896" s="40"/>
      <c r="H896" s="42"/>
      <c r="I896" s="104"/>
      <c r="J896" s="105"/>
      <c r="K896" s="106"/>
      <c r="L896" s="107"/>
    </row>
    <row r="897">
      <c r="G897" s="40"/>
      <c r="H897" s="42"/>
      <c r="I897" s="104"/>
      <c r="J897" s="105"/>
      <c r="K897" s="106"/>
      <c r="L897" s="107"/>
    </row>
    <row r="898">
      <c r="G898" s="40"/>
      <c r="H898" s="42"/>
      <c r="I898" s="104"/>
      <c r="J898" s="105"/>
      <c r="K898" s="106"/>
      <c r="L898" s="107"/>
    </row>
    <row r="899">
      <c r="G899" s="40"/>
      <c r="H899" s="42"/>
      <c r="I899" s="104"/>
      <c r="J899" s="105"/>
      <c r="K899" s="106"/>
      <c r="L899" s="107"/>
    </row>
    <row r="900">
      <c r="G900" s="40"/>
      <c r="H900" s="42"/>
      <c r="I900" s="104"/>
      <c r="J900" s="105"/>
      <c r="K900" s="106"/>
      <c r="L900" s="107"/>
    </row>
    <row r="901">
      <c r="G901" s="40"/>
      <c r="H901" s="42"/>
      <c r="I901" s="104"/>
      <c r="J901" s="105"/>
      <c r="K901" s="106"/>
      <c r="L901" s="107"/>
    </row>
    <row r="902">
      <c r="G902" s="40"/>
      <c r="H902" s="42"/>
      <c r="I902" s="104"/>
      <c r="J902" s="105"/>
      <c r="K902" s="106"/>
      <c r="L902" s="107"/>
    </row>
    <row r="903">
      <c r="G903" s="40"/>
      <c r="H903" s="42"/>
      <c r="I903" s="104"/>
      <c r="J903" s="105"/>
      <c r="K903" s="106"/>
      <c r="L903" s="107"/>
    </row>
    <row r="904">
      <c r="G904" s="40"/>
      <c r="H904" s="42"/>
      <c r="I904" s="104"/>
      <c r="J904" s="105"/>
      <c r="K904" s="106"/>
      <c r="L904" s="107"/>
    </row>
    <row r="905">
      <c r="G905" s="40"/>
      <c r="H905" s="42"/>
      <c r="I905" s="104"/>
      <c r="J905" s="105"/>
      <c r="K905" s="106"/>
      <c r="L905" s="107"/>
    </row>
    <row r="906">
      <c r="G906" s="40"/>
      <c r="H906" s="42"/>
      <c r="I906" s="104"/>
      <c r="J906" s="105"/>
      <c r="K906" s="106"/>
      <c r="L906" s="107"/>
    </row>
    <row r="907">
      <c r="G907" s="40"/>
      <c r="H907" s="42"/>
      <c r="I907" s="104"/>
      <c r="J907" s="105"/>
      <c r="K907" s="106"/>
      <c r="L907" s="107"/>
    </row>
    <row r="908">
      <c r="G908" s="40"/>
      <c r="H908" s="42"/>
      <c r="I908" s="104"/>
      <c r="J908" s="105"/>
      <c r="K908" s="106"/>
      <c r="L908" s="107"/>
    </row>
    <row r="909">
      <c r="G909" s="40"/>
      <c r="H909" s="42"/>
      <c r="I909" s="104"/>
      <c r="J909" s="105"/>
      <c r="K909" s="106"/>
      <c r="L909" s="107"/>
    </row>
    <row r="910">
      <c r="G910" s="40"/>
      <c r="H910" s="42"/>
      <c r="I910" s="104"/>
      <c r="J910" s="105"/>
      <c r="K910" s="106"/>
      <c r="L910" s="107"/>
    </row>
    <row r="911">
      <c r="G911" s="40"/>
      <c r="H911" s="42"/>
      <c r="I911" s="104"/>
      <c r="J911" s="105"/>
      <c r="K911" s="106"/>
      <c r="L911" s="107"/>
    </row>
    <row r="912">
      <c r="G912" s="40"/>
      <c r="H912" s="42"/>
      <c r="I912" s="104"/>
      <c r="J912" s="105"/>
      <c r="K912" s="106"/>
      <c r="L912" s="107"/>
    </row>
    <row r="913">
      <c r="G913" s="40"/>
      <c r="H913" s="42"/>
      <c r="I913" s="104"/>
      <c r="J913" s="105"/>
      <c r="K913" s="106"/>
      <c r="L913" s="107"/>
    </row>
    <row r="914">
      <c r="G914" s="40"/>
      <c r="H914" s="42"/>
      <c r="I914" s="104"/>
      <c r="J914" s="105"/>
      <c r="K914" s="106"/>
      <c r="L914" s="107"/>
    </row>
    <row r="915">
      <c r="G915" s="40"/>
      <c r="H915" s="42"/>
      <c r="I915" s="104"/>
      <c r="J915" s="105"/>
      <c r="K915" s="106"/>
      <c r="L915" s="107"/>
    </row>
    <row r="916">
      <c r="G916" s="40"/>
      <c r="H916" s="42"/>
      <c r="I916" s="104"/>
      <c r="J916" s="105"/>
      <c r="K916" s="106"/>
      <c r="L916" s="107"/>
    </row>
    <row r="917">
      <c r="G917" s="40"/>
      <c r="H917" s="42"/>
      <c r="I917" s="104"/>
      <c r="J917" s="105"/>
      <c r="K917" s="106"/>
      <c r="L917" s="107"/>
    </row>
    <row r="918">
      <c r="G918" s="40"/>
      <c r="H918" s="42"/>
      <c r="I918" s="104"/>
      <c r="J918" s="105"/>
      <c r="K918" s="106"/>
      <c r="L918" s="107"/>
    </row>
    <row r="919">
      <c r="G919" s="40"/>
      <c r="H919" s="42"/>
      <c r="I919" s="104"/>
      <c r="J919" s="105"/>
      <c r="K919" s="106"/>
      <c r="L919" s="107"/>
    </row>
    <row r="920">
      <c r="G920" s="40"/>
      <c r="H920" s="42"/>
      <c r="I920" s="104"/>
      <c r="J920" s="105"/>
      <c r="K920" s="106"/>
      <c r="L920" s="107"/>
    </row>
    <row r="921">
      <c r="G921" s="40"/>
      <c r="H921" s="42"/>
      <c r="I921" s="104"/>
      <c r="J921" s="105"/>
      <c r="K921" s="106"/>
      <c r="L921" s="107"/>
    </row>
    <row r="922">
      <c r="G922" s="40"/>
      <c r="H922" s="42"/>
      <c r="I922" s="104"/>
      <c r="J922" s="105"/>
      <c r="K922" s="106"/>
      <c r="L922" s="107"/>
    </row>
    <row r="923">
      <c r="G923" s="40"/>
      <c r="H923" s="42"/>
      <c r="I923" s="104"/>
      <c r="J923" s="105"/>
      <c r="K923" s="106"/>
      <c r="L923" s="107"/>
    </row>
    <row r="924">
      <c r="G924" s="40"/>
      <c r="H924" s="42"/>
      <c r="I924" s="104"/>
      <c r="J924" s="105"/>
      <c r="K924" s="106"/>
      <c r="L924" s="107"/>
    </row>
    <row r="925">
      <c r="G925" s="40"/>
      <c r="H925" s="42"/>
      <c r="I925" s="104"/>
      <c r="J925" s="105"/>
      <c r="K925" s="106"/>
      <c r="L925" s="107"/>
    </row>
    <row r="926">
      <c r="G926" s="40"/>
      <c r="H926" s="42"/>
      <c r="I926" s="104"/>
      <c r="J926" s="105"/>
      <c r="K926" s="106"/>
      <c r="L926" s="107"/>
    </row>
    <row r="927">
      <c r="G927" s="40"/>
      <c r="H927" s="42"/>
      <c r="I927" s="104"/>
      <c r="J927" s="105"/>
      <c r="K927" s="106"/>
      <c r="L927" s="107"/>
    </row>
    <row r="928">
      <c r="G928" s="40"/>
      <c r="H928" s="42"/>
      <c r="I928" s="104"/>
      <c r="J928" s="105"/>
      <c r="K928" s="106"/>
      <c r="L928" s="107"/>
    </row>
    <row r="929">
      <c r="G929" s="40"/>
      <c r="H929" s="42"/>
      <c r="I929" s="104"/>
      <c r="J929" s="105"/>
      <c r="K929" s="106"/>
      <c r="L929" s="107"/>
    </row>
    <row r="930">
      <c r="G930" s="40"/>
      <c r="H930" s="42"/>
      <c r="I930" s="104"/>
      <c r="J930" s="105"/>
      <c r="K930" s="106"/>
      <c r="L930" s="107"/>
    </row>
    <row r="931">
      <c r="G931" s="40"/>
      <c r="H931" s="42"/>
      <c r="I931" s="104"/>
      <c r="J931" s="105"/>
      <c r="K931" s="106"/>
      <c r="L931" s="107"/>
    </row>
    <row r="932">
      <c r="G932" s="40"/>
      <c r="H932" s="42"/>
      <c r="I932" s="104"/>
      <c r="J932" s="105"/>
      <c r="K932" s="106"/>
      <c r="L932" s="107"/>
    </row>
    <row r="933">
      <c r="G933" s="40"/>
      <c r="H933" s="42"/>
      <c r="I933" s="104"/>
      <c r="J933" s="105"/>
      <c r="K933" s="106"/>
      <c r="L933" s="107"/>
    </row>
    <row r="934">
      <c r="G934" s="40"/>
      <c r="H934" s="42"/>
      <c r="I934" s="104"/>
      <c r="J934" s="105"/>
      <c r="K934" s="106"/>
      <c r="L934" s="107"/>
    </row>
    <row r="935">
      <c r="G935" s="40"/>
      <c r="H935" s="42"/>
      <c r="I935" s="104"/>
      <c r="J935" s="105"/>
      <c r="K935" s="106"/>
      <c r="L935" s="107"/>
    </row>
    <row r="936">
      <c r="G936" s="40"/>
      <c r="H936" s="42"/>
      <c r="I936" s="104"/>
      <c r="J936" s="105"/>
      <c r="K936" s="106"/>
      <c r="L936" s="107"/>
    </row>
    <row r="937">
      <c r="G937" s="40"/>
      <c r="H937" s="42"/>
      <c r="I937" s="104"/>
      <c r="J937" s="105"/>
      <c r="K937" s="106"/>
      <c r="L937" s="107"/>
    </row>
    <row r="938">
      <c r="G938" s="40"/>
      <c r="H938" s="42"/>
      <c r="I938" s="104"/>
      <c r="J938" s="105"/>
      <c r="K938" s="106"/>
      <c r="L938" s="107"/>
    </row>
    <row r="939">
      <c r="G939" s="40"/>
      <c r="H939" s="42"/>
      <c r="I939" s="104"/>
      <c r="J939" s="105"/>
      <c r="K939" s="106"/>
      <c r="L939" s="107"/>
    </row>
    <row r="940">
      <c r="G940" s="40"/>
      <c r="H940" s="42"/>
      <c r="I940" s="104"/>
      <c r="J940" s="105"/>
      <c r="K940" s="106"/>
      <c r="L940" s="107"/>
    </row>
    <row r="941">
      <c r="G941" s="40"/>
      <c r="H941" s="42"/>
      <c r="I941" s="104"/>
      <c r="J941" s="105"/>
      <c r="K941" s="106"/>
      <c r="L941" s="107"/>
    </row>
    <row r="942">
      <c r="G942" s="40"/>
      <c r="H942" s="42"/>
      <c r="I942" s="104"/>
      <c r="J942" s="105"/>
      <c r="K942" s="106"/>
      <c r="L942" s="107"/>
    </row>
    <row r="943">
      <c r="G943" s="40"/>
      <c r="H943" s="42"/>
      <c r="I943" s="104"/>
      <c r="J943" s="105"/>
      <c r="K943" s="106"/>
      <c r="L943" s="107"/>
    </row>
    <row r="944">
      <c r="G944" s="40"/>
      <c r="H944" s="42"/>
      <c r="I944" s="104"/>
      <c r="J944" s="105"/>
      <c r="K944" s="106"/>
      <c r="L944" s="107"/>
    </row>
    <row r="945">
      <c r="G945" s="40"/>
      <c r="H945" s="42"/>
      <c r="I945" s="104"/>
      <c r="J945" s="105"/>
      <c r="K945" s="106"/>
      <c r="L945" s="107"/>
    </row>
    <row r="946">
      <c r="G946" s="40"/>
      <c r="H946" s="42"/>
      <c r="I946" s="104"/>
      <c r="J946" s="105"/>
      <c r="K946" s="106"/>
      <c r="L946" s="107"/>
    </row>
    <row r="947">
      <c r="G947" s="40"/>
      <c r="H947" s="42"/>
      <c r="I947" s="104"/>
      <c r="J947" s="105"/>
      <c r="K947" s="106"/>
      <c r="L947" s="107"/>
    </row>
    <row r="948">
      <c r="G948" s="40"/>
      <c r="H948" s="42"/>
      <c r="I948" s="104"/>
      <c r="J948" s="105"/>
      <c r="K948" s="106"/>
      <c r="L948" s="107"/>
    </row>
    <row r="949">
      <c r="G949" s="40"/>
      <c r="H949" s="42"/>
      <c r="I949" s="104"/>
      <c r="J949" s="105"/>
      <c r="K949" s="106"/>
      <c r="L949" s="107"/>
    </row>
    <row r="950">
      <c r="G950" s="40"/>
      <c r="H950" s="42"/>
      <c r="I950" s="104"/>
      <c r="J950" s="105"/>
      <c r="K950" s="106"/>
      <c r="L950" s="107"/>
    </row>
    <row r="951">
      <c r="G951" s="40"/>
      <c r="H951" s="42"/>
      <c r="I951" s="104"/>
      <c r="J951" s="105"/>
      <c r="K951" s="106"/>
      <c r="L951" s="107"/>
    </row>
    <row r="952">
      <c r="G952" s="40"/>
      <c r="H952" s="42"/>
      <c r="I952" s="104"/>
      <c r="J952" s="105"/>
      <c r="K952" s="106"/>
      <c r="L952" s="107"/>
    </row>
    <row r="953">
      <c r="G953" s="40"/>
      <c r="H953" s="42"/>
      <c r="I953" s="104"/>
      <c r="J953" s="105"/>
      <c r="K953" s="106"/>
      <c r="L953" s="107"/>
    </row>
    <row r="954">
      <c r="G954" s="40"/>
      <c r="H954" s="42"/>
      <c r="I954" s="104"/>
      <c r="J954" s="105"/>
      <c r="K954" s="106"/>
      <c r="L954" s="107"/>
    </row>
    <row r="955">
      <c r="G955" s="40"/>
      <c r="H955" s="42"/>
      <c r="I955" s="104"/>
      <c r="J955" s="105"/>
      <c r="K955" s="106"/>
      <c r="L955" s="107"/>
    </row>
    <row r="956">
      <c r="G956" s="40"/>
      <c r="H956" s="42"/>
      <c r="I956" s="104"/>
      <c r="J956" s="105"/>
      <c r="K956" s="106"/>
      <c r="L956" s="107"/>
    </row>
    <row r="957">
      <c r="G957" s="40"/>
      <c r="H957" s="42"/>
      <c r="I957" s="104"/>
      <c r="J957" s="105"/>
      <c r="K957" s="106"/>
      <c r="L957" s="107"/>
    </row>
    <row r="958">
      <c r="G958" s="40"/>
      <c r="H958" s="42"/>
      <c r="I958" s="104"/>
      <c r="J958" s="105"/>
      <c r="K958" s="106"/>
      <c r="L958" s="107"/>
    </row>
    <row r="959">
      <c r="G959" s="40"/>
      <c r="H959" s="42"/>
      <c r="I959" s="104"/>
      <c r="J959" s="105"/>
      <c r="K959" s="106"/>
      <c r="L959" s="107"/>
    </row>
    <row r="960">
      <c r="G960" s="40"/>
      <c r="H960" s="42"/>
      <c r="I960" s="104"/>
      <c r="J960" s="105"/>
      <c r="K960" s="106"/>
      <c r="L960" s="107"/>
    </row>
    <row r="961">
      <c r="G961" s="40"/>
      <c r="H961" s="42"/>
      <c r="I961" s="104"/>
      <c r="J961" s="105"/>
      <c r="K961" s="106"/>
      <c r="L961" s="107"/>
    </row>
    <row r="962">
      <c r="G962" s="40"/>
      <c r="H962" s="42"/>
      <c r="I962" s="104"/>
      <c r="J962" s="105"/>
      <c r="K962" s="106"/>
      <c r="L962" s="107"/>
    </row>
    <row r="963">
      <c r="G963" s="40"/>
      <c r="H963" s="42"/>
      <c r="I963" s="104"/>
      <c r="J963" s="105"/>
      <c r="K963" s="106"/>
      <c r="L963" s="107"/>
    </row>
    <row r="964">
      <c r="G964" s="40"/>
      <c r="H964" s="42"/>
      <c r="I964" s="104"/>
      <c r="J964" s="105"/>
      <c r="K964" s="106"/>
      <c r="L964" s="107"/>
    </row>
    <row r="965">
      <c r="G965" s="40"/>
      <c r="H965" s="42"/>
      <c r="I965" s="104"/>
      <c r="J965" s="105"/>
      <c r="K965" s="106"/>
      <c r="L965" s="107"/>
    </row>
    <row r="966">
      <c r="G966" s="40"/>
      <c r="H966" s="42"/>
      <c r="I966" s="104"/>
      <c r="J966" s="105"/>
      <c r="K966" s="106"/>
      <c r="L966" s="107"/>
    </row>
    <row r="967">
      <c r="G967" s="40"/>
      <c r="H967" s="42"/>
      <c r="I967" s="104"/>
      <c r="J967" s="105"/>
      <c r="K967" s="106"/>
      <c r="L967" s="107"/>
    </row>
    <row r="968">
      <c r="G968" s="40"/>
      <c r="H968" s="42"/>
      <c r="I968" s="104"/>
      <c r="J968" s="105"/>
      <c r="K968" s="106"/>
      <c r="L968" s="107"/>
    </row>
    <row r="969">
      <c r="G969" s="40"/>
      <c r="H969" s="42"/>
      <c r="I969" s="104"/>
      <c r="J969" s="105"/>
      <c r="K969" s="106"/>
      <c r="L969" s="107"/>
    </row>
    <row r="970">
      <c r="G970" s="40"/>
      <c r="H970" s="42"/>
      <c r="I970" s="104"/>
      <c r="J970" s="105"/>
      <c r="K970" s="106"/>
      <c r="L970" s="107"/>
    </row>
    <row r="971">
      <c r="G971" s="40"/>
      <c r="H971" s="42"/>
      <c r="I971" s="104"/>
      <c r="J971" s="105"/>
      <c r="K971" s="106"/>
      <c r="L971" s="107"/>
    </row>
    <row r="972">
      <c r="G972" s="40"/>
      <c r="H972" s="42"/>
      <c r="I972" s="104"/>
      <c r="J972" s="105"/>
      <c r="K972" s="106"/>
      <c r="L972" s="107"/>
    </row>
    <row r="973">
      <c r="G973" s="40"/>
      <c r="H973" s="42"/>
      <c r="I973" s="104"/>
      <c r="J973" s="105"/>
      <c r="K973" s="106"/>
      <c r="L973" s="107"/>
    </row>
    <row r="974">
      <c r="G974" s="40"/>
      <c r="H974" s="42"/>
      <c r="I974" s="104"/>
      <c r="J974" s="105"/>
      <c r="K974" s="106"/>
      <c r="L974" s="107"/>
    </row>
    <row r="975">
      <c r="G975" s="40"/>
      <c r="H975" s="42"/>
      <c r="I975" s="104"/>
      <c r="J975" s="105"/>
      <c r="K975" s="106"/>
      <c r="L975" s="107"/>
    </row>
    <row r="976">
      <c r="G976" s="40"/>
      <c r="H976" s="42"/>
      <c r="I976" s="104"/>
      <c r="J976" s="105"/>
      <c r="K976" s="106"/>
      <c r="L976" s="107"/>
    </row>
    <row r="977">
      <c r="G977" s="40"/>
      <c r="H977" s="42"/>
      <c r="I977" s="104"/>
      <c r="J977" s="105"/>
      <c r="K977" s="106"/>
      <c r="L977" s="107"/>
    </row>
    <row r="978">
      <c r="G978" s="40"/>
      <c r="H978" s="42"/>
      <c r="I978" s="104"/>
      <c r="J978" s="105"/>
      <c r="K978" s="106"/>
      <c r="L978" s="107"/>
    </row>
    <row r="979">
      <c r="G979" s="40"/>
      <c r="H979" s="42"/>
      <c r="I979" s="104"/>
      <c r="J979" s="105"/>
      <c r="K979" s="106"/>
      <c r="L979" s="107"/>
    </row>
    <row r="980">
      <c r="G980" s="40"/>
      <c r="H980" s="42"/>
      <c r="I980" s="104"/>
      <c r="J980" s="105"/>
      <c r="K980" s="106"/>
      <c r="L980" s="107"/>
    </row>
    <row r="981">
      <c r="G981" s="40"/>
      <c r="H981" s="42"/>
      <c r="I981" s="104"/>
      <c r="J981" s="105"/>
      <c r="K981" s="106"/>
      <c r="L981" s="107"/>
    </row>
    <row r="982">
      <c r="G982" s="40"/>
      <c r="H982" s="42"/>
      <c r="I982" s="104"/>
      <c r="J982" s="105"/>
      <c r="K982" s="106"/>
      <c r="L982" s="107"/>
    </row>
    <row r="983">
      <c r="G983" s="40"/>
      <c r="H983" s="42"/>
      <c r="I983" s="104"/>
      <c r="J983" s="105"/>
      <c r="K983" s="106"/>
      <c r="L983" s="107"/>
    </row>
    <row r="984">
      <c r="G984" s="40"/>
      <c r="H984" s="42"/>
      <c r="I984" s="104"/>
      <c r="J984" s="105"/>
      <c r="K984" s="106"/>
      <c r="L984" s="107"/>
    </row>
    <row r="985">
      <c r="G985" s="40"/>
      <c r="H985" s="42"/>
      <c r="I985" s="104"/>
      <c r="J985" s="105"/>
      <c r="K985" s="106"/>
      <c r="L985" s="107"/>
    </row>
    <row r="986">
      <c r="G986" s="40"/>
      <c r="H986" s="42"/>
      <c r="I986" s="104"/>
      <c r="J986" s="105"/>
      <c r="K986" s="106"/>
      <c r="L986" s="107"/>
    </row>
    <row r="987">
      <c r="G987" s="40"/>
      <c r="H987" s="42"/>
      <c r="I987" s="104"/>
      <c r="J987" s="105"/>
      <c r="K987" s="106"/>
      <c r="L987" s="107"/>
    </row>
    <row r="988">
      <c r="G988" s="40"/>
      <c r="H988" s="42"/>
      <c r="I988" s="104"/>
      <c r="J988" s="105"/>
      <c r="K988" s="106"/>
      <c r="L988" s="107"/>
    </row>
    <row r="989">
      <c r="G989" s="40"/>
      <c r="H989" s="42"/>
      <c r="I989" s="104"/>
      <c r="J989" s="105"/>
      <c r="K989" s="106"/>
      <c r="L989" s="107"/>
    </row>
    <row r="990">
      <c r="G990" s="40"/>
      <c r="H990" s="42"/>
      <c r="I990" s="104"/>
      <c r="J990" s="105"/>
      <c r="K990" s="106"/>
      <c r="L990" s="107"/>
    </row>
    <row r="991">
      <c r="G991" s="40"/>
      <c r="H991" s="42"/>
      <c r="I991" s="104"/>
      <c r="J991" s="105"/>
      <c r="K991" s="106"/>
      <c r="L991" s="107"/>
    </row>
    <row r="992">
      <c r="G992" s="40"/>
      <c r="H992" s="42"/>
      <c r="I992" s="104"/>
      <c r="J992" s="105"/>
      <c r="K992" s="106"/>
      <c r="L992" s="107"/>
    </row>
    <row r="993">
      <c r="G993" s="40"/>
      <c r="H993" s="42"/>
      <c r="I993" s="104"/>
      <c r="J993" s="105"/>
      <c r="K993" s="106"/>
      <c r="L993" s="107"/>
    </row>
    <row r="994">
      <c r="G994" s="40"/>
      <c r="H994" s="42"/>
      <c r="I994" s="104"/>
      <c r="J994" s="105"/>
      <c r="K994" s="106"/>
      <c r="L994" s="107"/>
    </row>
    <row r="995">
      <c r="G995" s="40"/>
      <c r="H995" s="42"/>
      <c r="I995" s="104"/>
      <c r="J995" s="105"/>
      <c r="K995" s="106"/>
      <c r="L995" s="107"/>
    </row>
    <row r="996">
      <c r="G996" s="40"/>
      <c r="H996" s="42"/>
      <c r="I996" s="104"/>
      <c r="J996" s="105"/>
      <c r="K996" s="106"/>
      <c r="L996" s="107"/>
    </row>
    <row r="997">
      <c r="G997" s="40"/>
      <c r="H997" s="42"/>
      <c r="I997" s="104"/>
      <c r="J997" s="105"/>
      <c r="K997" s="106"/>
      <c r="L997" s="107"/>
    </row>
    <row r="998">
      <c r="G998" s="40"/>
      <c r="H998" s="42"/>
      <c r="I998" s="104"/>
      <c r="J998" s="105"/>
      <c r="K998" s="106"/>
      <c r="L998" s="107"/>
    </row>
    <row r="999">
      <c r="G999" s="40"/>
      <c r="H999" s="42"/>
      <c r="I999" s="104"/>
      <c r="J999" s="105"/>
      <c r="K999" s="106"/>
      <c r="L999" s="107"/>
    </row>
    <row r="1000">
      <c r="G1000" s="40"/>
      <c r="H1000" s="42"/>
      <c r="I1000" s="104"/>
      <c r="J1000" s="105"/>
      <c r="K1000" s="106"/>
      <c r="L1000" s="107"/>
    </row>
    <row r="1001">
      <c r="G1001" s="40"/>
      <c r="H1001" s="42"/>
      <c r="I1001" s="104"/>
      <c r="J1001" s="105"/>
      <c r="K1001" s="106"/>
      <c r="L1001" s="107"/>
    </row>
    <row r="1002">
      <c r="G1002" s="40"/>
      <c r="H1002" s="42"/>
      <c r="I1002" s="104"/>
      <c r="J1002" s="105"/>
      <c r="K1002" s="106"/>
      <c r="L1002" s="107"/>
    </row>
    <row r="1003">
      <c r="G1003" s="40"/>
      <c r="H1003" s="42"/>
      <c r="I1003" s="104"/>
      <c r="J1003" s="105"/>
      <c r="K1003" s="106"/>
      <c r="L1003" s="107"/>
    </row>
    <row r="1004">
      <c r="G1004" s="40"/>
      <c r="H1004" s="42"/>
      <c r="I1004" s="104"/>
      <c r="J1004" s="105"/>
      <c r="K1004" s="106"/>
      <c r="L1004" s="107"/>
    </row>
    <row r="1005">
      <c r="G1005" s="40"/>
      <c r="H1005" s="42"/>
      <c r="I1005" s="104"/>
      <c r="J1005" s="105"/>
      <c r="K1005" s="106"/>
      <c r="L1005" s="107"/>
    </row>
    <row r="1006">
      <c r="G1006" s="40"/>
      <c r="H1006" s="42"/>
      <c r="I1006" s="104"/>
      <c r="J1006" s="105"/>
      <c r="K1006" s="106"/>
      <c r="L1006" s="107"/>
    </row>
    <row r="1007">
      <c r="G1007" s="40"/>
      <c r="H1007" s="42"/>
      <c r="I1007" s="104"/>
      <c r="J1007" s="105"/>
      <c r="K1007" s="106"/>
      <c r="L1007" s="107"/>
    </row>
    <row r="1008">
      <c r="G1008" s="40"/>
      <c r="H1008" s="42"/>
      <c r="I1008" s="104"/>
      <c r="J1008" s="105"/>
      <c r="K1008" s="106"/>
      <c r="L1008" s="107"/>
    </row>
    <row r="1009">
      <c r="G1009" s="40"/>
      <c r="H1009" s="42"/>
      <c r="I1009" s="104"/>
      <c r="J1009" s="105"/>
      <c r="K1009" s="106"/>
      <c r="L1009" s="107"/>
    </row>
    <row r="1010">
      <c r="G1010" s="40"/>
      <c r="H1010" s="42"/>
      <c r="I1010" s="104"/>
      <c r="J1010" s="105"/>
      <c r="K1010" s="106"/>
      <c r="L1010" s="107"/>
    </row>
    <row r="1011">
      <c r="G1011" s="40"/>
      <c r="H1011" s="42"/>
      <c r="I1011" s="104"/>
      <c r="J1011" s="105"/>
      <c r="K1011" s="106"/>
      <c r="L1011" s="107"/>
    </row>
    <row r="1012">
      <c r="G1012" s="40"/>
      <c r="H1012" s="42"/>
      <c r="I1012" s="104"/>
      <c r="J1012" s="105"/>
      <c r="K1012" s="106"/>
      <c r="L1012" s="107"/>
    </row>
    <row r="1013">
      <c r="G1013" s="40"/>
      <c r="H1013" s="42"/>
      <c r="I1013" s="104"/>
      <c r="J1013" s="105"/>
      <c r="K1013" s="106"/>
      <c r="L1013" s="107"/>
    </row>
    <row r="1014">
      <c r="G1014" s="40"/>
      <c r="H1014" s="42"/>
      <c r="I1014" s="104"/>
      <c r="J1014" s="105"/>
      <c r="K1014" s="106"/>
      <c r="L1014" s="107"/>
    </row>
    <row r="1015">
      <c r="G1015" s="40"/>
      <c r="H1015" s="42"/>
      <c r="I1015" s="104"/>
      <c r="J1015" s="105"/>
      <c r="K1015" s="106"/>
      <c r="L1015" s="107"/>
    </row>
    <row r="1016">
      <c r="G1016" s="40"/>
      <c r="H1016" s="42"/>
      <c r="I1016" s="104"/>
      <c r="J1016" s="105"/>
      <c r="K1016" s="106"/>
      <c r="L1016" s="107"/>
    </row>
    <row r="1017">
      <c r="G1017" s="40"/>
      <c r="H1017" s="42"/>
      <c r="I1017" s="104"/>
      <c r="J1017" s="105"/>
      <c r="K1017" s="106"/>
      <c r="L1017" s="107"/>
    </row>
    <row r="1018">
      <c r="G1018" s="40"/>
      <c r="H1018" s="42"/>
      <c r="I1018" s="104"/>
      <c r="J1018" s="105"/>
      <c r="K1018" s="106"/>
      <c r="L1018" s="107"/>
    </row>
    <row r="1019">
      <c r="G1019" s="40"/>
      <c r="H1019" s="42"/>
      <c r="I1019" s="104"/>
      <c r="J1019" s="105"/>
      <c r="K1019" s="106"/>
      <c r="L1019" s="107"/>
    </row>
    <row r="1020">
      <c r="G1020" s="40"/>
      <c r="H1020" s="42"/>
      <c r="I1020" s="104"/>
      <c r="J1020" s="105"/>
      <c r="K1020" s="106"/>
      <c r="L1020" s="107"/>
    </row>
    <row r="1021">
      <c r="G1021" s="40"/>
      <c r="H1021" s="42"/>
      <c r="I1021" s="104"/>
      <c r="J1021" s="105"/>
      <c r="K1021" s="106"/>
      <c r="L1021" s="107"/>
    </row>
    <row r="1022">
      <c r="G1022" s="40"/>
      <c r="H1022" s="42"/>
      <c r="I1022" s="104"/>
      <c r="J1022" s="105"/>
      <c r="K1022" s="106"/>
      <c r="L1022" s="107"/>
    </row>
    <row r="1023">
      <c r="G1023" s="40"/>
      <c r="H1023" s="42"/>
      <c r="I1023" s="104"/>
      <c r="J1023" s="105"/>
      <c r="K1023" s="106"/>
      <c r="L1023" s="107"/>
    </row>
    <row r="1024">
      <c r="G1024" s="40"/>
      <c r="H1024" s="42"/>
      <c r="I1024" s="104"/>
      <c r="J1024" s="105"/>
      <c r="K1024" s="106"/>
      <c r="L1024" s="107"/>
    </row>
    <row r="1025">
      <c r="G1025" s="40"/>
      <c r="H1025" s="42"/>
      <c r="I1025" s="104"/>
      <c r="J1025" s="105"/>
      <c r="K1025" s="106"/>
      <c r="L1025" s="107"/>
    </row>
    <row r="1026">
      <c r="G1026" s="40"/>
      <c r="H1026" s="42"/>
      <c r="I1026" s="104"/>
      <c r="J1026" s="105"/>
      <c r="K1026" s="106"/>
      <c r="L1026" s="107"/>
    </row>
    <row r="1027">
      <c r="G1027" s="40"/>
      <c r="H1027" s="42"/>
      <c r="I1027" s="104"/>
      <c r="J1027" s="105"/>
      <c r="K1027" s="106"/>
      <c r="L1027" s="107"/>
    </row>
    <row r="1028">
      <c r="G1028" s="40"/>
      <c r="H1028" s="42"/>
      <c r="I1028" s="104"/>
      <c r="J1028" s="105"/>
      <c r="K1028" s="106"/>
      <c r="L1028" s="107"/>
    </row>
    <row r="1029">
      <c r="G1029" s="40"/>
      <c r="H1029" s="42"/>
      <c r="I1029" s="104"/>
      <c r="J1029" s="105"/>
      <c r="K1029" s="106"/>
      <c r="L1029" s="107"/>
    </row>
    <row r="1030">
      <c r="G1030" s="40"/>
      <c r="H1030" s="42"/>
      <c r="I1030" s="104"/>
      <c r="J1030" s="105"/>
      <c r="K1030" s="106"/>
      <c r="L1030" s="107"/>
    </row>
    <row r="1031">
      <c r="G1031" s="40"/>
      <c r="H1031" s="42"/>
      <c r="I1031" s="104"/>
      <c r="J1031" s="105"/>
      <c r="K1031" s="106"/>
      <c r="L1031" s="107"/>
    </row>
    <row r="1032">
      <c r="G1032" s="40"/>
      <c r="H1032" s="42"/>
      <c r="I1032" s="104"/>
      <c r="J1032" s="105"/>
      <c r="K1032" s="106"/>
      <c r="L1032" s="107"/>
    </row>
    <row r="1033">
      <c r="G1033" s="40"/>
      <c r="H1033" s="42"/>
      <c r="I1033" s="104"/>
      <c r="J1033" s="105"/>
      <c r="K1033" s="106"/>
      <c r="L1033" s="107"/>
    </row>
    <row r="1034">
      <c r="G1034" s="40"/>
      <c r="H1034" s="42"/>
      <c r="I1034" s="104"/>
      <c r="J1034" s="105"/>
      <c r="K1034" s="106"/>
      <c r="L1034" s="107"/>
    </row>
    <row r="1035">
      <c r="G1035" s="40"/>
      <c r="H1035" s="42"/>
      <c r="I1035" s="104"/>
      <c r="J1035" s="105"/>
      <c r="K1035" s="106"/>
      <c r="L1035" s="107"/>
    </row>
    <row r="1036">
      <c r="G1036" s="40"/>
      <c r="H1036" s="42"/>
      <c r="I1036" s="104"/>
      <c r="J1036" s="105"/>
      <c r="K1036" s="106"/>
      <c r="L1036" s="107"/>
    </row>
    <row r="1037">
      <c r="G1037" s="40"/>
      <c r="H1037" s="42"/>
      <c r="I1037" s="104"/>
      <c r="J1037" s="105"/>
      <c r="K1037" s="106"/>
      <c r="L1037" s="107"/>
    </row>
    <row r="1038">
      <c r="G1038" s="40"/>
      <c r="H1038" s="42"/>
      <c r="I1038" s="104"/>
      <c r="J1038" s="105"/>
      <c r="K1038" s="106"/>
      <c r="L1038" s="107"/>
    </row>
    <row r="1039">
      <c r="G1039" s="40"/>
      <c r="H1039" s="42"/>
      <c r="I1039" s="104"/>
      <c r="J1039" s="105"/>
      <c r="K1039" s="106"/>
      <c r="L1039" s="107"/>
    </row>
    <row r="1040">
      <c r="G1040" s="40"/>
      <c r="H1040" s="42"/>
      <c r="I1040" s="104"/>
      <c r="J1040" s="105"/>
      <c r="K1040" s="106"/>
      <c r="L1040" s="107"/>
    </row>
    <row r="1041">
      <c r="G1041" s="40"/>
      <c r="H1041" s="42"/>
      <c r="I1041" s="104"/>
      <c r="J1041" s="105"/>
      <c r="K1041" s="106"/>
      <c r="L1041" s="107"/>
    </row>
    <row r="1042">
      <c r="G1042" s="40"/>
      <c r="H1042" s="42"/>
      <c r="I1042" s="104"/>
      <c r="J1042" s="105"/>
      <c r="K1042" s="106"/>
      <c r="L1042" s="107"/>
    </row>
    <row r="1043">
      <c r="G1043" s="40"/>
      <c r="H1043" s="42"/>
      <c r="I1043" s="104"/>
      <c r="J1043" s="105"/>
      <c r="K1043" s="106"/>
      <c r="L1043" s="107"/>
    </row>
    <row r="1044">
      <c r="G1044" s="40"/>
      <c r="H1044" s="42"/>
      <c r="I1044" s="104"/>
      <c r="J1044" s="105"/>
      <c r="K1044" s="106"/>
      <c r="L1044" s="107"/>
    </row>
    <row r="1045">
      <c r="G1045" s="40"/>
      <c r="H1045" s="42"/>
      <c r="I1045" s="104"/>
      <c r="J1045" s="105"/>
      <c r="K1045" s="106"/>
      <c r="L1045" s="107"/>
    </row>
    <row r="1046">
      <c r="G1046" s="40"/>
      <c r="H1046" s="42"/>
      <c r="I1046" s="104"/>
      <c r="J1046" s="105"/>
      <c r="K1046" s="106"/>
      <c r="L1046" s="107"/>
    </row>
    <row r="1047">
      <c r="G1047" s="40"/>
      <c r="H1047" s="42"/>
      <c r="I1047" s="104"/>
      <c r="J1047" s="105"/>
      <c r="K1047" s="106"/>
      <c r="L1047" s="107"/>
    </row>
    <row r="1048">
      <c r="G1048" s="40"/>
      <c r="H1048" s="42"/>
      <c r="I1048" s="104"/>
      <c r="J1048" s="105"/>
      <c r="K1048" s="106"/>
      <c r="L1048" s="107"/>
    </row>
    <row r="1049">
      <c r="G1049" s="40"/>
      <c r="H1049" s="42"/>
      <c r="I1049" s="104"/>
      <c r="J1049" s="105"/>
      <c r="K1049" s="106"/>
      <c r="L1049" s="107"/>
    </row>
    <row r="1050">
      <c r="G1050" s="40"/>
      <c r="H1050" s="42"/>
      <c r="I1050" s="104"/>
      <c r="J1050" s="105"/>
      <c r="K1050" s="106"/>
      <c r="L1050" s="107"/>
    </row>
    <row r="1051">
      <c r="G1051" s="40"/>
      <c r="H1051" s="42"/>
      <c r="I1051" s="104"/>
      <c r="J1051" s="105"/>
      <c r="K1051" s="106"/>
      <c r="L1051" s="107"/>
    </row>
    <row r="1052">
      <c r="G1052" s="40"/>
      <c r="H1052" s="42"/>
      <c r="I1052" s="104"/>
      <c r="J1052" s="105"/>
      <c r="K1052" s="106"/>
      <c r="L1052" s="107"/>
    </row>
    <row r="1053">
      <c r="G1053" s="40"/>
      <c r="H1053" s="42"/>
      <c r="I1053" s="104"/>
      <c r="J1053" s="105"/>
      <c r="K1053" s="106"/>
      <c r="L1053" s="107"/>
    </row>
    <row r="1054">
      <c r="G1054" s="40"/>
      <c r="H1054" s="42"/>
      <c r="I1054" s="104"/>
      <c r="J1054" s="105"/>
      <c r="K1054" s="106"/>
      <c r="L1054" s="107"/>
    </row>
    <row r="1055">
      <c r="G1055" s="40"/>
      <c r="H1055" s="42"/>
      <c r="I1055" s="104"/>
      <c r="J1055" s="105"/>
      <c r="K1055" s="106"/>
      <c r="L1055" s="107"/>
    </row>
    <row r="1056">
      <c r="G1056" s="40"/>
      <c r="H1056" s="42"/>
      <c r="I1056" s="104"/>
      <c r="J1056" s="105"/>
      <c r="K1056" s="106"/>
      <c r="L1056" s="107"/>
    </row>
    <row r="1057">
      <c r="G1057" s="40"/>
      <c r="H1057" s="42"/>
      <c r="I1057" s="104"/>
      <c r="J1057" s="105"/>
      <c r="K1057" s="106"/>
      <c r="L1057" s="107"/>
    </row>
    <row r="1058">
      <c r="G1058" s="40"/>
      <c r="H1058" s="42"/>
      <c r="I1058" s="104"/>
      <c r="J1058" s="105"/>
      <c r="K1058" s="106"/>
      <c r="L1058" s="107"/>
    </row>
    <row r="1059">
      <c r="G1059" s="40"/>
      <c r="H1059" s="42"/>
      <c r="I1059" s="104"/>
      <c r="J1059" s="105"/>
      <c r="K1059" s="106"/>
      <c r="L1059" s="107"/>
    </row>
    <row r="1060">
      <c r="G1060" s="40"/>
      <c r="H1060" s="42"/>
      <c r="I1060" s="104"/>
      <c r="J1060" s="105"/>
      <c r="K1060" s="106"/>
      <c r="L1060" s="107"/>
    </row>
    <row r="1061">
      <c r="G1061" s="40"/>
      <c r="H1061" s="42"/>
      <c r="I1061" s="104"/>
      <c r="J1061" s="105"/>
      <c r="K1061" s="106"/>
      <c r="L1061" s="107"/>
    </row>
    <row r="1062">
      <c r="G1062" s="40"/>
      <c r="H1062" s="42"/>
      <c r="I1062" s="104"/>
      <c r="J1062" s="105"/>
      <c r="K1062" s="106"/>
      <c r="L1062" s="107"/>
    </row>
    <row r="1063">
      <c r="G1063" s="40"/>
      <c r="H1063" s="42"/>
      <c r="I1063" s="104"/>
      <c r="J1063" s="105"/>
      <c r="K1063" s="106"/>
      <c r="L1063" s="107"/>
    </row>
    <row r="1064">
      <c r="G1064" s="40"/>
      <c r="H1064" s="42"/>
      <c r="I1064" s="104"/>
      <c r="J1064" s="105"/>
      <c r="K1064" s="106"/>
      <c r="L1064" s="107"/>
    </row>
    <row r="1065">
      <c r="G1065" s="40"/>
      <c r="H1065" s="42"/>
      <c r="I1065" s="104"/>
      <c r="J1065" s="105"/>
      <c r="K1065" s="106"/>
      <c r="L1065" s="107"/>
    </row>
    <row r="1066">
      <c r="G1066" s="40"/>
      <c r="H1066" s="42"/>
      <c r="I1066" s="104"/>
      <c r="J1066" s="105"/>
      <c r="K1066" s="106"/>
      <c r="L1066" s="107"/>
    </row>
    <row r="1067">
      <c r="G1067" s="40"/>
      <c r="H1067" s="42"/>
      <c r="I1067" s="104"/>
      <c r="J1067" s="105"/>
      <c r="K1067" s="106"/>
      <c r="L1067" s="107"/>
    </row>
    <row r="1068">
      <c r="G1068" s="40"/>
      <c r="H1068" s="42"/>
      <c r="I1068" s="104"/>
      <c r="J1068" s="105"/>
      <c r="K1068" s="106"/>
      <c r="L1068" s="107"/>
    </row>
    <row r="1069">
      <c r="G1069" s="40"/>
      <c r="H1069" s="42"/>
      <c r="I1069" s="104"/>
      <c r="J1069" s="105"/>
      <c r="K1069" s="106"/>
      <c r="L1069" s="107"/>
    </row>
    <row r="1070">
      <c r="G1070" s="40"/>
      <c r="H1070" s="42"/>
      <c r="I1070" s="104"/>
      <c r="J1070" s="105"/>
      <c r="K1070" s="106"/>
      <c r="L1070" s="107"/>
    </row>
    <row r="1071">
      <c r="G1071" s="40"/>
      <c r="H1071" s="42"/>
      <c r="I1071" s="104"/>
      <c r="J1071" s="105"/>
      <c r="K1071" s="106"/>
      <c r="L1071" s="107"/>
    </row>
    <row r="1072">
      <c r="G1072" s="40"/>
      <c r="H1072" s="42"/>
      <c r="I1072" s="104"/>
      <c r="J1072" s="105"/>
      <c r="K1072" s="106"/>
      <c r="L1072" s="107"/>
    </row>
    <row r="1073">
      <c r="G1073" s="40"/>
      <c r="H1073" s="42"/>
      <c r="I1073" s="104"/>
      <c r="J1073" s="105"/>
      <c r="K1073" s="106"/>
      <c r="L1073" s="107"/>
    </row>
    <row r="1074">
      <c r="G1074" s="40"/>
      <c r="H1074" s="42"/>
      <c r="I1074" s="104"/>
      <c r="J1074" s="105"/>
      <c r="K1074" s="106"/>
      <c r="L1074" s="107"/>
    </row>
    <row r="1075">
      <c r="G1075" s="40"/>
      <c r="H1075" s="42"/>
      <c r="I1075" s="104"/>
      <c r="J1075" s="105"/>
      <c r="K1075" s="106"/>
      <c r="L1075" s="107"/>
    </row>
    <row r="1076">
      <c r="G1076" s="40"/>
      <c r="H1076" s="42"/>
      <c r="I1076" s="104"/>
      <c r="J1076" s="105"/>
      <c r="K1076" s="106"/>
      <c r="L1076" s="107"/>
    </row>
    <row r="1077">
      <c r="G1077" s="40"/>
      <c r="H1077" s="42"/>
      <c r="I1077" s="104"/>
      <c r="J1077" s="105"/>
      <c r="K1077" s="106"/>
      <c r="L1077" s="107"/>
    </row>
    <row r="1078">
      <c r="G1078" s="40"/>
      <c r="H1078" s="42"/>
      <c r="I1078" s="104"/>
      <c r="J1078" s="105"/>
      <c r="K1078" s="106"/>
      <c r="L1078" s="107"/>
    </row>
    <row r="1079">
      <c r="G1079" s="40"/>
      <c r="H1079" s="42"/>
      <c r="I1079" s="104"/>
      <c r="J1079" s="105"/>
      <c r="K1079" s="106"/>
      <c r="L1079" s="107"/>
    </row>
    <row r="1080">
      <c r="G1080" s="40"/>
      <c r="H1080" s="42"/>
      <c r="I1080" s="104"/>
      <c r="J1080" s="105"/>
      <c r="K1080" s="106"/>
      <c r="L1080" s="107"/>
    </row>
    <row r="1081">
      <c r="G1081" s="40"/>
      <c r="H1081" s="42"/>
      <c r="I1081" s="104"/>
      <c r="J1081" s="105"/>
      <c r="K1081" s="106"/>
      <c r="L1081" s="107"/>
    </row>
    <row r="1082">
      <c r="G1082" s="40"/>
      <c r="H1082" s="42"/>
      <c r="I1082" s="104"/>
      <c r="J1082" s="105"/>
      <c r="K1082" s="106"/>
      <c r="L1082" s="107"/>
    </row>
    <row r="1083">
      <c r="G1083" s="40"/>
      <c r="H1083" s="42"/>
      <c r="I1083" s="104"/>
      <c r="J1083" s="105"/>
      <c r="K1083" s="106"/>
      <c r="L1083" s="107"/>
    </row>
    <row r="1084">
      <c r="G1084" s="40"/>
      <c r="H1084" s="42"/>
      <c r="I1084" s="104"/>
      <c r="J1084" s="105"/>
      <c r="K1084" s="106"/>
      <c r="L1084" s="107"/>
    </row>
    <row r="1085">
      <c r="G1085" s="40"/>
      <c r="H1085" s="42"/>
      <c r="I1085" s="104"/>
      <c r="J1085" s="105"/>
      <c r="K1085" s="106"/>
      <c r="L1085" s="107"/>
    </row>
    <row r="1086">
      <c r="G1086" s="40"/>
      <c r="H1086" s="42"/>
      <c r="I1086" s="104"/>
      <c r="J1086" s="105"/>
      <c r="K1086" s="106"/>
      <c r="L1086" s="107"/>
    </row>
    <row r="1087">
      <c r="G1087" s="40"/>
      <c r="H1087" s="42"/>
      <c r="I1087" s="104"/>
      <c r="J1087" s="105"/>
      <c r="K1087" s="106"/>
      <c r="L1087" s="107"/>
    </row>
    <row r="1088">
      <c r="G1088" s="40"/>
      <c r="H1088" s="42"/>
      <c r="I1088" s="104"/>
      <c r="J1088" s="105"/>
      <c r="K1088" s="106"/>
      <c r="L1088" s="107"/>
    </row>
    <row r="1089">
      <c r="G1089" s="40"/>
      <c r="H1089" s="42"/>
      <c r="I1089" s="104"/>
      <c r="J1089" s="105"/>
      <c r="K1089" s="106"/>
      <c r="L1089" s="107"/>
    </row>
  </sheetData>
  <hyperlinks>
    <hyperlink r:id="rId1" ref="O35"/>
    <hyperlink r:id="rId2" ref="O3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40.63"/>
    <col customWidth="1" min="2" max="2" width="10.13"/>
    <col customWidth="1" min="3" max="3" width="4.13"/>
    <col customWidth="1" min="4" max="37" width="3.0"/>
    <col customWidth="1" min="38" max="38" width="10.38"/>
    <col customWidth="1" min="39" max="39" width="12.63"/>
    <col customWidth="1" min="40" max="40" width="10.25"/>
    <col customWidth="1" min="41" max="42" width="9.3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2"/>
      <c r="AM1" s="1"/>
      <c r="AN1" s="1"/>
      <c r="AO1" s="2"/>
      <c r="AP1" s="2"/>
      <c r="AQ1" s="3">
        <v>45839.0</v>
      </c>
    </row>
    <row r="2">
      <c r="A2" s="4" t="s">
        <v>1</v>
      </c>
      <c r="B2" s="4" t="s">
        <v>2</v>
      </c>
      <c r="C2" s="5" t="str">
        <f>UPPER("HARI / BULAN : " &amp; TEXT(AQ1, "MMMM YYYY"))</f>
        <v>HARI / BULAN : JULI 2025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  <c r="AL2" s="8"/>
      <c r="AM2" s="9"/>
      <c r="AN2" s="9"/>
      <c r="AO2" s="8"/>
      <c r="AP2" s="8"/>
      <c r="AQ2" s="10"/>
    </row>
    <row r="3">
      <c r="A3" s="11"/>
      <c r="B3" s="11"/>
      <c r="C3" s="12" t="str">
        <f t="shared" ref="C3:AG3" si="1">TEXT(C4,"dddd")</f>
        <v>Selasa</v>
      </c>
      <c r="D3" s="12" t="str">
        <f t="shared" si="1"/>
        <v>Rabu</v>
      </c>
      <c r="E3" s="12" t="str">
        <f t="shared" si="1"/>
        <v>Kamis</v>
      </c>
      <c r="F3" s="12" t="str">
        <f t="shared" si="1"/>
        <v>Jumat</v>
      </c>
      <c r="G3" s="12" t="str">
        <f t="shared" si="1"/>
        <v>Sabtu</v>
      </c>
      <c r="H3" s="12" t="str">
        <f t="shared" si="1"/>
        <v>Minggu</v>
      </c>
      <c r="I3" s="12" t="str">
        <f t="shared" si="1"/>
        <v>Senin</v>
      </c>
      <c r="J3" s="12" t="str">
        <f t="shared" si="1"/>
        <v>Selasa</v>
      </c>
      <c r="K3" s="12" t="str">
        <f t="shared" si="1"/>
        <v>Rabu</v>
      </c>
      <c r="L3" s="12" t="str">
        <f t="shared" si="1"/>
        <v>Kamis</v>
      </c>
      <c r="M3" s="12" t="str">
        <f t="shared" si="1"/>
        <v>Jumat</v>
      </c>
      <c r="N3" s="12" t="str">
        <f t="shared" si="1"/>
        <v>Sabtu</v>
      </c>
      <c r="O3" s="12" t="str">
        <f t="shared" si="1"/>
        <v>Minggu</v>
      </c>
      <c r="P3" s="12" t="str">
        <f t="shared" si="1"/>
        <v>Senin</v>
      </c>
      <c r="Q3" s="12" t="str">
        <f t="shared" si="1"/>
        <v>Selasa</v>
      </c>
      <c r="R3" s="12" t="str">
        <f t="shared" si="1"/>
        <v>Rabu</v>
      </c>
      <c r="S3" s="12" t="str">
        <f t="shared" si="1"/>
        <v>Kamis</v>
      </c>
      <c r="T3" s="12" t="str">
        <f t="shared" si="1"/>
        <v>Jumat</v>
      </c>
      <c r="U3" s="12" t="str">
        <f t="shared" si="1"/>
        <v>Sabtu</v>
      </c>
      <c r="V3" s="12" t="str">
        <f t="shared" si="1"/>
        <v>Minggu</v>
      </c>
      <c r="W3" s="12" t="str">
        <f t="shared" si="1"/>
        <v>Senin</v>
      </c>
      <c r="X3" s="12" t="str">
        <f t="shared" si="1"/>
        <v>Selasa</v>
      </c>
      <c r="Y3" s="12" t="str">
        <f t="shared" si="1"/>
        <v>Rabu</v>
      </c>
      <c r="Z3" s="12" t="str">
        <f t="shared" si="1"/>
        <v>Kamis</v>
      </c>
      <c r="AA3" s="12" t="str">
        <f t="shared" si="1"/>
        <v>Jumat</v>
      </c>
      <c r="AB3" s="12" t="str">
        <f t="shared" si="1"/>
        <v>Sabtu</v>
      </c>
      <c r="AC3" s="12" t="str">
        <f t="shared" si="1"/>
        <v>Minggu</v>
      </c>
      <c r="AD3" s="12" t="str">
        <f t="shared" si="1"/>
        <v>Senin</v>
      </c>
      <c r="AE3" s="12" t="str">
        <f t="shared" si="1"/>
        <v>Selasa</v>
      </c>
      <c r="AF3" s="12" t="str">
        <f t="shared" si="1"/>
        <v>Rabu</v>
      </c>
      <c r="AG3" s="12" t="str">
        <f t="shared" si="1"/>
        <v>Kamis</v>
      </c>
      <c r="AH3" s="13" t="s">
        <v>3</v>
      </c>
      <c r="AI3" s="13" t="s">
        <v>4</v>
      </c>
      <c r="AJ3" s="13" t="s">
        <v>5</v>
      </c>
      <c r="AK3" s="13" t="s">
        <v>6</v>
      </c>
      <c r="AL3" s="14" t="s">
        <v>7</v>
      </c>
      <c r="AM3" s="13" t="s">
        <v>8</v>
      </c>
      <c r="AN3" s="13" t="s">
        <v>9</v>
      </c>
      <c r="AO3" s="14" t="s">
        <v>10</v>
      </c>
      <c r="AP3" s="14" t="s">
        <v>509</v>
      </c>
      <c r="AQ3" s="10"/>
    </row>
    <row r="4">
      <c r="A4" s="15"/>
      <c r="B4" s="15"/>
      <c r="C4" s="16">
        <f>AQ1</f>
        <v>45839</v>
      </c>
      <c r="D4" s="16">
        <f t="shared" ref="D4:AG4" si="2">IF(AND(MONTH(C4+1) = MONTH(C4), C4&lt;&gt;""),C4  + 1, "")</f>
        <v>45840</v>
      </c>
      <c r="E4" s="16">
        <f t="shared" si="2"/>
        <v>45841</v>
      </c>
      <c r="F4" s="16">
        <f t="shared" si="2"/>
        <v>45842</v>
      </c>
      <c r="G4" s="16">
        <f t="shared" si="2"/>
        <v>45843</v>
      </c>
      <c r="H4" s="16">
        <f t="shared" si="2"/>
        <v>45844</v>
      </c>
      <c r="I4" s="16">
        <f t="shared" si="2"/>
        <v>45845</v>
      </c>
      <c r="J4" s="16">
        <f t="shared" si="2"/>
        <v>45846</v>
      </c>
      <c r="K4" s="16">
        <f t="shared" si="2"/>
        <v>45847</v>
      </c>
      <c r="L4" s="16">
        <f t="shared" si="2"/>
        <v>45848</v>
      </c>
      <c r="M4" s="16">
        <f t="shared" si="2"/>
        <v>45849</v>
      </c>
      <c r="N4" s="16">
        <f t="shared" si="2"/>
        <v>45850</v>
      </c>
      <c r="O4" s="16">
        <f t="shared" si="2"/>
        <v>45851</v>
      </c>
      <c r="P4" s="16">
        <f t="shared" si="2"/>
        <v>45852</v>
      </c>
      <c r="Q4" s="16">
        <f t="shared" si="2"/>
        <v>45853</v>
      </c>
      <c r="R4" s="16">
        <f t="shared" si="2"/>
        <v>45854</v>
      </c>
      <c r="S4" s="16">
        <f t="shared" si="2"/>
        <v>45855</v>
      </c>
      <c r="T4" s="16">
        <f t="shared" si="2"/>
        <v>45856</v>
      </c>
      <c r="U4" s="16">
        <f t="shared" si="2"/>
        <v>45857</v>
      </c>
      <c r="V4" s="16">
        <f t="shared" si="2"/>
        <v>45858</v>
      </c>
      <c r="W4" s="16">
        <f t="shared" si="2"/>
        <v>45859</v>
      </c>
      <c r="X4" s="16">
        <f t="shared" si="2"/>
        <v>45860</v>
      </c>
      <c r="Y4" s="16">
        <f t="shared" si="2"/>
        <v>45861</v>
      </c>
      <c r="Z4" s="16">
        <f t="shared" si="2"/>
        <v>45862</v>
      </c>
      <c r="AA4" s="16">
        <f t="shared" si="2"/>
        <v>45863</v>
      </c>
      <c r="AB4" s="16">
        <f t="shared" si="2"/>
        <v>45864</v>
      </c>
      <c r="AC4" s="16">
        <f t="shared" si="2"/>
        <v>45865</v>
      </c>
      <c r="AD4" s="16">
        <f t="shared" si="2"/>
        <v>45866</v>
      </c>
      <c r="AE4" s="16">
        <f t="shared" si="2"/>
        <v>45867</v>
      </c>
      <c r="AF4" s="16">
        <f t="shared" si="2"/>
        <v>45868</v>
      </c>
      <c r="AG4" s="16">
        <f t="shared" si="2"/>
        <v>45869</v>
      </c>
      <c r="AH4" s="17"/>
      <c r="AI4" s="17"/>
      <c r="AJ4" s="18"/>
      <c r="AK4" s="18"/>
      <c r="AL4" s="19"/>
      <c r="AM4" s="18"/>
      <c r="AN4" s="18"/>
      <c r="AO4" s="19"/>
      <c r="AP4" s="19"/>
      <c r="AQ4" s="10"/>
    </row>
    <row r="5">
      <c r="A5" s="20" t="str">
        <f>'MASTER STOCK'!F2</f>
        <v>Fitting Gantung</v>
      </c>
      <c r="B5" s="21">
        <f>'MASTER STOCK'!G2</f>
        <v>12</v>
      </c>
      <c r="C5" s="22"/>
      <c r="D5" s="2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23">
        <f t="shared" ref="AH5:AH384" si="3">SUM(C5:AG5)</f>
        <v>0</v>
      </c>
      <c r="AI5" s="24">
        <f t="shared" ref="AI5:AI378" si="4">B5-SUM(C5:AG5)</f>
        <v>12</v>
      </c>
      <c r="AJ5" s="23">
        <f t="shared" ref="AJ5:AJ378" si="5">B5-AH5</f>
        <v>12</v>
      </c>
      <c r="AK5" s="23">
        <f t="shared" ref="AK5:AK378" si="6">AJ5-AI5</f>
        <v>0</v>
      </c>
      <c r="AL5" s="25">
        <f>'MASTER STOCK'!I2</f>
        <v>1400</v>
      </c>
      <c r="AM5" s="27">
        <f>'MASTER STOCK'!L2</f>
        <v>1820</v>
      </c>
      <c r="AN5" s="26">
        <f t="shared" ref="AN5:AN370" si="7">AH5*AM5</f>
        <v>0</v>
      </c>
      <c r="AO5" s="27">
        <f t="shared" ref="AO5:AO370" si="8">AN5-(AH5*AL5)</f>
        <v>0</v>
      </c>
      <c r="AP5" s="25">
        <f t="shared" ref="AP5:AP387" si="9">AH5*AL5</f>
        <v>0</v>
      </c>
      <c r="AQ5" s="10"/>
    </row>
    <row r="6">
      <c r="A6" s="20" t="str">
        <f>'MASTER STOCK'!F3</f>
        <v>Colokan T </v>
      </c>
      <c r="B6" s="21">
        <f>'MASTER STOCK'!G3</f>
        <v>12</v>
      </c>
      <c r="C6" s="22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23">
        <f t="shared" si="3"/>
        <v>0</v>
      </c>
      <c r="AI6" s="24">
        <f t="shared" si="4"/>
        <v>12</v>
      </c>
      <c r="AJ6" s="23">
        <f t="shared" si="5"/>
        <v>12</v>
      </c>
      <c r="AK6" s="23">
        <f t="shared" si="6"/>
        <v>0</v>
      </c>
      <c r="AL6" s="25">
        <f>'MASTER STOCK'!I3</f>
        <v>3000</v>
      </c>
      <c r="AM6" s="27">
        <f>'MASTER STOCK'!L3</f>
        <v>3900</v>
      </c>
      <c r="AN6" s="26">
        <f t="shared" si="7"/>
        <v>0</v>
      </c>
      <c r="AO6" s="27">
        <f t="shared" si="8"/>
        <v>0</v>
      </c>
      <c r="AP6" s="25">
        <f t="shared" si="9"/>
        <v>0</v>
      </c>
      <c r="AQ6" s="10"/>
    </row>
    <row r="7">
      <c r="A7" s="20" t="str">
        <f>'MASTER STOCK'!F4</f>
        <v>Steker Bulat</v>
      </c>
      <c r="B7" s="21">
        <f>'MASTER STOCK'!G4</f>
        <v>12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23">
        <f t="shared" si="3"/>
        <v>0</v>
      </c>
      <c r="AI7" s="24">
        <f t="shared" si="4"/>
        <v>12</v>
      </c>
      <c r="AJ7" s="23">
        <f t="shared" si="5"/>
        <v>12</v>
      </c>
      <c r="AK7" s="23">
        <f t="shared" si="6"/>
        <v>0</v>
      </c>
      <c r="AL7" s="25">
        <f>'MASTER STOCK'!I4</f>
        <v>3000</v>
      </c>
      <c r="AM7" s="27">
        <f>'MASTER STOCK'!L4</f>
        <v>6000</v>
      </c>
      <c r="AN7" s="26">
        <f t="shared" si="7"/>
        <v>0</v>
      </c>
      <c r="AO7" s="27">
        <f t="shared" si="8"/>
        <v>0</v>
      </c>
      <c r="AP7" s="25">
        <f t="shared" si="9"/>
        <v>0</v>
      </c>
      <c r="AQ7" s="10"/>
    </row>
    <row r="8">
      <c r="A8" s="20" t="str">
        <f>'MASTER STOCK'!F5</f>
        <v>Steker Gepeng</v>
      </c>
      <c r="B8" s="21">
        <f>'MASTER STOCK'!G5</f>
        <v>12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23">
        <f t="shared" si="3"/>
        <v>0</v>
      </c>
      <c r="AI8" s="24">
        <f t="shared" si="4"/>
        <v>12</v>
      </c>
      <c r="AJ8" s="23">
        <f t="shared" si="5"/>
        <v>12</v>
      </c>
      <c r="AK8" s="23">
        <f t="shared" si="6"/>
        <v>0</v>
      </c>
      <c r="AL8" s="25">
        <f>'MASTER STOCK'!I5</f>
        <v>1100</v>
      </c>
      <c r="AM8" s="27">
        <f>'MASTER STOCK'!L5</f>
        <v>1430</v>
      </c>
      <c r="AN8" s="26">
        <f t="shared" si="7"/>
        <v>0</v>
      </c>
      <c r="AO8" s="27">
        <f t="shared" si="8"/>
        <v>0</v>
      </c>
      <c r="AP8" s="25">
        <f t="shared" si="9"/>
        <v>0</v>
      </c>
      <c r="AQ8" s="10"/>
    </row>
    <row r="9">
      <c r="A9" s="20" t="str">
        <f>'MASTER STOCK'!F6</f>
        <v>Saklar Gantung Putih jumbo</v>
      </c>
      <c r="B9" s="21">
        <f>'MASTER STOCK'!G6</f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23">
        <f t="shared" si="3"/>
        <v>0</v>
      </c>
      <c r="AI9" s="24">
        <f t="shared" si="4"/>
        <v>12</v>
      </c>
      <c r="AJ9" s="23">
        <f t="shared" si="5"/>
        <v>12</v>
      </c>
      <c r="AK9" s="23">
        <f t="shared" si="6"/>
        <v>0</v>
      </c>
      <c r="AL9" s="25">
        <f>'MASTER STOCK'!I6</f>
        <v>2250</v>
      </c>
      <c r="AM9" s="27">
        <f>'MASTER STOCK'!L6</f>
        <v>4000</v>
      </c>
      <c r="AN9" s="26">
        <f t="shared" si="7"/>
        <v>0</v>
      </c>
      <c r="AO9" s="27">
        <f t="shared" si="8"/>
        <v>0</v>
      </c>
      <c r="AP9" s="25">
        <f t="shared" si="9"/>
        <v>0</v>
      </c>
      <c r="AQ9" s="10"/>
    </row>
    <row r="10">
      <c r="A10" s="20" t="str">
        <f>'MASTER STOCK'!F7</f>
        <v>Saklar Gantung Hitam</v>
      </c>
      <c r="B10" s="21">
        <f>'MASTER STOCK'!G7</f>
        <v>12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23">
        <f t="shared" si="3"/>
        <v>0</v>
      </c>
      <c r="AI10" s="24">
        <f t="shared" si="4"/>
        <v>12</v>
      </c>
      <c r="AJ10" s="23">
        <f t="shared" si="5"/>
        <v>12</v>
      </c>
      <c r="AK10" s="23">
        <f t="shared" si="6"/>
        <v>0</v>
      </c>
      <c r="AL10" s="25">
        <f>'MASTER STOCK'!I7</f>
        <v>1850</v>
      </c>
      <c r="AM10" s="27">
        <f>'MASTER STOCK'!L7</f>
        <v>4000</v>
      </c>
      <c r="AN10" s="26">
        <f t="shared" si="7"/>
        <v>0</v>
      </c>
      <c r="AO10" s="27">
        <f t="shared" si="8"/>
        <v>0</v>
      </c>
      <c r="AP10" s="25">
        <f t="shared" si="9"/>
        <v>0</v>
      </c>
      <c r="AQ10" s="10"/>
    </row>
    <row r="11">
      <c r="A11" s="20" t="str">
        <f>'MASTER STOCK'!F8</f>
        <v>Isolasi Hitam National</v>
      </c>
      <c r="B11" s="21">
        <f>'MASTER STOCK'!G8</f>
        <v>20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23">
        <f t="shared" si="3"/>
        <v>0</v>
      </c>
      <c r="AI11" s="24">
        <f t="shared" si="4"/>
        <v>20</v>
      </c>
      <c r="AJ11" s="23">
        <f t="shared" si="5"/>
        <v>20</v>
      </c>
      <c r="AK11" s="23">
        <f t="shared" si="6"/>
        <v>0</v>
      </c>
      <c r="AL11" s="25">
        <f>'MASTER STOCK'!I8</f>
        <v>5150</v>
      </c>
      <c r="AM11" s="27">
        <f>'MASTER STOCK'!L8</f>
        <v>7982.5</v>
      </c>
      <c r="AN11" s="26">
        <f t="shared" si="7"/>
        <v>0</v>
      </c>
      <c r="AO11" s="27">
        <f t="shared" si="8"/>
        <v>0</v>
      </c>
      <c r="AP11" s="25">
        <f t="shared" si="9"/>
        <v>0</v>
      </c>
      <c r="AQ11" s="10"/>
    </row>
    <row r="12">
      <c r="A12" s="20" t="str">
        <f>'MASTER STOCK'!F9</f>
        <v>Lem PVC Isarplas 40gram</v>
      </c>
      <c r="B12" s="21">
        <f>'MASTER STOCK'!G9</f>
        <v>24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23">
        <f t="shared" si="3"/>
        <v>0</v>
      </c>
      <c r="AI12" s="24">
        <f t="shared" si="4"/>
        <v>24</v>
      </c>
      <c r="AJ12" s="23">
        <f t="shared" si="5"/>
        <v>24</v>
      </c>
      <c r="AK12" s="23">
        <f t="shared" si="6"/>
        <v>0</v>
      </c>
      <c r="AL12" s="25">
        <f>'MASTER STOCK'!I9</f>
        <v>6900</v>
      </c>
      <c r="AM12" s="27">
        <f>'MASTER STOCK'!L9</f>
        <v>9500</v>
      </c>
      <c r="AN12" s="26">
        <f t="shared" si="7"/>
        <v>0</v>
      </c>
      <c r="AO12" s="27">
        <f t="shared" si="8"/>
        <v>0</v>
      </c>
      <c r="AP12" s="25">
        <f t="shared" si="9"/>
        <v>0</v>
      </c>
      <c r="AQ12" s="10"/>
    </row>
    <row r="13">
      <c r="A13" s="20" t="str">
        <f>'MASTER STOCK'!F10</f>
        <v>Isolasi Kran air onda </v>
      </c>
      <c r="B13" s="21">
        <f>'MASTER STOCK'!G10</f>
        <v>60</v>
      </c>
      <c r="C13" s="23"/>
      <c r="D13" s="23"/>
      <c r="E13" s="23"/>
      <c r="F13" s="2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23">
        <f t="shared" si="3"/>
        <v>0</v>
      </c>
      <c r="AI13" s="24">
        <f t="shared" si="4"/>
        <v>60</v>
      </c>
      <c r="AJ13" s="23">
        <f t="shared" si="5"/>
        <v>60</v>
      </c>
      <c r="AK13" s="23">
        <f t="shared" si="6"/>
        <v>0</v>
      </c>
      <c r="AL13" s="25">
        <f>'MASTER STOCK'!I10</f>
        <v>1150</v>
      </c>
      <c r="AM13" s="27">
        <f>'MASTER STOCK'!L10</f>
        <v>1495</v>
      </c>
      <c r="AN13" s="26">
        <f t="shared" si="7"/>
        <v>0</v>
      </c>
      <c r="AO13" s="27">
        <f t="shared" si="8"/>
        <v>0</v>
      </c>
      <c r="AP13" s="25">
        <f t="shared" si="9"/>
        <v>0</v>
      </c>
      <c r="AQ13" s="10"/>
    </row>
    <row r="14">
      <c r="A14" s="20" t="str">
        <f>'MASTER STOCK'!F11</f>
        <v>Tutup Pipa 3/4"</v>
      </c>
      <c r="B14" s="21">
        <f>'MASTER STOCK'!G11</f>
        <v>50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23">
        <f t="shared" si="3"/>
        <v>0</v>
      </c>
      <c r="AI14" s="24">
        <f t="shared" si="4"/>
        <v>50</v>
      </c>
      <c r="AJ14" s="23">
        <f t="shared" si="5"/>
        <v>50</v>
      </c>
      <c r="AK14" s="23">
        <f t="shared" si="6"/>
        <v>0</v>
      </c>
      <c r="AL14" s="25">
        <f>'MASTER STOCK'!I11</f>
        <v>850</v>
      </c>
      <c r="AM14" s="27">
        <f>'MASTER STOCK'!L11</f>
        <v>1275</v>
      </c>
      <c r="AN14" s="26">
        <f t="shared" si="7"/>
        <v>0</v>
      </c>
      <c r="AO14" s="27">
        <f t="shared" si="8"/>
        <v>0</v>
      </c>
      <c r="AP14" s="25">
        <f t="shared" si="9"/>
        <v>0</v>
      </c>
      <c r="AQ14" s="10"/>
    </row>
    <row r="15">
      <c r="A15" s="20" t="str">
        <f>'MASTER STOCK'!F12</f>
        <v>Fitting lampu gantung outdoor (10 m 5 fitting)</v>
      </c>
      <c r="B15" s="21">
        <f>'MASTER STOCK'!G12</f>
        <v>1</v>
      </c>
      <c r="C15" s="28"/>
      <c r="D15" s="28"/>
      <c r="E15" s="28"/>
      <c r="F15" s="28"/>
      <c r="G15" s="10"/>
      <c r="H15" s="10"/>
      <c r="I15" s="2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23">
        <f t="shared" si="3"/>
        <v>0</v>
      </c>
      <c r="AI15" s="24">
        <f t="shared" si="4"/>
        <v>1</v>
      </c>
      <c r="AJ15" s="23">
        <f t="shared" si="5"/>
        <v>1</v>
      </c>
      <c r="AK15" s="23">
        <f t="shared" si="6"/>
        <v>0</v>
      </c>
      <c r="AL15" s="25">
        <f>'MASTER STOCK'!I12</f>
        <v>38000</v>
      </c>
      <c r="AM15" s="27">
        <f>'MASTER STOCK'!L12</f>
        <v>49400</v>
      </c>
      <c r="AN15" s="26">
        <f t="shared" si="7"/>
        <v>0</v>
      </c>
      <c r="AO15" s="27">
        <f t="shared" si="8"/>
        <v>0</v>
      </c>
      <c r="AP15" s="25">
        <f t="shared" si="9"/>
        <v>0</v>
      </c>
      <c r="AQ15" s="10"/>
    </row>
    <row r="16">
      <c r="A16" s="20" t="str">
        <f>'MASTER STOCK'!F13</f>
        <v>Obeng karet 4" plus</v>
      </c>
      <c r="B16" s="21">
        <f>'MASTER STOCK'!G13</f>
        <v>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23">
        <f t="shared" si="3"/>
        <v>0</v>
      </c>
      <c r="AI16" s="24">
        <f t="shared" si="4"/>
        <v>5</v>
      </c>
      <c r="AJ16" s="23">
        <f t="shared" si="5"/>
        <v>5</v>
      </c>
      <c r="AK16" s="23">
        <f t="shared" si="6"/>
        <v>0</v>
      </c>
      <c r="AL16" s="25">
        <f>'MASTER STOCK'!I13</f>
        <v>5500</v>
      </c>
      <c r="AM16" s="27">
        <f>'MASTER STOCK'!L13</f>
        <v>7150</v>
      </c>
      <c r="AN16" s="26">
        <f t="shared" si="7"/>
        <v>0</v>
      </c>
      <c r="AO16" s="27">
        <f t="shared" si="8"/>
        <v>0</v>
      </c>
      <c r="AP16" s="25">
        <f t="shared" si="9"/>
        <v>0</v>
      </c>
      <c r="AQ16" s="10"/>
    </row>
    <row r="17">
      <c r="A17" s="20" t="str">
        <f>'MASTER STOCK'!F14</f>
        <v>Obeng karet 4" minus</v>
      </c>
      <c r="B17" s="21">
        <f>'MASTER STOCK'!G14</f>
        <v>5</v>
      </c>
      <c r="C17" s="28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22">
        <v>1.0</v>
      </c>
      <c r="T17" s="22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23">
        <f t="shared" si="3"/>
        <v>1</v>
      </c>
      <c r="AI17" s="24">
        <f t="shared" si="4"/>
        <v>4</v>
      </c>
      <c r="AJ17" s="23">
        <f t="shared" si="5"/>
        <v>4</v>
      </c>
      <c r="AK17" s="23">
        <f t="shared" si="6"/>
        <v>0</v>
      </c>
      <c r="AL17" s="25">
        <f>'MASTER STOCK'!I14</f>
        <v>5500</v>
      </c>
      <c r="AM17" s="27">
        <f>'MASTER STOCK'!L14</f>
        <v>7150</v>
      </c>
      <c r="AN17" s="26">
        <f t="shared" si="7"/>
        <v>7150</v>
      </c>
      <c r="AO17" s="27">
        <f t="shared" si="8"/>
        <v>1650</v>
      </c>
      <c r="AP17" s="25">
        <f t="shared" si="9"/>
        <v>5500</v>
      </c>
      <c r="AQ17" s="10"/>
    </row>
    <row r="18">
      <c r="A18" s="20" t="str">
        <f>'MASTER STOCK'!F15</f>
        <v>Obeng karet 6" plus</v>
      </c>
      <c r="B18" s="21">
        <f>'MASTER STOCK'!G15</f>
        <v>5</v>
      </c>
      <c r="C18" s="28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23">
        <f t="shared" si="3"/>
        <v>0</v>
      </c>
      <c r="AI18" s="24">
        <f t="shared" si="4"/>
        <v>5</v>
      </c>
      <c r="AJ18" s="23">
        <f t="shared" si="5"/>
        <v>5</v>
      </c>
      <c r="AK18" s="23">
        <f t="shared" si="6"/>
        <v>0</v>
      </c>
      <c r="AL18" s="25">
        <f>'MASTER STOCK'!I15</f>
        <v>7000</v>
      </c>
      <c r="AM18" s="27">
        <f>'MASTER STOCK'!L15</f>
        <v>9100</v>
      </c>
      <c r="AN18" s="26">
        <f t="shared" si="7"/>
        <v>0</v>
      </c>
      <c r="AO18" s="27">
        <f t="shared" si="8"/>
        <v>0</v>
      </c>
      <c r="AP18" s="25">
        <f t="shared" si="9"/>
        <v>0</v>
      </c>
      <c r="AQ18" s="10"/>
    </row>
    <row r="19">
      <c r="A19" s="20" t="str">
        <f>'MASTER STOCK'!F16</f>
        <v>Obeng karet 6" Minus</v>
      </c>
      <c r="B19" s="21">
        <f>'MASTER STOCK'!G16</f>
        <v>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22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23">
        <f t="shared" si="3"/>
        <v>0</v>
      </c>
      <c r="AI19" s="24">
        <f t="shared" si="4"/>
        <v>5</v>
      </c>
      <c r="AJ19" s="23">
        <f t="shared" si="5"/>
        <v>5</v>
      </c>
      <c r="AK19" s="23">
        <f t="shared" si="6"/>
        <v>0</v>
      </c>
      <c r="AL19" s="25">
        <f>'MASTER STOCK'!I16</f>
        <v>7000</v>
      </c>
      <c r="AM19" s="27">
        <f>'MASTER STOCK'!L16</f>
        <v>9100</v>
      </c>
      <c r="AN19" s="26">
        <f t="shared" si="7"/>
        <v>0</v>
      </c>
      <c r="AO19" s="27">
        <f t="shared" si="8"/>
        <v>0</v>
      </c>
      <c r="AP19" s="25">
        <f t="shared" si="9"/>
        <v>0</v>
      </c>
      <c r="AQ19" s="10"/>
    </row>
    <row r="20">
      <c r="A20" s="20" t="str">
        <f>'MASTER STOCK'!F17</f>
        <v>Kabel Awg 24 Double 2x18 merah hitam</v>
      </c>
      <c r="B20" s="21">
        <f>'MASTER STOCK'!G17</f>
        <v>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23">
        <f t="shared" si="3"/>
        <v>0</v>
      </c>
      <c r="AI20" s="24">
        <f t="shared" si="4"/>
        <v>2</v>
      </c>
      <c r="AJ20" s="23">
        <f t="shared" si="5"/>
        <v>2</v>
      </c>
      <c r="AK20" s="23">
        <f t="shared" si="6"/>
        <v>0</v>
      </c>
      <c r="AL20" s="25">
        <f>'MASTER STOCK'!I17</f>
        <v>106500</v>
      </c>
      <c r="AM20" s="27">
        <f>'MASTER STOCK'!L17</f>
        <v>181050</v>
      </c>
      <c r="AN20" s="26">
        <f t="shared" si="7"/>
        <v>0</v>
      </c>
      <c r="AO20" s="27">
        <f t="shared" si="8"/>
        <v>0</v>
      </c>
      <c r="AP20" s="25">
        <f t="shared" si="9"/>
        <v>0</v>
      </c>
      <c r="AQ20" s="10"/>
    </row>
    <row r="21">
      <c r="A21" s="20" t="str">
        <f>'MASTER STOCK'!F18</f>
        <v>Kabel bintik serabut tembaga motor mobil 20mx0.5mm/0,85mm merah 0,5mm</v>
      </c>
      <c r="B21" s="21">
        <f>'MASTER STOCK'!G18</f>
        <v>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23">
        <f t="shared" si="3"/>
        <v>0</v>
      </c>
      <c r="AI21" s="24">
        <f t="shared" si="4"/>
        <v>2</v>
      </c>
      <c r="AJ21" s="23">
        <f t="shared" si="5"/>
        <v>2</v>
      </c>
      <c r="AK21" s="23">
        <f t="shared" si="6"/>
        <v>0</v>
      </c>
      <c r="AL21" s="25">
        <f>'MASTER STOCK'!I18</f>
        <v>33700</v>
      </c>
      <c r="AM21" s="27">
        <f>'MASTER STOCK'!L18</f>
        <v>57290</v>
      </c>
      <c r="AN21" s="26">
        <f t="shared" si="7"/>
        <v>0</v>
      </c>
      <c r="AO21" s="27">
        <f t="shared" si="8"/>
        <v>0</v>
      </c>
      <c r="AP21" s="25">
        <f t="shared" si="9"/>
        <v>0</v>
      </c>
      <c r="AQ21" s="10"/>
    </row>
    <row r="22">
      <c r="A22" s="20" t="str">
        <f>'MASTER STOCK'!F19</f>
        <v>Kabel bintik serabut tembaga motor mobil 20mx0.5mm/0,85mm hitam 0,5mm</v>
      </c>
      <c r="B22" s="21">
        <f>'MASTER STOCK'!G19</f>
        <v>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23">
        <f t="shared" si="3"/>
        <v>0</v>
      </c>
      <c r="AI22" s="24">
        <f t="shared" si="4"/>
        <v>2</v>
      </c>
      <c r="AJ22" s="23">
        <f t="shared" si="5"/>
        <v>2</v>
      </c>
      <c r="AK22" s="23">
        <f t="shared" si="6"/>
        <v>0</v>
      </c>
      <c r="AL22" s="25">
        <f>'MASTER STOCK'!I19</f>
        <v>33700</v>
      </c>
      <c r="AM22" s="27">
        <f>'MASTER STOCK'!L19</f>
        <v>57290</v>
      </c>
      <c r="AN22" s="26">
        <f t="shared" si="7"/>
        <v>0</v>
      </c>
      <c r="AO22" s="27">
        <f t="shared" si="8"/>
        <v>0</v>
      </c>
      <c r="AP22" s="25">
        <f t="shared" si="9"/>
        <v>0</v>
      </c>
      <c r="AQ22" s="10"/>
    </row>
    <row r="23">
      <c r="A23" s="20" t="str">
        <f>'MASTER STOCK'!F20</f>
        <v>Mata Gerinda keramik 4 inch kering</v>
      </c>
      <c r="B23" s="21">
        <f>'MASTER STOCK'!G20</f>
        <v>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23">
        <f t="shared" si="3"/>
        <v>0</v>
      </c>
      <c r="AI23" s="24">
        <f t="shared" si="4"/>
        <v>5</v>
      </c>
      <c r="AJ23" s="23">
        <f t="shared" si="5"/>
        <v>5</v>
      </c>
      <c r="AK23" s="23">
        <f t="shared" si="6"/>
        <v>0</v>
      </c>
      <c r="AL23" s="25">
        <f>'MASTER STOCK'!I20</f>
        <v>12000</v>
      </c>
      <c r="AM23" s="27">
        <f>'MASTER STOCK'!L20</f>
        <v>18000</v>
      </c>
      <c r="AN23" s="26">
        <f t="shared" si="7"/>
        <v>0</v>
      </c>
      <c r="AO23" s="27">
        <f t="shared" si="8"/>
        <v>0</v>
      </c>
      <c r="AP23" s="25">
        <f t="shared" si="9"/>
        <v>0</v>
      </c>
      <c r="AQ23" s="10"/>
    </row>
    <row r="24">
      <c r="A24" s="20" t="str">
        <f>'MASTER STOCK'!F21</f>
        <v>Kabel tunggal serabut 0.8mmx25m biru 25m</v>
      </c>
      <c r="B24" s="21">
        <f>'MASTER STOCK'!G21</f>
        <v>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23">
        <f t="shared" si="3"/>
        <v>0</v>
      </c>
      <c r="AI24" s="24">
        <f t="shared" si="4"/>
        <v>1</v>
      </c>
      <c r="AJ24" s="23">
        <f t="shared" si="5"/>
        <v>1</v>
      </c>
      <c r="AK24" s="23">
        <f t="shared" si="6"/>
        <v>0</v>
      </c>
      <c r="AL24" s="25">
        <f>'MASTER STOCK'!I21</f>
        <v>17500</v>
      </c>
      <c r="AM24" s="27">
        <f>'MASTER STOCK'!L21</f>
        <v>29750</v>
      </c>
      <c r="AN24" s="26">
        <f t="shared" si="7"/>
        <v>0</v>
      </c>
      <c r="AO24" s="27">
        <f t="shared" si="8"/>
        <v>0</v>
      </c>
      <c r="AP24" s="25">
        <f t="shared" si="9"/>
        <v>0</v>
      </c>
      <c r="AQ24" s="10"/>
    </row>
    <row r="25">
      <c r="A25" s="20" t="str">
        <f>'MASTER STOCK'!F22</f>
        <v>Kabel tunggal serabut 0.8mmx25m Hitam 25m</v>
      </c>
      <c r="B25" s="21">
        <f>'MASTER STOCK'!G22</f>
        <v>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23">
        <f t="shared" si="3"/>
        <v>0</v>
      </c>
      <c r="AI25" s="24">
        <f t="shared" si="4"/>
        <v>1</v>
      </c>
      <c r="AJ25" s="23">
        <f t="shared" si="5"/>
        <v>1</v>
      </c>
      <c r="AK25" s="23">
        <f t="shared" si="6"/>
        <v>0</v>
      </c>
      <c r="AL25" s="25">
        <f>'MASTER STOCK'!I22</f>
        <v>17500</v>
      </c>
      <c r="AM25" s="27">
        <f>'MASTER STOCK'!L22</f>
        <v>29750</v>
      </c>
      <c r="AN25" s="26">
        <f t="shared" si="7"/>
        <v>0</v>
      </c>
      <c r="AO25" s="27">
        <f t="shared" si="8"/>
        <v>0</v>
      </c>
      <c r="AP25" s="25">
        <f t="shared" si="9"/>
        <v>0</v>
      </c>
      <c r="AQ25" s="10"/>
    </row>
    <row r="26">
      <c r="A26" s="20" t="str">
        <f>'MASTER STOCK'!F23</f>
        <v>Lampu Hias LED strip USB 10m+adaptor </v>
      </c>
      <c r="B26" s="21">
        <f>'MASTER STOCK'!G23</f>
        <v>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23">
        <f t="shared" si="3"/>
        <v>0</v>
      </c>
      <c r="AI26" s="24">
        <f t="shared" si="4"/>
        <v>2</v>
      </c>
      <c r="AJ26" s="23">
        <f t="shared" si="5"/>
        <v>2</v>
      </c>
      <c r="AK26" s="23">
        <f t="shared" si="6"/>
        <v>0</v>
      </c>
      <c r="AL26" s="25">
        <f>'MASTER STOCK'!I23</f>
        <v>50000</v>
      </c>
      <c r="AM26" s="27">
        <f>'MASTER STOCK'!L23</f>
        <v>65000</v>
      </c>
      <c r="AN26" s="26">
        <f t="shared" si="7"/>
        <v>0</v>
      </c>
      <c r="AO26" s="27">
        <f t="shared" si="8"/>
        <v>0</v>
      </c>
      <c r="AP26" s="25">
        <f t="shared" si="9"/>
        <v>0</v>
      </c>
      <c r="AQ26" s="10"/>
    </row>
    <row r="27">
      <c r="A27" s="20" t="str">
        <f>'MASTER STOCK'!F24</f>
        <v>Lampu LED strip outdoor rainbow 10m +adaptor</v>
      </c>
      <c r="B27" s="21">
        <f>'MASTER STOCK'!G24</f>
        <v>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23">
        <f t="shared" si="3"/>
        <v>0</v>
      </c>
      <c r="AI27" s="24">
        <f t="shared" si="4"/>
        <v>5</v>
      </c>
      <c r="AJ27" s="23">
        <f t="shared" si="5"/>
        <v>5</v>
      </c>
      <c r="AK27" s="23">
        <f t="shared" si="6"/>
        <v>0</v>
      </c>
      <c r="AL27" s="25">
        <f>'MASTER STOCK'!I24</f>
        <v>27000</v>
      </c>
      <c r="AM27" s="27">
        <f>'MASTER STOCK'!L24</f>
        <v>35100</v>
      </c>
      <c r="AN27" s="26">
        <f t="shared" si="7"/>
        <v>0</v>
      </c>
      <c r="AO27" s="27">
        <f t="shared" si="8"/>
        <v>0</v>
      </c>
      <c r="AP27" s="25">
        <f t="shared" si="9"/>
        <v>0</v>
      </c>
      <c r="AQ27" s="10"/>
    </row>
    <row r="28">
      <c r="A28" s="20" t="str">
        <f>'MASTER STOCK'!F25</f>
        <v>Lampu LED strip outdoor merah putih 10m +adaptor</v>
      </c>
      <c r="B28" s="21">
        <f>'MASTER STOCK'!G25</f>
        <v>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23">
        <f t="shared" si="3"/>
        <v>0</v>
      </c>
      <c r="AI28" s="24">
        <f t="shared" si="4"/>
        <v>5</v>
      </c>
      <c r="AJ28" s="23">
        <f t="shared" si="5"/>
        <v>5</v>
      </c>
      <c r="AK28" s="23">
        <f t="shared" si="6"/>
        <v>0</v>
      </c>
      <c r="AL28" s="25">
        <f>'MASTER STOCK'!I25</f>
        <v>30000</v>
      </c>
      <c r="AM28" s="27">
        <f>'MASTER STOCK'!L25</f>
        <v>40500</v>
      </c>
      <c r="AN28" s="26">
        <f t="shared" si="7"/>
        <v>0</v>
      </c>
      <c r="AO28" s="27">
        <f t="shared" si="8"/>
        <v>0</v>
      </c>
      <c r="AP28" s="25">
        <f t="shared" si="9"/>
        <v>0</v>
      </c>
      <c r="AQ28" s="10"/>
    </row>
    <row r="29">
      <c r="A29" s="20" t="str">
        <f>'MASTER STOCK'!F26</f>
        <v>Lampu tumbler 10m (rainbow)</v>
      </c>
      <c r="B29" s="21">
        <f>'MASTER STOCK'!G26</f>
        <v>5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23">
        <f t="shared" si="3"/>
        <v>0</v>
      </c>
      <c r="AI29" s="24">
        <f t="shared" si="4"/>
        <v>5</v>
      </c>
      <c r="AJ29" s="23">
        <f t="shared" si="5"/>
        <v>5</v>
      </c>
      <c r="AK29" s="23">
        <f t="shared" si="6"/>
        <v>0</v>
      </c>
      <c r="AL29" s="25">
        <f>'MASTER STOCK'!I26</f>
        <v>11000</v>
      </c>
      <c r="AM29" s="27">
        <f>'MASTER STOCK'!L26</f>
        <v>14300</v>
      </c>
      <c r="AN29" s="26">
        <f t="shared" si="7"/>
        <v>0</v>
      </c>
      <c r="AO29" s="27">
        <f t="shared" si="8"/>
        <v>0</v>
      </c>
      <c r="AP29" s="25">
        <f t="shared" si="9"/>
        <v>0</v>
      </c>
      <c r="AQ29" s="10"/>
    </row>
    <row r="30">
      <c r="A30" s="20" t="str">
        <f>'MASTER STOCK'!F27</f>
        <v>WD Gerinda potong besi</v>
      </c>
      <c r="B30" s="21">
        <f>'MASTER STOCK'!G27</f>
        <v>60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22">
        <v>1.0</v>
      </c>
      <c r="AA30" s="22">
        <v>1.0</v>
      </c>
      <c r="AB30" s="10"/>
      <c r="AC30" s="10"/>
      <c r="AD30" s="10"/>
      <c r="AE30" s="10"/>
      <c r="AF30" s="10"/>
      <c r="AG30" s="10"/>
      <c r="AH30" s="23">
        <f t="shared" si="3"/>
        <v>2</v>
      </c>
      <c r="AI30" s="24">
        <f t="shared" si="4"/>
        <v>58</v>
      </c>
      <c r="AJ30" s="23">
        <f t="shared" si="5"/>
        <v>58</v>
      </c>
      <c r="AK30" s="23">
        <f t="shared" si="6"/>
        <v>0</v>
      </c>
      <c r="AL30" s="25">
        <f>'MASTER STOCK'!I27</f>
        <v>2900</v>
      </c>
      <c r="AM30" s="27">
        <f>'MASTER STOCK'!L27</f>
        <v>5000</v>
      </c>
      <c r="AN30" s="26">
        <f t="shared" si="7"/>
        <v>10000</v>
      </c>
      <c r="AO30" s="27">
        <f t="shared" si="8"/>
        <v>4200</v>
      </c>
      <c r="AP30" s="25">
        <f t="shared" si="9"/>
        <v>5800</v>
      </c>
      <c r="AQ30" s="10"/>
    </row>
    <row r="31">
      <c r="A31" s="20" t="str">
        <f>'MASTER STOCK'!F28</f>
        <v>Meteran karet 7,5m (merk HPP)</v>
      </c>
      <c r="B31" s="21">
        <f>'MASTER STOCK'!G28</f>
        <v>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23">
        <f t="shared" si="3"/>
        <v>0</v>
      </c>
      <c r="AI31" s="24">
        <f t="shared" si="4"/>
        <v>3</v>
      </c>
      <c r="AJ31" s="23">
        <f t="shared" si="5"/>
        <v>3</v>
      </c>
      <c r="AK31" s="23">
        <f t="shared" si="6"/>
        <v>0</v>
      </c>
      <c r="AL31" s="25">
        <f>'MASTER STOCK'!I28</f>
        <v>12800</v>
      </c>
      <c r="AM31" s="27">
        <f>'MASTER STOCK'!L28</f>
        <v>16640</v>
      </c>
      <c r="AN31" s="26">
        <f t="shared" si="7"/>
        <v>0</v>
      </c>
      <c r="AO31" s="27">
        <f t="shared" si="8"/>
        <v>0</v>
      </c>
      <c r="AP31" s="25">
        <f t="shared" si="9"/>
        <v>0</v>
      </c>
      <c r="AQ31" s="10"/>
    </row>
    <row r="32">
      <c r="A32" s="20" t="str">
        <f>'MASTER STOCK'!F29</f>
        <v>Meteran karet 5m (merk VPR)</v>
      </c>
      <c r="B32" s="21">
        <f>'MASTER STOCK'!G29</f>
        <v>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23">
        <f t="shared" si="3"/>
        <v>0</v>
      </c>
      <c r="AI32" s="24">
        <f t="shared" si="4"/>
        <v>3</v>
      </c>
      <c r="AJ32" s="23">
        <f t="shared" si="5"/>
        <v>3</v>
      </c>
      <c r="AK32" s="23">
        <f t="shared" si="6"/>
        <v>0</v>
      </c>
      <c r="AL32" s="25">
        <f>'MASTER STOCK'!I29</f>
        <v>7000</v>
      </c>
      <c r="AM32" s="27">
        <f>'MASTER STOCK'!L29</f>
        <v>9100</v>
      </c>
      <c r="AN32" s="26">
        <f t="shared" si="7"/>
        <v>0</v>
      </c>
      <c r="AO32" s="27">
        <f t="shared" si="8"/>
        <v>0</v>
      </c>
      <c r="AP32" s="25">
        <f t="shared" si="9"/>
        <v>0</v>
      </c>
      <c r="AQ32" s="10"/>
    </row>
    <row r="33">
      <c r="A33" s="20" t="str">
        <f>'MASTER STOCK'!F30</f>
        <v>Kuas cat 2 1/2" (merk MDN)</v>
      </c>
      <c r="B33" s="21">
        <f>'MASTER STOCK'!G30</f>
        <v>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23">
        <f t="shared" si="3"/>
        <v>0</v>
      </c>
      <c r="AI33" s="24">
        <f t="shared" si="4"/>
        <v>5</v>
      </c>
      <c r="AJ33" s="23">
        <f t="shared" si="5"/>
        <v>5</v>
      </c>
      <c r="AK33" s="23">
        <f t="shared" si="6"/>
        <v>0</v>
      </c>
      <c r="AL33" s="25">
        <f>'MASTER STOCK'!I30</f>
        <v>5300</v>
      </c>
      <c r="AM33" s="27">
        <f>'MASTER STOCK'!L30</f>
        <v>6890</v>
      </c>
      <c r="AN33" s="26">
        <f t="shared" si="7"/>
        <v>0</v>
      </c>
      <c r="AO33" s="27">
        <f t="shared" si="8"/>
        <v>0</v>
      </c>
      <c r="AP33" s="25">
        <f t="shared" si="9"/>
        <v>0</v>
      </c>
      <c r="AQ33" s="10"/>
    </row>
    <row r="34">
      <c r="A34" s="20" t="str">
        <f>'MASTER STOCK'!F31</f>
        <v>Kuas cat 2" (merk MDN)</v>
      </c>
      <c r="B34" s="21">
        <f>'MASTER STOCK'!G31</f>
        <v>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23">
        <f t="shared" si="3"/>
        <v>0</v>
      </c>
      <c r="AI34" s="24">
        <f t="shared" si="4"/>
        <v>5</v>
      </c>
      <c r="AJ34" s="23">
        <f t="shared" si="5"/>
        <v>5</v>
      </c>
      <c r="AK34" s="23">
        <f t="shared" si="6"/>
        <v>0</v>
      </c>
      <c r="AL34" s="25">
        <f>'MASTER STOCK'!I31</f>
        <v>4400</v>
      </c>
      <c r="AM34" s="27">
        <f>'MASTER STOCK'!L31</f>
        <v>5720</v>
      </c>
      <c r="AN34" s="26">
        <f t="shared" si="7"/>
        <v>0</v>
      </c>
      <c r="AO34" s="27">
        <f t="shared" si="8"/>
        <v>0</v>
      </c>
      <c r="AP34" s="25">
        <f t="shared" si="9"/>
        <v>0</v>
      </c>
      <c r="AQ34" s="10"/>
    </row>
    <row r="35">
      <c r="A35" s="20" t="str">
        <f>'MASTER STOCK'!F32</f>
        <v>Kuas cat 3" (merk MDN)</v>
      </c>
      <c r="B35" s="21">
        <f>'MASTER STOCK'!G32</f>
        <v>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23">
        <f t="shared" si="3"/>
        <v>0</v>
      </c>
      <c r="AI35" s="24">
        <f t="shared" si="4"/>
        <v>5</v>
      </c>
      <c r="AJ35" s="23">
        <f t="shared" si="5"/>
        <v>5</v>
      </c>
      <c r="AK35" s="23">
        <f t="shared" si="6"/>
        <v>0</v>
      </c>
      <c r="AL35" s="25">
        <f>'MASTER STOCK'!I32</f>
        <v>6300</v>
      </c>
      <c r="AM35" s="27">
        <f>'MASTER STOCK'!L32</f>
        <v>8190</v>
      </c>
      <c r="AN35" s="26">
        <f t="shared" si="7"/>
        <v>0</v>
      </c>
      <c r="AO35" s="27">
        <f t="shared" si="8"/>
        <v>0</v>
      </c>
      <c r="AP35" s="25">
        <f t="shared" si="9"/>
        <v>0</v>
      </c>
      <c r="AQ35" s="10"/>
    </row>
    <row r="36">
      <c r="A36" s="20" t="str">
        <f>'MASTER STOCK'!F33</f>
        <v>Kuas cat 1 1/2" (merk MDN)</v>
      </c>
      <c r="B36" s="21">
        <f>'MASTER STOCK'!G33</f>
        <v>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23">
        <f t="shared" si="3"/>
        <v>0</v>
      </c>
      <c r="AI36" s="24">
        <f t="shared" si="4"/>
        <v>5</v>
      </c>
      <c r="AJ36" s="23">
        <f t="shared" si="5"/>
        <v>5</v>
      </c>
      <c r="AK36" s="23">
        <f t="shared" si="6"/>
        <v>0</v>
      </c>
      <c r="AL36" s="25">
        <f>'MASTER STOCK'!I33</f>
        <v>3400</v>
      </c>
      <c r="AM36" s="27">
        <f>'MASTER STOCK'!L33</f>
        <v>4420</v>
      </c>
      <c r="AN36" s="26">
        <f t="shared" si="7"/>
        <v>0</v>
      </c>
      <c r="AO36" s="27">
        <f t="shared" si="8"/>
        <v>0</v>
      </c>
      <c r="AP36" s="25">
        <f t="shared" si="9"/>
        <v>0</v>
      </c>
      <c r="AQ36" s="10"/>
    </row>
    <row r="37">
      <c r="A37" s="20" t="str">
        <f>'MASTER STOCK'!F34</f>
        <v>Kuas cat 1" (merk MDN)</v>
      </c>
      <c r="B37" s="21">
        <f>'MASTER STOCK'!G34</f>
        <v>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23">
        <f t="shared" si="3"/>
        <v>0</v>
      </c>
      <c r="AI37" s="24">
        <f t="shared" si="4"/>
        <v>5</v>
      </c>
      <c r="AJ37" s="23">
        <f t="shared" si="5"/>
        <v>5</v>
      </c>
      <c r="AK37" s="23">
        <f t="shared" si="6"/>
        <v>0</v>
      </c>
      <c r="AL37" s="25">
        <f>'MASTER STOCK'!I34</f>
        <v>2300</v>
      </c>
      <c r="AM37" s="27">
        <f>'MASTER STOCK'!L34</f>
        <v>2990</v>
      </c>
      <c r="AN37" s="26">
        <f t="shared" si="7"/>
        <v>0</v>
      </c>
      <c r="AO37" s="27">
        <f t="shared" si="8"/>
        <v>0</v>
      </c>
      <c r="AP37" s="25">
        <f t="shared" si="9"/>
        <v>0</v>
      </c>
      <c r="AQ37" s="10"/>
    </row>
    <row r="38">
      <c r="A38" s="20" t="str">
        <f>'MASTER STOCK'!F35</f>
        <v>Kran PVC Tembok 3/4"</v>
      </c>
      <c r="B38" s="21">
        <f>'MASTER STOCK'!G35</f>
        <v>24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23">
        <f t="shared" si="3"/>
        <v>0</v>
      </c>
      <c r="AI38" s="24">
        <f t="shared" si="4"/>
        <v>24</v>
      </c>
      <c r="AJ38" s="23">
        <f t="shared" si="5"/>
        <v>24</v>
      </c>
      <c r="AK38" s="23">
        <f t="shared" si="6"/>
        <v>0</v>
      </c>
      <c r="AL38" s="25">
        <f>'MASTER STOCK'!I35</f>
        <v>4200</v>
      </c>
      <c r="AM38" s="27">
        <f>'MASTER STOCK'!L35</f>
        <v>6000</v>
      </c>
      <c r="AN38" s="26">
        <f t="shared" si="7"/>
        <v>0</v>
      </c>
      <c r="AO38" s="27">
        <f t="shared" si="8"/>
        <v>0</v>
      </c>
      <c r="AP38" s="25">
        <f t="shared" si="9"/>
        <v>0</v>
      </c>
      <c r="AQ38" s="10"/>
    </row>
    <row r="39">
      <c r="A39" s="20" t="str">
        <f>'MASTER STOCK'!F36</f>
        <v>Kran PVC Tembok 1/2"</v>
      </c>
      <c r="B39" s="21">
        <f>'MASTER STOCK'!G36</f>
        <v>24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23">
        <f t="shared" si="3"/>
        <v>0</v>
      </c>
      <c r="AI39" s="24">
        <f t="shared" si="4"/>
        <v>24</v>
      </c>
      <c r="AJ39" s="23">
        <f t="shared" si="5"/>
        <v>24</v>
      </c>
      <c r="AK39" s="23">
        <f t="shared" si="6"/>
        <v>0</v>
      </c>
      <c r="AL39" s="25">
        <f>'MASTER STOCK'!I36</f>
        <v>4200</v>
      </c>
      <c r="AM39" s="27">
        <f>'MASTER STOCK'!L36</f>
        <v>6000</v>
      </c>
      <c r="AN39" s="26">
        <f t="shared" si="7"/>
        <v>0</v>
      </c>
      <c r="AO39" s="27">
        <f t="shared" si="8"/>
        <v>0</v>
      </c>
      <c r="AP39" s="25">
        <f t="shared" si="9"/>
        <v>0</v>
      </c>
      <c r="AQ39" s="10"/>
    </row>
    <row r="40">
      <c r="A40" s="20" t="str">
        <f>'MASTER STOCK'!F37</f>
        <v>Lampu bohlam inlite 5w Putih</v>
      </c>
      <c r="B40" s="21">
        <f>'MASTER STOCK'!G37</f>
        <v>7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23">
        <f t="shared" si="3"/>
        <v>0</v>
      </c>
      <c r="AI40" s="24">
        <f t="shared" si="4"/>
        <v>7</v>
      </c>
      <c r="AJ40" s="23">
        <f t="shared" si="5"/>
        <v>7</v>
      </c>
      <c r="AK40" s="23">
        <f t="shared" si="6"/>
        <v>0</v>
      </c>
      <c r="AL40" s="25">
        <f>'MASTER STOCK'!I37</f>
        <v>13000</v>
      </c>
      <c r="AM40" s="27">
        <f>'MASTER STOCK'!L37</f>
        <v>18200</v>
      </c>
      <c r="AN40" s="26">
        <f t="shared" si="7"/>
        <v>0</v>
      </c>
      <c r="AO40" s="27">
        <f t="shared" si="8"/>
        <v>0</v>
      </c>
      <c r="AP40" s="25">
        <f t="shared" si="9"/>
        <v>0</v>
      </c>
      <c r="AQ40" s="10"/>
    </row>
    <row r="41">
      <c r="A41" s="20" t="str">
        <f>'MASTER STOCK'!F38</f>
        <v>Lampu bohlam inlite 7w Putih</v>
      </c>
      <c r="B41" s="21">
        <f>'MASTER STOCK'!G38</f>
        <v>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23">
        <f t="shared" si="3"/>
        <v>0</v>
      </c>
      <c r="AI41" s="24">
        <f t="shared" si="4"/>
        <v>2</v>
      </c>
      <c r="AJ41" s="23">
        <f t="shared" si="5"/>
        <v>2</v>
      </c>
      <c r="AK41" s="23">
        <f t="shared" si="6"/>
        <v>0</v>
      </c>
      <c r="AL41" s="25">
        <f>'MASTER STOCK'!I38</f>
        <v>16200</v>
      </c>
      <c r="AM41" s="27">
        <f>'MASTER STOCK'!L38</f>
        <v>22680</v>
      </c>
      <c r="AN41" s="26">
        <f t="shared" si="7"/>
        <v>0</v>
      </c>
      <c r="AO41" s="27">
        <f t="shared" si="8"/>
        <v>0</v>
      </c>
      <c r="AP41" s="25">
        <f t="shared" si="9"/>
        <v>0</v>
      </c>
      <c r="AQ41" s="10"/>
    </row>
    <row r="42">
      <c r="A42" s="20" t="str">
        <f>'MASTER STOCK'!F39</f>
        <v>Lampu bohlam inlite 15w Putih</v>
      </c>
      <c r="B42" s="21">
        <f>'MASTER STOCK'!G39</f>
        <v>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23">
        <f t="shared" si="3"/>
        <v>0</v>
      </c>
      <c r="AI42" s="24">
        <f t="shared" si="4"/>
        <v>4</v>
      </c>
      <c r="AJ42" s="23">
        <f t="shared" si="5"/>
        <v>4</v>
      </c>
      <c r="AK42" s="23">
        <f t="shared" si="6"/>
        <v>0</v>
      </c>
      <c r="AL42" s="25">
        <f>'MASTER STOCK'!I39</f>
        <v>28000</v>
      </c>
      <c r="AM42" s="27">
        <f>'MASTER STOCK'!L39</f>
        <v>39200</v>
      </c>
      <c r="AN42" s="26">
        <f t="shared" si="7"/>
        <v>0</v>
      </c>
      <c r="AO42" s="27">
        <f t="shared" si="8"/>
        <v>0</v>
      </c>
      <c r="AP42" s="25">
        <f t="shared" si="9"/>
        <v>0</v>
      </c>
      <c r="AQ42" s="10"/>
    </row>
    <row r="43">
      <c r="A43" s="20" t="str">
        <f>'MASTER STOCK'!F40</f>
        <v>Lampu bohlam inlite 12w Putih</v>
      </c>
      <c r="B43" s="21">
        <f>'MASTER STOCK'!G40</f>
        <v>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23">
        <f t="shared" si="3"/>
        <v>0</v>
      </c>
      <c r="AI43" s="24">
        <f t="shared" si="4"/>
        <v>6</v>
      </c>
      <c r="AJ43" s="23">
        <f t="shared" si="5"/>
        <v>6</v>
      </c>
      <c r="AK43" s="23">
        <f t="shared" si="6"/>
        <v>0</v>
      </c>
      <c r="AL43" s="25">
        <f>'MASTER STOCK'!I40</f>
        <v>25000</v>
      </c>
      <c r="AM43" s="27">
        <f>'MASTER STOCK'!L40</f>
        <v>30000</v>
      </c>
      <c r="AN43" s="26">
        <f t="shared" si="7"/>
        <v>0</v>
      </c>
      <c r="AO43" s="27">
        <f t="shared" si="8"/>
        <v>0</v>
      </c>
      <c r="AP43" s="25">
        <f t="shared" si="9"/>
        <v>0</v>
      </c>
      <c r="AQ43" s="10"/>
    </row>
    <row r="44">
      <c r="A44" s="20" t="str">
        <f>'MASTER STOCK'!F41</f>
        <v>Lampu tintin platinum LED 9w</v>
      </c>
      <c r="B44" s="21">
        <f>'MASTER STOCK'!G41</f>
        <v>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22">
        <v>1.0</v>
      </c>
      <c r="S44" s="10"/>
      <c r="T44" s="22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23">
        <f t="shared" si="3"/>
        <v>1</v>
      </c>
      <c r="AI44" s="24">
        <f t="shared" si="4"/>
        <v>4</v>
      </c>
      <c r="AJ44" s="23">
        <f t="shared" si="5"/>
        <v>4</v>
      </c>
      <c r="AK44" s="23">
        <f t="shared" si="6"/>
        <v>0</v>
      </c>
      <c r="AL44" s="25">
        <f>'MASTER STOCK'!I41</f>
        <v>7000</v>
      </c>
      <c r="AM44" s="27">
        <f>'MASTER STOCK'!L41</f>
        <v>9800</v>
      </c>
      <c r="AN44" s="26">
        <f t="shared" si="7"/>
        <v>9800</v>
      </c>
      <c r="AO44" s="27">
        <f t="shared" si="8"/>
        <v>2800</v>
      </c>
      <c r="AP44" s="25">
        <f t="shared" si="9"/>
        <v>7000</v>
      </c>
      <c r="AQ44" s="10"/>
    </row>
    <row r="45">
      <c r="A45" s="20" t="str">
        <f>'MASTER STOCK'!F42</f>
        <v>Lampu tintin platinum LED 5w</v>
      </c>
      <c r="B45" s="21">
        <f>'MASTER STOCK'!G42</f>
        <v>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22">
        <v>1.0</v>
      </c>
      <c r="S45" s="10"/>
      <c r="T45" s="22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23">
        <f t="shared" si="3"/>
        <v>1</v>
      </c>
      <c r="AI45" s="24">
        <f t="shared" si="4"/>
        <v>4</v>
      </c>
      <c r="AJ45" s="23">
        <f t="shared" si="5"/>
        <v>4</v>
      </c>
      <c r="AK45" s="23">
        <f t="shared" si="6"/>
        <v>0</v>
      </c>
      <c r="AL45" s="25">
        <f>'MASTER STOCK'!I42</f>
        <v>5000</v>
      </c>
      <c r="AM45" s="27">
        <f>'MASTER STOCK'!L42</f>
        <v>7000</v>
      </c>
      <c r="AN45" s="26">
        <f t="shared" si="7"/>
        <v>7000</v>
      </c>
      <c r="AO45" s="27">
        <f t="shared" si="8"/>
        <v>2000</v>
      </c>
      <c r="AP45" s="25">
        <f t="shared" si="9"/>
        <v>5000</v>
      </c>
      <c r="AQ45" s="10"/>
    </row>
    <row r="46">
      <c r="A46" s="20" t="str">
        <f>'MASTER STOCK'!F43</f>
        <v>Lampu tintin platinum LED 21w</v>
      </c>
      <c r="B46" s="21">
        <f>'MASTER STOCK'!G43</f>
        <v>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23">
        <f t="shared" si="3"/>
        <v>0</v>
      </c>
      <c r="AI46" s="24">
        <f t="shared" si="4"/>
        <v>3</v>
      </c>
      <c r="AJ46" s="23">
        <f t="shared" si="5"/>
        <v>3</v>
      </c>
      <c r="AK46" s="23">
        <f t="shared" si="6"/>
        <v>0</v>
      </c>
      <c r="AL46" s="25">
        <f>'MASTER STOCK'!I43</f>
        <v>15500</v>
      </c>
      <c r="AM46" s="27">
        <f>'MASTER STOCK'!L43</f>
        <v>21700</v>
      </c>
      <c r="AN46" s="26">
        <f t="shared" si="7"/>
        <v>0</v>
      </c>
      <c r="AO46" s="27">
        <f t="shared" si="8"/>
        <v>0</v>
      </c>
      <c r="AP46" s="25">
        <f t="shared" si="9"/>
        <v>0</v>
      </c>
      <c r="AQ46" s="10"/>
    </row>
    <row r="47">
      <c r="A47" s="20" t="str">
        <f>'MASTER STOCK'!F44</f>
        <v>Lampu tintin platinum LED 15w</v>
      </c>
      <c r="B47" s="21">
        <f>'MASTER STOCK'!G44</f>
        <v>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23">
        <f t="shared" si="3"/>
        <v>0</v>
      </c>
      <c r="AI47" s="24">
        <f t="shared" si="4"/>
        <v>5</v>
      </c>
      <c r="AJ47" s="23">
        <f t="shared" si="5"/>
        <v>5</v>
      </c>
      <c r="AK47" s="23">
        <f t="shared" si="6"/>
        <v>0</v>
      </c>
      <c r="AL47" s="25">
        <f>'MASTER STOCK'!I44</f>
        <v>8800</v>
      </c>
      <c r="AM47" s="27">
        <f>'MASTER STOCK'!L44</f>
        <v>13000</v>
      </c>
      <c r="AN47" s="26">
        <f t="shared" si="7"/>
        <v>0</v>
      </c>
      <c r="AO47" s="27">
        <f t="shared" si="8"/>
        <v>0</v>
      </c>
      <c r="AP47" s="25">
        <f t="shared" si="9"/>
        <v>0</v>
      </c>
      <c r="AQ47" s="10"/>
    </row>
    <row r="48">
      <c r="A48" s="20" t="str">
        <f>'MASTER STOCK'!F45</f>
        <v>Lampu tintin platinum LED 12w</v>
      </c>
      <c r="B48" s="21">
        <f>'MASTER STOCK'!G45</f>
        <v>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23">
        <f t="shared" si="3"/>
        <v>0</v>
      </c>
      <c r="AI48" s="24">
        <f t="shared" si="4"/>
        <v>5</v>
      </c>
      <c r="AJ48" s="23">
        <f t="shared" si="5"/>
        <v>5</v>
      </c>
      <c r="AK48" s="23">
        <f t="shared" si="6"/>
        <v>0</v>
      </c>
      <c r="AL48" s="25">
        <f>'MASTER STOCK'!I45</f>
        <v>7800</v>
      </c>
      <c r="AM48" s="27">
        <f>'MASTER STOCK'!L45</f>
        <v>10920</v>
      </c>
      <c r="AN48" s="26">
        <f t="shared" si="7"/>
        <v>0</v>
      </c>
      <c r="AO48" s="27">
        <f t="shared" si="8"/>
        <v>0</v>
      </c>
      <c r="AP48" s="25">
        <f t="shared" si="9"/>
        <v>0</v>
      </c>
      <c r="AQ48" s="10"/>
    </row>
    <row r="49">
      <c r="A49" s="20" t="str">
        <f>'MASTER STOCK'!F46</f>
        <v>Lampu tintin platinum LED 7w</v>
      </c>
      <c r="B49" s="21">
        <f>'MASTER STOCK'!G46</f>
        <v>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23">
        <f t="shared" si="3"/>
        <v>0</v>
      </c>
      <c r="AI49" s="24">
        <f t="shared" si="4"/>
        <v>5</v>
      </c>
      <c r="AJ49" s="23">
        <f t="shared" si="5"/>
        <v>5</v>
      </c>
      <c r="AK49" s="23">
        <f t="shared" si="6"/>
        <v>0</v>
      </c>
      <c r="AL49" s="25">
        <f>'MASTER STOCK'!I46</f>
        <v>5800</v>
      </c>
      <c r="AM49" s="27">
        <f>'MASTER STOCK'!L46</f>
        <v>8120</v>
      </c>
      <c r="AN49" s="26">
        <f t="shared" si="7"/>
        <v>0</v>
      </c>
      <c r="AO49" s="27">
        <f t="shared" si="8"/>
        <v>0</v>
      </c>
      <c r="AP49" s="25">
        <f t="shared" si="9"/>
        <v>0</v>
      </c>
      <c r="AQ49" s="10"/>
    </row>
    <row r="50">
      <c r="A50" s="20" t="str">
        <f>'MASTER STOCK'!F47</f>
        <v>Gergaji kayu (POPEYE) 18 inch </v>
      </c>
      <c r="B50" s="21">
        <f>'MASTER STOCK'!G47</f>
        <v>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23">
        <f t="shared" si="3"/>
        <v>0</v>
      </c>
      <c r="AI50" s="24">
        <f t="shared" si="4"/>
        <v>4</v>
      </c>
      <c r="AJ50" s="23">
        <f t="shared" si="5"/>
        <v>4</v>
      </c>
      <c r="AK50" s="23">
        <f t="shared" si="6"/>
        <v>0</v>
      </c>
      <c r="AL50" s="25">
        <f>'MASTER STOCK'!I47</f>
        <v>15000</v>
      </c>
      <c r="AM50" s="27">
        <f>'MASTER STOCK'!L47</f>
        <v>19500</v>
      </c>
      <c r="AN50" s="26">
        <f t="shared" si="7"/>
        <v>0</v>
      </c>
      <c r="AO50" s="27">
        <f t="shared" si="8"/>
        <v>0</v>
      </c>
      <c r="AP50" s="25">
        <f t="shared" si="9"/>
        <v>0</v>
      </c>
      <c r="AQ50" s="10"/>
    </row>
    <row r="51">
      <c r="A51" s="20" t="str">
        <f>'MASTER STOCK'!F48</f>
        <v>Kapi plamir plastik PVC 9" (23cm)</v>
      </c>
      <c r="B51" s="21">
        <f>'MASTER STOCK'!G48</f>
        <v>10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23">
        <f t="shared" si="3"/>
        <v>0</v>
      </c>
      <c r="AI51" s="24">
        <f t="shared" si="4"/>
        <v>10</v>
      </c>
      <c r="AJ51" s="23">
        <f t="shared" si="5"/>
        <v>10</v>
      </c>
      <c r="AK51" s="23">
        <f t="shared" si="6"/>
        <v>0</v>
      </c>
      <c r="AL51" s="25">
        <f>'MASTER STOCK'!I48</f>
        <v>2200</v>
      </c>
      <c r="AM51" s="27">
        <f>'MASTER STOCK'!L48</f>
        <v>3300</v>
      </c>
      <c r="AN51" s="26">
        <f t="shared" si="7"/>
        <v>0</v>
      </c>
      <c r="AO51" s="27">
        <f t="shared" si="8"/>
        <v>0</v>
      </c>
      <c r="AP51" s="25">
        <f t="shared" si="9"/>
        <v>0</v>
      </c>
      <c r="AQ51" s="10"/>
    </row>
    <row r="52">
      <c r="A52" s="20" t="str">
        <f>'MASTER STOCK'!F49</f>
        <v>Kapi plamir plastik PVC 5" (12cm)</v>
      </c>
      <c r="B52" s="21">
        <f>'MASTER STOCK'!G49</f>
        <v>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23">
        <f t="shared" si="3"/>
        <v>0</v>
      </c>
      <c r="AI52" s="24">
        <f t="shared" si="4"/>
        <v>5</v>
      </c>
      <c r="AJ52" s="23">
        <f t="shared" si="5"/>
        <v>5</v>
      </c>
      <c r="AK52" s="23">
        <f t="shared" si="6"/>
        <v>0</v>
      </c>
      <c r="AL52" s="25">
        <f>'MASTER STOCK'!I49</f>
        <v>1100</v>
      </c>
      <c r="AM52" s="27">
        <f>'MASTER STOCK'!L49</f>
        <v>1650</v>
      </c>
      <c r="AN52" s="26">
        <f t="shared" si="7"/>
        <v>0</v>
      </c>
      <c r="AO52" s="27">
        <f t="shared" si="8"/>
        <v>0</v>
      </c>
      <c r="AP52" s="25">
        <f t="shared" si="9"/>
        <v>0</v>
      </c>
      <c r="AQ52" s="10"/>
    </row>
    <row r="53">
      <c r="A53" s="20" t="str">
        <f>'MASTER STOCK'!F50</f>
        <v>Kapi plamir plastik PVC 7" (18cm)</v>
      </c>
      <c r="B53" s="21">
        <f>'MASTER STOCK'!G50</f>
        <v>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23">
        <f t="shared" si="3"/>
        <v>0</v>
      </c>
      <c r="AI53" s="24">
        <f t="shared" si="4"/>
        <v>10</v>
      </c>
      <c r="AJ53" s="23">
        <f t="shared" si="5"/>
        <v>10</v>
      </c>
      <c r="AK53" s="23">
        <f t="shared" si="6"/>
        <v>0</v>
      </c>
      <c r="AL53" s="25">
        <f>'MASTER STOCK'!I50</f>
        <v>1500</v>
      </c>
      <c r="AM53" s="27">
        <f>'MASTER STOCK'!L50</f>
        <v>2250</v>
      </c>
      <c r="AN53" s="26">
        <f t="shared" si="7"/>
        <v>0</v>
      </c>
      <c r="AO53" s="27">
        <f t="shared" si="8"/>
        <v>0</v>
      </c>
      <c r="AP53" s="25">
        <f t="shared" si="9"/>
        <v>0</v>
      </c>
      <c r="AQ53" s="10"/>
    </row>
    <row r="54">
      <c r="A54" s="20" t="str">
        <f>'MASTER STOCK'!F51</f>
        <v>Tang Kombinasi karet 8"</v>
      </c>
      <c r="B54" s="21">
        <f>'MASTER STOCK'!G51</f>
        <v>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23">
        <f t="shared" si="3"/>
        <v>0</v>
      </c>
      <c r="AI54" s="24">
        <f t="shared" si="4"/>
        <v>5</v>
      </c>
      <c r="AJ54" s="23">
        <f t="shared" si="5"/>
        <v>5</v>
      </c>
      <c r="AK54" s="23">
        <f t="shared" si="6"/>
        <v>0</v>
      </c>
      <c r="AL54" s="25">
        <f>'MASTER STOCK'!I51</f>
        <v>12000</v>
      </c>
      <c r="AM54" s="27">
        <f>'MASTER STOCK'!L51</f>
        <v>15600</v>
      </c>
      <c r="AN54" s="26">
        <f t="shared" si="7"/>
        <v>0</v>
      </c>
      <c r="AO54" s="27">
        <f t="shared" si="8"/>
        <v>0</v>
      </c>
      <c r="AP54" s="25">
        <f t="shared" si="9"/>
        <v>0</v>
      </c>
      <c r="AQ54" s="10"/>
    </row>
    <row r="55">
      <c r="A55" s="20" t="str">
        <f>'MASTER STOCK'!F52</f>
        <v>Tang Kombinasi 8"</v>
      </c>
      <c r="B55" s="21">
        <f>'MASTER STOCK'!G52</f>
        <v>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23">
        <f t="shared" si="3"/>
        <v>0</v>
      </c>
      <c r="AI55" s="24">
        <f t="shared" si="4"/>
        <v>5</v>
      </c>
      <c r="AJ55" s="23">
        <f t="shared" si="5"/>
        <v>5</v>
      </c>
      <c r="AK55" s="23">
        <f t="shared" si="6"/>
        <v>0</v>
      </c>
      <c r="AL55" s="25">
        <f>'MASTER STOCK'!I52</f>
        <v>12500</v>
      </c>
      <c r="AM55" s="27">
        <f>'MASTER STOCK'!L52</f>
        <v>16250</v>
      </c>
      <c r="AN55" s="26">
        <f t="shared" si="7"/>
        <v>0</v>
      </c>
      <c r="AO55" s="27">
        <f t="shared" si="8"/>
        <v>0</v>
      </c>
      <c r="AP55" s="25">
        <f t="shared" si="9"/>
        <v>0</v>
      </c>
      <c r="AQ55" s="10"/>
    </row>
    <row r="56">
      <c r="A56" s="20" t="str">
        <f>'MASTER STOCK'!F53</f>
        <v>Stop Kontak Hitam 3L 5M </v>
      </c>
      <c r="B56" s="21">
        <f>'MASTER STOCK'!G53</f>
        <v>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23">
        <f t="shared" si="3"/>
        <v>0</v>
      </c>
      <c r="AI56" s="24">
        <f t="shared" si="4"/>
        <v>2</v>
      </c>
      <c r="AJ56" s="23">
        <f t="shared" si="5"/>
        <v>2</v>
      </c>
      <c r="AK56" s="23">
        <f t="shared" si="6"/>
        <v>0</v>
      </c>
      <c r="AL56" s="25">
        <f>'MASTER STOCK'!I53</f>
        <v>18400</v>
      </c>
      <c r="AM56" s="27">
        <f>'MASTER STOCK'!L53</f>
        <v>27600</v>
      </c>
      <c r="AN56" s="26">
        <f t="shared" si="7"/>
        <v>0</v>
      </c>
      <c r="AO56" s="27">
        <f t="shared" si="8"/>
        <v>0</v>
      </c>
      <c r="AP56" s="25">
        <f t="shared" si="9"/>
        <v>0</v>
      </c>
      <c r="AQ56" s="10"/>
    </row>
    <row r="57">
      <c r="A57" s="20" t="str">
        <f>'MASTER STOCK'!F54</f>
        <v>Stop Kontak Hitam 4L 5M </v>
      </c>
      <c r="B57" s="21">
        <f>'MASTER STOCK'!G54</f>
        <v>3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23">
        <f t="shared" si="3"/>
        <v>0</v>
      </c>
      <c r="AI57" s="24">
        <f t="shared" si="4"/>
        <v>3</v>
      </c>
      <c r="AJ57" s="23">
        <f t="shared" si="5"/>
        <v>3</v>
      </c>
      <c r="AK57" s="23">
        <f t="shared" si="6"/>
        <v>0</v>
      </c>
      <c r="AL57" s="25">
        <f>'MASTER STOCK'!I54</f>
        <v>19600</v>
      </c>
      <c r="AM57" s="27">
        <f>'MASTER STOCK'!L54</f>
        <v>29400</v>
      </c>
      <c r="AN57" s="26">
        <f t="shared" si="7"/>
        <v>0</v>
      </c>
      <c r="AO57" s="27">
        <f t="shared" si="8"/>
        <v>0</v>
      </c>
      <c r="AP57" s="25">
        <f t="shared" si="9"/>
        <v>0</v>
      </c>
      <c r="AQ57" s="10"/>
    </row>
    <row r="58">
      <c r="A58" s="20" t="str">
        <f>'MASTER STOCK'!F55</f>
        <v>Stop Kontak Hitam 5L 5M </v>
      </c>
      <c r="B58" s="21">
        <f>'MASTER STOCK'!G55</f>
        <v>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23">
        <f t="shared" si="3"/>
        <v>0</v>
      </c>
      <c r="AI58" s="24">
        <f t="shared" si="4"/>
        <v>6</v>
      </c>
      <c r="AJ58" s="23">
        <f t="shared" si="5"/>
        <v>6</v>
      </c>
      <c r="AK58" s="23">
        <f t="shared" si="6"/>
        <v>0</v>
      </c>
      <c r="AL58" s="25">
        <f>'MASTER STOCK'!I55</f>
        <v>21000</v>
      </c>
      <c r="AM58" s="27">
        <f>'MASTER STOCK'!L55</f>
        <v>31500</v>
      </c>
      <c r="AN58" s="26">
        <f t="shared" si="7"/>
        <v>0</v>
      </c>
      <c r="AO58" s="27">
        <f t="shared" si="8"/>
        <v>0</v>
      </c>
      <c r="AP58" s="25">
        <f t="shared" si="9"/>
        <v>0</v>
      </c>
      <c r="AQ58" s="10"/>
    </row>
    <row r="59">
      <c r="A59" s="20" t="str">
        <f>'MASTER STOCK'!F56</f>
        <v>Stop Kontak Hitam 2L 5M </v>
      </c>
      <c r="B59" s="21">
        <f>'MASTER STOCK'!G56</f>
        <v>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23">
        <f t="shared" si="3"/>
        <v>0</v>
      </c>
      <c r="AI59" s="24">
        <f t="shared" si="4"/>
        <v>2</v>
      </c>
      <c r="AJ59" s="23">
        <f t="shared" si="5"/>
        <v>2</v>
      </c>
      <c r="AK59" s="23">
        <f t="shared" si="6"/>
        <v>0</v>
      </c>
      <c r="AL59" s="25">
        <f>'MASTER STOCK'!I56</f>
        <v>17000</v>
      </c>
      <c r="AM59" s="27">
        <f>'MASTER STOCK'!L56</f>
        <v>25500</v>
      </c>
      <c r="AN59" s="26">
        <f t="shared" si="7"/>
        <v>0</v>
      </c>
      <c r="AO59" s="27">
        <f t="shared" si="8"/>
        <v>0</v>
      </c>
      <c r="AP59" s="25">
        <f t="shared" si="9"/>
        <v>0</v>
      </c>
      <c r="AQ59" s="10"/>
    </row>
    <row r="60">
      <c r="A60" s="20" t="str">
        <f>'MASTER STOCK'!F57</f>
        <v>Palu Konde besi cor gagang kayu ukuran 1LB</v>
      </c>
      <c r="B60" s="21">
        <f>'MASTER STOCK'!G57</f>
        <v>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23">
        <f t="shared" si="3"/>
        <v>0</v>
      </c>
      <c r="AI60" s="24">
        <f t="shared" si="4"/>
        <v>3</v>
      </c>
      <c r="AJ60" s="23">
        <f t="shared" si="5"/>
        <v>3</v>
      </c>
      <c r="AK60" s="23">
        <f t="shared" si="6"/>
        <v>0</v>
      </c>
      <c r="AL60" s="25">
        <f>'MASTER STOCK'!I57</f>
        <v>17000</v>
      </c>
      <c r="AM60" s="27">
        <f>'MASTER STOCK'!L57</f>
        <v>22100</v>
      </c>
      <c r="AN60" s="26">
        <f t="shared" si="7"/>
        <v>0</v>
      </c>
      <c r="AO60" s="27">
        <f t="shared" si="8"/>
        <v>0</v>
      </c>
      <c r="AP60" s="25">
        <f t="shared" si="9"/>
        <v>0</v>
      </c>
      <c r="AQ60" s="10"/>
    </row>
    <row r="61">
      <c r="A61" s="20" t="str">
        <f>'MASTER STOCK'!F58</f>
        <v>Lem kuning 100gr</v>
      </c>
      <c r="B61" s="21">
        <f>'MASTER STOCK'!G58</f>
        <v>25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22">
        <v>1.0</v>
      </c>
      <c r="AA61" s="10"/>
      <c r="AB61" s="10"/>
      <c r="AC61" s="10"/>
      <c r="AD61" s="10"/>
      <c r="AE61" s="10"/>
      <c r="AF61" s="10"/>
      <c r="AG61" s="10"/>
      <c r="AH61" s="23">
        <f t="shared" si="3"/>
        <v>1</v>
      </c>
      <c r="AI61" s="24">
        <f t="shared" si="4"/>
        <v>24</v>
      </c>
      <c r="AJ61" s="23">
        <f t="shared" si="5"/>
        <v>24</v>
      </c>
      <c r="AK61" s="23">
        <f t="shared" si="6"/>
        <v>0</v>
      </c>
      <c r="AL61" s="25">
        <f>'MASTER STOCK'!I58</f>
        <v>10000</v>
      </c>
      <c r="AM61" s="27">
        <f>'MASTER STOCK'!L58</f>
        <v>15000</v>
      </c>
      <c r="AN61" s="26">
        <f t="shared" si="7"/>
        <v>15000</v>
      </c>
      <c r="AO61" s="27">
        <f t="shared" si="8"/>
        <v>5000</v>
      </c>
      <c r="AP61" s="25">
        <f t="shared" si="9"/>
        <v>10000</v>
      </c>
      <c r="AQ61" s="10"/>
    </row>
    <row r="62">
      <c r="A62" s="20" t="str">
        <f>'MASTER STOCK'!F59</f>
        <v>Lem aica aibon kuning 125gr</v>
      </c>
      <c r="B62" s="21">
        <f>'MASTER STOCK'!G59</f>
        <v>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23">
        <f t="shared" si="3"/>
        <v>0</v>
      </c>
      <c r="AI62" s="24">
        <f t="shared" si="4"/>
        <v>2</v>
      </c>
      <c r="AJ62" s="23">
        <f t="shared" si="5"/>
        <v>2</v>
      </c>
      <c r="AK62" s="23">
        <f t="shared" si="6"/>
        <v>0</v>
      </c>
      <c r="AL62" s="25">
        <f>'MASTER STOCK'!I59</f>
        <v>18200</v>
      </c>
      <c r="AM62" s="27">
        <f>'MASTER STOCK'!L59</f>
        <v>27300</v>
      </c>
      <c r="AN62" s="26">
        <f t="shared" si="7"/>
        <v>0</v>
      </c>
      <c r="AO62" s="27">
        <f t="shared" si="8"/>
        <v>0</v>
      </c>
      <c r="AP62" s="25">
        <f t="shared" si="9"/>
        <v>0</v>
      </c>
      <c r="AQ62" s="10"/>
    </row>
    <row r="63">
      <c r="A63" s="20" t="str">
        <f>'MASTER STOCK'!F60</f>
        <v>Kuas 4" incco</v>
      </c>
      <c r="B63" s="21">
        <f>'MASTER STOCK'!G60</f>
        <v>3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23">
        <f t="shared" si="3"/>
        <v>0</v>
      </c>
      <c r="AI63" s="24">
        <f t="shared" si="4"/>
        <v>3</v>
      </c>
      <c r="AJ63" s="23">
        <f t="shared" si="5"/>
        <v>3</v>
      </c>
      <c r="AK63" s="23">
        <f t="shared" si="6"/>
        <v>0</v>
      </c>
      <c r="AL63" s="25">
        <f>'MASTER STOCK'!I60</f>
        <v>15000</v>
      </c>
      <c r="AM63" s="27">
        <f>'MASTER STOCK'!L60</f>
        <v>19500</v>
      </c>
      <c r="AN63" s="26">
        <f t="shared" si="7"/>
        <v>0</v>
      </c>
      <c r="AO63" s="27">
        <f t="shared" si="8"/>
        <v>0</v>
      </c>
      <c r="AP63" s="25">
        <f t="shared" si="9"/>
        <v>0</v>
      </c>
      <c r="AQ63" s="10"/>
    </row>
    <row r="64">
      <c r="A64" s="20" t="str">
        <f>'MASTER STOCK'!F61</f>
        <v>Meteran Autostop Wilmer 5m*19mm</v>
      </c>
      <c r="B64" s="21">
        <f>'MASTER STOCK'!G61</f>
        <v>2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23">
        <f t="shared" si="3"/>
        <v>0</v>
      </c>
      <c r="AI64" s="24">
        <f t="shared" si="4"/>
        <v>2</v>
      </c>
      <c r="AJ64" s="23">
        <f t="shared" si="5"/>
        <v>2</v>
      </c>
      <c r="AK64" s="23">
        <f t="shared" si="6"/>
        <v>0</v>
      </c>
      <c r="AL64" s="25">
        <f>'MASTER STOCK'!I61</f>
        <v>25000</v>
      </c>
      <c r="AM64" s="27">
        <f>'MASTER STOCK'!L61</f>
        <v>30000</v>
      </c>
      <c r="AN64" s="26">
        <f t="shared" si="7"/>
        <v>0</v>
      </c>
      <c r="AO64" s="27">
        <f t="shared" si="8"/>
        <v>0</v>
      </c>
      <c r="AP64" s="25">
        <f t="shared" si="9"/>
        <v>0</v>
      </c>
      <c r="AQ64" s="10"/>
    </row>
    <row r="65">
      <c r="A65" s="20" t="str">
        <f>'MASTER STOCK'!F62</f>
        <v>Precision S/Driver Obeng 6S DIY</v>
      </c>
      <c r="B65" s="21">
        <f>'MASTER STOCK'!G62</f>
        <v>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23">
        <f t="shared" si="3"/>
        <v>0</v>
      </c>
      <c r="AI65" s="24">
        <f t="shared" si="4"/>
        <v>2</v>
      </c>
      <c r="AJ65" s="23">
        <f t="shared" si="5"/>
        <v>2</v>
      </c>
      <c r="AK65" s="23">
        <f t="shared" si="6"/>
        <v>0</v>
      </c>
      <c r="AL65" s="25">
        <f>'MASTER STOCK'!I62</f>
        <v>9500</v>
      </c>
      <c r="AM65" s="27">
        <f>'MASTER STOCK'!L62</f>
        <v>13300</v>
      </c>
      <c r="AN65" s="26">
        <f t="shared" si="7"/>
        <v>0</v>
      </c>
      <c r="AO65" s="27">
        <f t="shared" si="8"/>
        <v>0</v>
      </c>
      <c r="AP65" s="25">
        <f t="shared" si="9"/>
        <v>0</v>
      </c>
      <c r="AQ65" s="10"/>
    </row>
    <row r="66">
      <c r="A66" s="20" t="str">
        <f>'MASTER STOCK'!F63</f>
        <v>Blades / Isi Cutter Besar DIY</v>
      </c>
      <c r="B66" s="21">
        <f>'MASTER STOCK'!G63</f>
        <v>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23">
        <f t="shared" si="3"/>
        <v>0</v>
      </c>
      <c r="AI66" s="24">
        <f t="shared" si="4"/>
        <v>20</v>
      </c>
      <c r="AJ66" s="23">
        <f t="shared" si="5"/>
        <v>20</v>
      </c>
      <c r="AK66" s="23">
        <f t="shared" si="6"/>
        <v>0</v>
      </c>
      <c r="AL66" s="25">
        <f>'MASTER STOCK'!I63</f>
        <v>1150</v>
      </c>
      <c r="AM66" s="27">
        <f>'MASTER STOCK'!L63</f>
        <v>1495</v>
      </c>
      <c r="AN66" s="26">
        <f t="shared" si="7"/>
        <v>0</v>
      </c>
      <c r="AO66" s="27">
        <f t="shared" si="8"/>
        <v>0</v>
      </c>
      <c r="AP66" s="25">
        <f t="shared" si="9"/>
        <v>0</v>
      </c>
      <c r="AQ66" s="10"/>
    </row>
    <row r="67">
      <c r="A67" s="20" t="str">
        <f>'MASTER STOCK'!F64</f>
        <v>Blades / Isi Cutter Kecil DIY</v>
      </c>
      <c r="B67" s="21">
        <f>'MASTER STOCK'!G64</f>
        <v>20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23">
        <f t="shared" si="3"/>
        <v>0</v>
      </c>
      <c r="AI67" s="24">
        <f t="shared" si="4"/>
        <v>20</v>
      </c>
      <c r="AJ67" s="23">
        <f t="shared" si="5"/>
        <v>20</v>
      </c>
      <c r="AK67" s="23">
        <f t="shared" si="6"/>
        <v>0</v>
      </c>
      <c r="AL67" s="25">
        <f>'MASTER STOCK'!I64</f>
        <v>700</v>
      </c>
      <c r="AM67" s="27">
        <f>'MASTER STOCK'!L64</f>
        <v>1050</v>
      </c>
      <c r="AN67" s="26">
        <f t="shared" si="7"/>
        <v>0</v>
      </c>
      <c r="AO67" s="27">
        <f t="shared" si="8"/>
        <v>0</v>
      </c>
      <c r="AP67" s="25">
        <f t="shared" si="9"/>
        <v>0</v>
      </c>
      <c r="AQ67" s="10"/>
    </row>
    <row r="68">
      <c r="A68" s="20" t="str">
        <f>'MASTER STOCK'!F65</f>
        <v>Screwdriver  / Obeng 4" isi 2 DIY</v>
      </c>
      <c r="B68" s="21">
        <f>'MASTER STOCK'!G65</f>
        <v>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23">
        <f t="shared" si="3"/>
        <v>0</v>
      </c>
      <c r="AI68" s="24">
        <f t="shared" si="4"/>
        <v>2</v>
      </c>
      <c r="AJ68" s="23">
        <f t="shared" si="5"/>
        <v>2</v>
      </c>
      <c r="AK68" s="23">
        <f t="shared" si="6"/>
        <v>0</v>
      </c>
      <c r="AL68" s="25">
        <f>'MASTER STOCK'!I65</f>
        <v>12000</v>
      </c>
      <c r="AM68" s="27">
        <f>'MASTER STOCK'!L65</f>
        <v>15600</v>
      </c>
      <c r="AN68" s="26">
        <f t="shared" si="7"/>
        <v>0</v>
      </c>
      <c r="AO68" s="27">
        <f t="shared" si="8"/>
        <v>0</v>
      </c>
      <c r="AP68" s="25">
        <f t="shared" si="9"/>
        <v>0</v>
      </c>
      <c r="AQ68" s="10"/>
    </row>
    <row r="69">
      <c r="A69" s="20" t="str">
        <f>'MASTER STOCK'!F66</f>
        <v>Test Pen DIY</v>
      </c>
      <c r="B69" s="21">
        <f>'MASTER STOCK'!G66</f>
        <v>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23">
        <f t="shared" si="3"/>
        <v>0</v>
      </c>
      <c r="AI69" s="24">
        <f t="shared" si="4"/>
        <v>2</v>
      </c>
      <c r="AJ69" s="23">
        <f t="shared" si="5"/>
        <v>2</v>
      </c>
      <c r="AK69" s="23">
        <f t="shared" si="6"/>
        <v>0</v>
      </c>
      <c r="AL69" s="25">
        <f>'MASTER STOCK'!I66</f>
        <v>12000</v>
      </c>
      <c r="AM69" s="27">
        <f>'MASTER STOCK'!L66</f>
        <v>15600</v>
      </c>
      <c r="AN69" s="26">
        <f t="shared" si="7"/>
        <v>0</v>
      </c>
      <c r="AO69" s="27">
        <f t="shared" si="8"/>
        <v>0</v>
      </c>
      <c r="AP69" s="25">
        <f t="shared" si="9"/>
        <v>0</v>
      </c>
      <c r="AQ69" s="10"/>
    </row>
    <row r="70">
      <c r="A70" s="20" t="str">
        <f>'MASTER STOCK'!F67</f>
        <v>Door Bolt / Selot Pintu DIY 4"</v>
      </c>
      <c r="B70" s="21">
        <f>'MASTER STOCK'!G67</f>
        <v>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23">
        <f t="shared" si="3"/>
        <v>0</v>
      </c>
      <c r="AI70" s="24">
        <f t="shared" si="4"/>
        <v>3</v>
      </c>
      <c r="AJ70" s="23">
        <f t="shared" si="5"/>
        <v>3</v>
      </c>
      <c r="AK70" s="23">
        <f t="shared" si="6"/>
        <v>0</v>
      </c>
      <c r="AL70" s="25">
        <f>'MASTER STOCK'!I67</f>
        <v>7500</v>
      </c>
      <c r="AM70" s="27">
        <f>'MASTER STOCK'!L67</f>
        <v>9750</v>
      </c>
      <c r="AN70" s="26">
        <f t="shared" si="7"/>
        <v>0</v>
      </c>
      <c r="AO70" s="27">
        <f t="shared" si="8"/>
        <v>0</v>
      </c>
      <c r="AP70" s="25">
        <f t="shared" si="9"/>
        <v>0</v>
      </c>
      <c r="AQ70" s="10"/>
    </row>
    <row r="71">
      <c r="A71" s="20" t="str">
        <f>'MASTER STOCK'!F68</f>
        <v>Door Bolt / Selot Pintu DIY 3"</v>
      </c>
      <c r="B71" s="21">
        <f>'MASTER STOCK'!G68</f>
        <v>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23">
        <f t="shared" si="3"/>
        <v>0</v>
      </c>
      <c r="AI71" s="24">
        <f t="shared" si="4"/>
        <v>2</v>
      </c>
      <c r="AJ71" s="23">
        <f t="shared" si="5"/>
        <v>2</v>
      </c>
      <c r="AK71" s="23">
        <f t="shared" si="6"/>
        <v>0</v>
      </c>
      <c r="AL71" s="25">
        <f>'MASTER STOCK'!I68</f>
        <v>10500</v>
      </c>
      <c r="AM71" s="27">
        <f>'MASTER STOCK'!L68</f>
        <v>13650</v>
      </c>
      <c r="AN71" s="26">
        <f t="shared" si="7"/>
        <v>0</v>
      </c>
      <c r="AO71" s="27">
        <f t="shared" si="8"/>
        <v>0</v>
      </c>
      <c r="AP71" s="25">
        <f t="shared" si="9"/>
        <v>0</v>
      </c>
      <c r="AQ71" s="10"/>
    </row>
    <row r="72">
      <c r="A72" s="20" t="str">
        <f>'MASTER STOCK'!F69</f>
        <v>Kuas 2" incco</v>
      </c>
      <c r="B72" s="21">
        <f>'MASTER STOCK'!G69</f>
        <v>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23">
        <f t="shared" si="3"/>
        <v>0</v>
      </c>
      <c r="AI72" s="24">
        <f t="shared" si="4"/>
        <v>3</v>
      </c>
      <c r="AJ72" s="23">
        <f t="shared" si="5"/>
        <v>3</v>
      </c>
      <c r="AK72" s="23">
        <f t="shared" si="6"/>
        <v>0</v>
      </c>
      <c r="AL72" s="25">
        <f>'MASTER STOCK'!I69</f>
        <v>7000</v>
      </c>
      <c r="AM72" s="27">
        <f>'MASTER STOCK'!L69</f>
        <v>9100</v>
      </c>
      <c r="AN72" s="26">
        <f t="shared" si="7"/>
        <v>0</v>
      </c>
      <c r="AO72" s="27">
        <f t="shared" si="8"/>
        <v>0</v>
      </c>
      <c r="AP72" s="25">
        <f t="shared" si="9"/>
        <v>0</v>
      </c>
      <c r="AQ72" s="10"/>
    </row>
    <row r="73">
      <c r="A73" s="20" t="str">
        <f>'MASTER STOCK'!F70</f>
        <v>Kuas 1" incco </v>
      </c>
      <c r="B73" s="21">
        <f>'MASTER STOCK'!G70</f>
        <v>5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23">
        <f t="shared" si="3"/>
        <v>0</v>
      </c>
      <c r="AI73" s="24">
        <f t="shared" si="4"/>
        <v>5</v>
      </c>
      <c r="AJ73" s="23">
        <f t="shared" si="5"/>
        <v>5</v>
      </c>
      <c r="AK73" s="23">
        <f t="shared" si="6"/>
        <v>0</v>
      </c>
      <c r="AL73" s="25">
        <f>'MASTER STOCK'!I70</f>
        <v>3500</v>
      </c>
      <c r="AM73" s="27">
        <f>'MASTER STOCK'!L70</f>
        <v>4550</v>
      </c>
      <c r="AN73" s="26">
        <f t="shared" si="7"/>
        <v>0</v>
      </c>
      <c r="AO73" s="27">
        <f t="shared" si="8"/>
        <v>0</v>
      </c>
      <c r="AP73" s="25">
        <f t="shared" si="9"/>
        <v>0</v>
      </c>
      <c r="AQ73" s="10"/>
    </row>
    <row r="74">
      <c r="A74" s="20" t="str">
        <f>'MASTER STOCK'!F71</f>
        <v>Kapi Plastik Kuning DIY</v>
      </c>
      <c r="B74" s="21">
        <f>'MASTER STOCK'!G71</f>
        <v>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23">
        <f t="shared" si="3"/>
        <v>0</v>
      </c>
      <c r="AI74" s="24">
        <f t="shared" si="4"/>
        <v>4</v>
      </c>
      <c r="AJ74" s="23">
        <f t="shared" si="5"/>
        <v>4</v>
      </c>
      <c r="AK74" s="23">
        <f t="shared" si="6"/>
        <v>0</v>
      </c>
      <c r="AL74" s="25">
        <f>'MASTER STOCK'!I71</f>
        <v>5500</v>
      </c>
      <c r="AM74" s="27">
        <f>'MASTER STOCK'!L71</f>
        <v>7150</v>
      </c>
      <c r="AN74" s="26">
        <f t="shared" si="7"/>
        <v>0</v>
      </c>
      <c r="AO74" s="27">
        <f t="shared" si="8"/>
        <v>0</v>
      </c>
      <c r="AP74" s="25">
        <f t="shared" si="9"/>
        <v>0</v>
      </c>
      <c r="AQ74" s="10"/>
    </row>
    <row r="75">
      <c r="A75" s="20" t="str">
        <f>'MASTER STOCK'!F72</f>
        <v>Kabel Ties 3.6x300mm (85 gram) isi 100 pcs</v>
      </c>
      <c r="B75" s="21">
        <f>'MASTER STOCK'!G72</f>
        <v>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23">
        <f t="shared" si="3"/>
        <v>0</v>
      </c>
      <c r="AI75" s="24">
        <f t="shared" si="4"/>
        <v>1</v>
      </c>
      <c r="AJ75" s="23">
        <f t="shared" si="5"/>
        <v>1</v>
      </c>
      <c r="AK75" s="23">
        <f t="shared" si="6"/>
        <v>0</v>
      </c>
      <c r="AL75" s="25">
        <f>'MASTER STOCK'!I72</f>
        <v>11000</v>
      </c>
      <c r="AM75" s="27">
        <f>'MASTER STOCK'!L72</f>
        <v>16500</v>
      </c>
      <c r="AN75" s="26">
        <f t="shared" si="7"/>
        <v>0</v>
      </c>
      <c r="AO75" s="27">
        <f t="shared" si="8"/>
        <v>0</v>
      </c>
      <c r="AP75" s="25">
        <f t="shared" si="9"/>
        <v>0</v>
      </c>
      <c r="AQ75" s="10"/>
    </row>
    <row r="76">
      <c r="A76" s="20" t="str">
        <f>'MASTER STOCK'!F73</f>
        <v>Kabel Ties 3.6x150mm (60 gram) isi 100 pcs</v>
      </c>
      <c r="B76" s="21">
        <f>'MASTER STOCK'!G73</f>
        <v>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23">
        <f t="shared" si="3"/>
        <v>0</v>
      </c>
      <c r="AI76" s="24">
        <f t="shared" si="4"/>
        <v>1</v>
      </c>
      <c r="AJ76" s="23">
        <f t="shared" si="5"/>
        <v>1</v>
      </c>
      <c r="AK76" s="23">
        <f t="shared" si="6"/>
        <v>0</v>
      </c>
      <c r="AL76" s="25">
        <f>'MASTER STOCK'!I73</f>
        <v>6500</v>
      </c>
      <c r="AM76" s="27">
        <f>'MASTER STOCK'!L73</f>
        <v>9750</v>
      </c>
      <c r="AN76" s="26">
        <f t="shared" si="7"/>
        <v>0</v>
      </c>
      <c r="AO76" s="27">
        <f t="shared" si="8"/>
        <v>0</v>
      </c>
      <c r="AP76" s="25">
        <f t="shared" si="9"/>
        <v>0</v>
      </c>
      <c r="AQ76" s="10"/>
    </row>
    <row r="77">
      <c r="A77" s="20" t="str">
        <f>'MASTER STOCK'!F74</f>
        <v>Kabel Ties 2.5x200mm (50 gram) isi 100 pcs</v>
      </c>
      <c r="B77" s="21">
        <f>'MASTER STOCK'!G74</f>
        <v>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23">
        <f t="shared" si="3"/>
        <v>0</v>
      </c>
      <c r="AI77" s="24">
        <f t="shared" si="4"/>
        <v>1</v>
      </c>
      <c r="AJ77" s="23">
        <f t="shared" si="5"/>
        <v>1</v>
      </c>
      <c r="AK77" s="23">
        <f t="shared" si="6"/>
        <v>0</v>
      </c>
      <c r="AL77" s="25">
        <f>'MASTER STOCK'!I74</f>
        <v>5300</v>
      </c>
      <c r="AM77" s="27">
        <f>'MASTER STOCK'!L74</f>
        <v>7950</v>
      </c>
      <c r="AN77" s="26">
        <f t="shared" si="7"/>
        <v>0</v>
      </c>
      <c r="AO77" s="27">
        <f t="shared" si="8"/>
        <v>0</v>
      </c>
      <c r="AP77" s="25">
        <f t="shared" si="9"/>
        <v>0</v>
      </c>
      <c r="AQ77" s="10"/>
    </row>
    <row r="78">
      <c r="A78" s="20" t="str">
        <f>'MASTER STOCK'!F75</f>
        <v>Kabel Ties 2.5x100mm (50 gram) isi 100 pcs</v>
      </c>
      <c r="B78" s="21">
        <f>'MASTER STOCK'!G75</f>
        <v>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23">
        <f t="shared" si="3"/>
        <v>0</v>
      </c>
      <c r="AI78" s="24">
        <f t="shared" si="4"/>
        <v>3</v>
      </c>
      <c r="AJ78" s="23">
        <f t="shared" si="5"/>
        <v>3</v>
      </c>
      <c r="AK78" s="23">
        <f t="shared" si="6"/>
        <v>0</v>
      </c>
      <c r="AL78" s="25">
        <f>'MASTER STOCK'!I75</f>
        <v>2850</v>
      </c>
      <c r="AM78" s="27">
        <f>'MASTER STOCK'!L75</f>
        <v>4275</v>
      </c>
      <c r="AN78" s="26">
        <f t="shared" si="7"/>
        <v>0</v>
      </c>
      <c r="AO78" s="27">
        <f t="shared" si="8"/>
        <v>0</v>
      </c>
      <c r="AP78" s="25">
        <f t="shared" si="9"/>
        <v>0</v>
      </c>
      <c r="AQ78" s="10"/>
    </row>
    <row r="79">
      <c r="A79" s="20" t="str">
        <f>'MASTER STOCK'!F76</f>
        <v>Kabel Ties 3.6x300mm (85 gram) isi 100 pcs</v>
      </c>
      <c r="B79" s="21">
        <f>'MASTER STOCK'!G76</f>
        <v>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23">
        <f t="shared" si="3"/>
        <v>0</v>
      </c>
      <c r="AI79" s="24">
        <f t="shared" si="4"/>
        <v>1</v>
      </c>
      <c r="AJ79" s="23">
        <f t="shared" si="5"/>
        <v>1</v>
      </c>
      <c r="AK79" s="23">
        <f t="shared" si="6"/>
        <v>0</v>
      </c>
      <c r="AL79" s="25">
        <f>'MASTER STOCK'!I76</f>
        <v>11000</v>
      </c>
      <c r="AM79" s="27">
        <f>'MASTER STOCK'!L76</f>
        <v>16500</v>
      </c>
      <c r="AN79" s="26">
        <f t="shared" si="7"/>
        <v>0</v>
      </c>
      <c r="AO79" s="27">
        <f t="shared" si="8"/>
        <v>0</v>
      </c>
      <c r="AP79" s="25">
        <f t="shared" si="9"/>
        <v>0</v>
      </c>
      <c r="AQ79" s="10"/>
    </row>
    <row r="80">
      <c r="A80" s="20" t="str">
        <f>'MASTER STOCK'!F77</f>
        <v>Kabel Ties 2.5x150mm (50 gram) isi 100 pcs</v>
      </c>
      <c r="B80" s="21">
        <f>'MASTER STOCK'!G77</f>
        <v>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23">
        <f t="shared" si="3"/>
        <v>0</v>
      </c>
      <c r="AI80" s="24">
        <f t="shared" si="4"/>
        <v>1</v>
      </c>
      <c r="AJ80" s="23">
        <f t="shared" si="5"/>
        <v>1</v>
      </c>
      <c r="AK80" s="23">
        <f t="shared" si="6"/>
        <v>0</v>
      </c>
      <c r="AL80" s="25">
        <f>'MASTER STOCK'!I77</f>
        <v>4100</v>
      </c>
      <c r="AM80" s="27">
        <f>'MASTER STOCK'!L77</f>
        <v>6150</v>
      </c>
      <c r="AN80" s="26">
        <f t="shared" si="7"/>
        <v>0</v>
      </c>
      <c r="AO80" s="27">
        <f t="shared" si="8"/>
        <v>0</v>
      </c>
      <c r="AP80" s="25">
        <f t="shared" si="9"/>
        <v>0</v>
      </c>
      <c r="AQ80" s="10"/>
    </row>
    <row r="81">
      <c r="A81" s="20" t="str">
        <f>'MASTER STOCK'!F78</f>
        <v>Kabel Ties 3.6x250mm (80 gram) isi 100 pcs</v>
      </c>
      <c r="B81" s="21">
        <f>'MASTER STOCK'!G78</f>
        <v>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23">
        <f t="shared" si="3"/>
        <v>0</v>
      </c>
      <c r="AI81" s="24">
        <f t="shared" si="4"/>
        <v>1</v>
      </c>
      <c r="AJ81" s="23">
        <f t="shared" si="5"/>
        <v>1</v>
      </c>
      <c r="AK81" s="23">
        <f t="shared" si="6"/>
        <v>0</v>
      </c>
      <c r="AL81" s="25">
        <f>'MASTER STOCK'!I78</f>
        <v>10300</v>
      </c>
      <c r="AM81" s="27">
        <f>'MASTER STOCK'!L78</f>
        <v>15450</v>
      </c>
      <c r="AN81" s="26">
        <f t="shared" si="7"/>
        <v>0</v>
      </c>
      <c r="AO81" s="27">
        <f t="shared" si="8"/>
        <v>0</v>
      </c>
      <c r="AP81" s="25">
        <f t="shared" si="9"/>
        <v>0</v>
      </c>
      <c r="AQ81" s="10"/>
    </row>
    <row r="82">
      <c r="A82" s="20" t="str">
        <f>'MASTER STOCK'!F79</f>
        <v>Kabel Ties 4.8x200mm (85 gram) isi 100 pcs</v>
      </c>
      <c r="B82" s="21">
        <f>'MASTER STOCK'!G79</f>
        <v>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23">
        <f t="shared" si="3"/>
        <v>0</v>
      </c>
      <c r="AI82" s="24">
        <f t="shared" si="4"/>
        <v>1</v>
      </c>
      <c r="AJ82" s="23">
        <f t="shared" si="5"/>
        <v>1</v>
      </c>
      <c r="AK82" s="23">
        <f t="shared" si="6"/>
        <v>0</v>
      </c>
      <c r="AL82" s="25">
        <f>'MASTER STOCK'!I79</f>
        <v>11000</v>
      </c>
      <c r="AM82" s="27">
        <f>'MASTER STOCK'!L79</f>
        <v>16500</v>
      </c>
      <c r="AN82" s="26">
        <f t="shared" si="7"/>
        <v>0</v>
      </c>
      <c r="AO82" s="27">
        <f t="shared" si="8"/>
        <v>0</v>
      </c>
      <c r="AP82" s="25">
        <f t="shared" si="9"/>
        <v>0</v>
      </c>
      <c r="AQ82" s="10"/>
    </row>
    <row r="83">
      <c r="A83" s="20" t="str">
        <f>'MASTER STOCK'!F80</f>
        <v>Kabel Ties 2.5x100mm (50 gram) isi 100 pcs</v>
      </c>
      <c r="B83" s="21">
        <f>'MASTER STOCK'!G80</f>
        <v>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23">
        <f t="shared" si="3"/>
        <v>0</v>
      </c>
      <c r="AI83" s="24">
        <f t="shared" si="4"/>
        <v>1</v>
      </c>
      <c r="AJ83" s="23">
        <f t="shared" si="5"/>
        <v>1</v>
      </c>
      <c r="AK83" s="23">
        <f t="shared" si="6"/>
        <v>0</v>
      </c>
      <c r="AL83" s="25">
        <f>'MASTER STOCK'!I80</f>
        <v>2850</v>
      </c>
      <c r="AM83" s="27">
        <f>'MASTER STOCK'!L80</f>
        <v>4275</v>
      </c>
      <c r="AN83" s="26">
        <f t="shared" si="7"/>
        <v>0</v>
      </c>
      <c r="AO83" s="27">
        <f t="shared" si="8"/>
        <v>0</v>
      </c>
      <c r="AP83" s="25">
        <f t="shared" si="9"/>
        <v>0</v>
      </c>
      <c r="AQ83" s="10"/>
    </row>
    <row r="84">
      <c r="A84" s="20" t="str">
        <f>'MASTER STOCK'!F81</f>
        <v>Kabel Ties 3.6x150mm (70 gram) isi 100 pcs</v>
      </c>
      <c r="B84" s="21">
        <f>'MASTER STOCK'!G81</f>
        <v>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23">
        <f t="shared" si="3"/>
        <v>0</v>
      </c>
      <c r="AI84" s="24">
        <f t="shared" si="4"/>
        <v>1</v>
      </c>
      <c r="AJ84" s="23">
        <f t="shared" si="5"/>
        <v>1</v>
      </c>
      <c r="AK84" s="23">
        <f t="shared" si="6"/>
        <v>0</v>
      </c>
      <c r="AL84" s="25">
        <f>'MASTER STOCK'!I81</f>
        <v>6500</v>
      </c>
      <c r="AM84" s="27">
        <f>'MASTER STOCK'!L81</f>
        <v>9750</v>
      </c>
      <c r="AN84" s="26">
        <f t="shared" si="7"/>
        <v>0</v>
      </c>
      <c r="AO84" s="27">
        <f t="shared" si="8"/>
        <v>0</v>
      </c>
      <c r="AP84" s="25">
        <f t="shared" si="9"/>
        <v>0</v>
      </c>
      <c r="AQ84" s="10"/>
    </row>
    <row r="85">
      <c r="A85" s="20" t="str">
        <f>'MASTER STOCK'!F82</f>
        <v>Kabel Ties 4.8x200mm (85 gram) isi 100 pcs</v>
      </c>
      <c r="B85" s="21">
        <f>'MASTER STOCK'!G82</f>
        <v>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23">
        <f t="shared" si="3"/>
        <v>0</v>
      </c>
      <c r="AI85" s="24">
        <f t="shared" si="4"/>
        <v>1</v>
      </c>
      <c r="AJ85" s="23">
        <f t="shared" si="5"/>
        <v>1</v>
      </c>
      <c r="AK85" s="23">
        <f t="shared" si="6"/>
        <v>0</v>
      </c>
      <c r="AL85" s="25">
        <f>'MASTER STOCK'!I82</f>
        <v>11000</v>
      </c>
      <c r="AM85" s="27">
        <f>'MASTER STOCK'!L82</f>
        <v>16500</v>
      </c>
      <c r="AN85" s="26">
        <f t="shared" si="7"/>
        <v>0</v>
      </c>
      <c r="AO85" s="27">
        <f t="shared" si="8"/>
        <v>0</v>
      </c>
      <c r="AP85" s="25">
        <f t="shared" si="9"/>
        <v>0</v>
      </c>
      <c r="AQ85" s="10"/>
    </row>
    <row r="86">
      <c r="A86" s="20" t="str">
        <f>'MASTER STOCK'!F83</f>
        <v>Kabel Ties 3.6x250mm (70 gram) isi 100 pcs</v>
      </c>
      <c r="B86" s="21">
        <f>'MASTER STOCK'!G83</f>
        <v>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23">
        <f t="shared" si="3"/>
        <v>0</v>
      </c>
      <c r="AI86" s="24">
        <f t="shared" si="4"/>
        <v>1</v>
      </c>
      <c r="AJ86" s="23">
        <f t="shared" si="5"/>
        <v>1</v>
      </c>
      <c r="AK86" s="23">
        <f t="shared" si="6"/>
        <v>0</v>
      </c>
      <c r="AL86" s="25">
        <f>'MASTER STOCK'!I83</f>
        <v>10300</v>
      </c>
      <c r="AM86" s="27">
        <f>'MASTER STOCK'!L83</f>
        <v>15450</v>
      </c>
      <c r="AN86" s="26">
        <f t="shared" si="7"/>
        <v>0</v>
      </c>
      <c r="AO86" s="27">
        <f t="shared" si="8"/>
        <v>0</v>
      </c>
      <c r="AP86" s="25">
        <f t="shared" si="9"/>
        <v>0</v>
      </c>
      <c r="AQ86" s="10"/>
    </row>
    <row r="87">
      <c r="A87" s="20" t="str">
        <f>'MASTER STOCK'!F84</f>
        <v>Kabel Transparan 2x30 90M full serabut per roll 2line</v>
      </c>
      <c r="B87" s="21">
        <f>'MASTER STOCK'!G84</f>
        <v>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23">
        <f t="shared" si="3"/>
        <v>0</v>
      </c>
      <c r="AI87" s="24">
        <f t="shared" si="4"/>
        <v>1</v>
      </c>
      <c r="AJ87" s="23">
        <f t="shared" si="5"/>
        <v>1</v>
      </c>
      <c r="AK87" s="23">
        <f t="shared" si="6"/>
        <v>0</v>
      </c>
      <c r="AL87" s="25">
        <f>'MASTER STOCK'!I84</f>
        <v>80000</v>
      </c>
      <c r="AM87" s="27">
        <f>'MASTER STOCK'!L84</f>
        <v>136000</v>
      </c>
      <c r="AN87" s="26">
        <f t="shared" si="7"/>
        <v>0</v>
      </c>
      <c r="AO87" s="27">
        <f t="shared" si="8"/>
        <v>0</v>
      </c>
      <c r="AP87" s="25">
        <f t="shared" si="9"/>
        <v>0</v>
      </c>
      <c r="AQ87" s="10"/>
    </row>
    <row r="88">
      <c r="A88" s="20" t="str">
        <f>'MASTER STOCK'!F85</f>
        <v>Kabel Transparan 2x80 90M full serabut per roll 2line</v>
      </c>
      <c r="B88" s="21">
        <f>'MASTER STOCK'!G85</f>
        <v>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23">
        <f t="shared" si="3"/>
        <v>0</v>
      </c>
      <c r="AI88" s="24">
        <f t="shared" si="4"/>
        <v>1</v>
      </c>
      <c r="AJ88" s="23">
        <f t="shared" si="5"/>
        <v>1</v>
      </c>
      <c r="AK88" s="23">
        <f t="shared" si="6"/>
        <v>0</v>
      </c>
      <c r="AL88" s="25">
        <f>'MASTER STOCK'!I85</f>
        <v>165000</v>
      </c>
      <c r="AM88" s="27">
        <f>'MASTER STOCK'!L85</f>
        <v>280500</v>
      </c>
      <c r="AN88" s="26">
        <f t="shared" si="7"/>
        <v>0</v>
      </c>
      <c r="AO88" s="27">
        <f t="shared" si="8"/>
        <v>0</v>
      </c>
      <c r="AP88" s="25">
        <f t="shared" si="9"/>
        <v>0</v>
      </c>
      <c r="AQ88" s="10"/>
    </row>
    <row r="89">
      <c r="A89" s="20" t="str">
        <f>'MASTER STOCK'!F86</f>
        <v>Kabel Transparan 2x50 90M full serabut per roll 2line</v>
      </c>
      <c r="B89" s="21">
        <f>'MASTER STOCK'!G86</f>
        <v>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23">
        <f t="shared" si="3"/>
        <v>0</v>
      </c>
      <c r="AI89" s="24">
        <f t="shared" si="4"/>
        <v>1</v>
      </c>
      <c r="AJ89" s="23">
        <f t="shared" si="5"/>
        <v>1</v>
      </c>
      <c r="AK89" s="23">
        <f t="shared" si="6"/>
        <v>0</v>
      </c>
      <c r="AL89" s="25">
        <f>'MASTER STOCK'!I86</f>
        <v>140000</v>
      </c>
      <c r="AM89" s="27">
        <f>'MASTER STOCK'!L86</f>
        <v>238000</v>
      </c>
      <c r="AN89" s="26">
        <f t="shared" si="7"/>
        <v>0</v>
      </c>
      <c r="AO89" s="27">
        <f t="shared" si="8"/>
        <v>0</v>
      </c>
      <c r="AP89" s="25">
        <f t="shared" si="9"/>
        <v>0</v>
      </c>
      <c r="AQ89" s="10"/>
    </row>
    <row r="90">
      <c r="A90" s="20" t="str">
        <f>'MASTER STOCK'!F87</f>
        <v>Solder listrik gagang kayu 60watt</v>
      </c>
      <c r="B90" s="21">
        <f>'MASTER STOCK'!G87</f>
        <v>5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23">
        <f t="shared" si="3"/>
        <v>0</v>
      </c>
      <c r="AI90" s="24">
        <f t="shared" si="4"/>
        <v>5</v>
      </c>
      <c r="AJ90" s="23">
        <f t="shared" si="5"/>
        <v>5</v>
      </c>
      <c r="AK90" s="23">
        <f t="shared" si="6"/>
        <v>0</v>
      </c>
      <c r="AL90" s="25">
        <f>'MASTER STOCK'!I87</f>
        <v>13000</v>
      </c>
      <c r="AM90" s="27">
        <f>'MASTER STOCK'!L87</f>
        <v>16900</v>
      </c>
      <c r="AN90" s="26">
        <f t="shared" si="7"/>
        <v>0</v>
      </c>
      <c r="AO90" s="27">
        <f t="shared" si="8"/>
        <v>0</v>
      </c>
      <c r="AP90" s="25">
        <f t="shared" si="9"/>
        <v>0</v>
      </c>
      <c r="AQ90" s="10"/>
    </row>
    <row r="91">
      <c r="A91" s="20" t="str">
        <f>'MASTER STOCK'!F88</f>
        <v>Timah gulung solder tenol elektrik</v>
      </c>
      <c r="B91" s="21">
        <f>'MASTER STOCK'!G88</f>
        <v>3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23">
        <f t="shared" si="3"/>
        <v>0</v>
      </c>
      <c r="AI91" s="24">
        <f t="shared" si="4"/>
        <v>3</v>
      </c>
      <c r="AJ91" s="23">
        <f t="shared" si="5"/>
        <v>3</v>
      </c>
      <c r="AK91" s="23">
        <f t="shared" si="6"/>
        <v>0</v>
      </c>
      <c r="AL91" s="25">
        <f>'MASTER STOCK'!I88</f>
        <v>10500</v>
      </c>
      <c r="AM91" s="27">
        <f>'MASTER STOCK'!L88</f>
        <v>13650</v>
      </c>
      <c r="AN91" s="26">
        <f t="shared" si="7"/>
        <v>0</v>
      </c>
      <c r="AO91" s="27">
        <f t="shared" si="8"/>
        <v>0</v>
      </c>
      <c r="AP91" s="25">
        <f t="shared" si="9"/>
        <v>0</v>
      </c>
      <c r="AQ91" s="10"/>
    </row>
    <row r="92">
      <c r="A92" s="20" t="str">
        <f>'MASTER STOCK'!F89</f>
        <v>Solasi lakban coklat</v>
      </c>
      <c r="B92" s="21">
        <f>'MASTER STOCK'!G89</f>
        <v>6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23">
        <f t="shared" si="3"/>
        <v>0</v>
      </c>
      <c r="AI92" s="24">
        <f t="shared" si="4"/>
        <v>6</v>
      </c>
      <c r="AJ92" s="23">
        <f t="shared" si="5"/>
        <v>6</v>
      </c>
      <c r="AK92" s="23">
        <f t="shared" si="6"/>
        <v>0</v>
      </c>
      <c r="AL92" s="25">
        <f>'MASTER STOCK'!I89</f>
        <v>3600</v>
      </c>
      <c r="AM92" s="27">
        <f>'MASTER STOCK'!L89</f>
        <v>5400</v>
      </c>
      <c r="AN92" s="26">
        <f t="shared" si="7"/>
        <v>0</v>
      </c>
      <c r="AO92" s="27">
        <f t="shared" si="8"/>
        <v>0</v>
      </c>
      <c r="AP92" s="25">
        <f t="shared" si="9"/>
        <v>0</v>
      </c>
      <c r="AQ92" s="10"/>
    </row>
    <row r="93">
      <c r="A93" s="20" t="str">
        <f>'MASTER STOCK'!F90</f>
        <v>Spidol Kecil snowman Hitam</v>
      </c>
      <c r="B93" s="21">
        <f>'MASTER STOCK'!G90</f>
        <v>12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23">
        <f t="shared" si="3"/>
        <v>0</v>
      </c>
      <c r="AI93" s="24">
        <f t="shared" si="4"/>
        <v>12</v>
      </c>
      <c r="AJ93" s="23">
        <f t="shared" si="5"/>
        <v>12</v>
      </c>
      <c r="AK93" s="23">
        <f t="shared" si="6"/>
        <v>0</v>
      </c>
      <c r="AL93" s="25">
        <f>'MASTER STOCK'!I90</f>
        <v>1700</v>
      </c>
      <c r="AM93" s="27">
        <f>'MASTER STOCK'!L90</f>
        <v>2550</v>
      </c>
      <c r="AN93" s="26">
        <f t="shared" si="7"/>
        <v>0</v>
      </c>
      <c r="AO93" s="27">
        <f t="shared" si="8"/>
        <v>0</v>
      </c>
      <c r="AP93" s="25">
        <f t="shared" si="9"/>
        <v>0</v>
      </c>
      <c r="AQ93" s="10"/>
    </row>
    <row r="94">
      <c r="A94" s="20" t="str">
        <f>'MASTER STOCK'!F91</f>
        <v>Spidol Kecil snowman Merah</v>
      </c>
      <c r="B94" s="21">
        <f>'MASTER STOCK'!G91</f>
        <v>12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23">
        <f t="shared" si="3"/>
        <v>0</v>
      </c>
      <c r="AI94" s="24">
        <f t="shared" si="4"/>
        <v>12</v>
      </c>
      <c r="AJ94" s="23">
        <f t="shared" si="5"/>
        <v>12</v>
      </c>
      <c r="AK94" s="23">
        <f t="shared" si="6"/>
        <v>0</v>
      </c>
      <c r="AL94" s="25">
        <f>'MASTER STOCK'!I91</f>
        <v>1700</v>
      </c>
      <c r="AM94" s="27">
        <f>'MASTER STOCK'!L91</f>
        <v>2550</v>
      </c>
      <c r="AN94" s="26">
        <f t="shared" si="7"/>
        <v>0</v>
      </c>
      <c r="AO94" s="27">
        <f t="shared" si="8"/>
        <v>0</v>
      </c>
      <c r="AP94" s="25">
        <f t="shared" si="9"/>
        <v>0</v>
      </c>
      <c r="AQ94" s="10"/>
    </row>
    <row r="95">
      <c r="A95" s="20" t="str">
        <f>'MASTER STOCK'!F92</f>
        <v>isolasi Lakban Packing bening</v>
      </c>
      <c r="B95" s="21">
        <f>'MASTER STOCK'!G92</f>
        <v>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23">
        <f t="shared" si="3"/>
        <v>0</v>
      </c>
      <c r="AI95" s="24">
        <f t="shared" si="4"/>
        <v>6</v>
      </c>
      <c r="AJ95" s="23">
        <f t="shared" si="5"/>
        <v>6</v>
      </c>
      <c r="AK95" s="23">
        <f t="shared" si="6"/>
        <v>0</v>
      </c>
      <c r="AL95" s="25">
        <f>'MASTER STOCK'!I92</f>
        <v>4500</v>
      </c>
      <c r="AM95" s="27">
        <f>'MASTER STOCK'!L92</f>
        <v>5850</v>
      </c>
      <c r="AN95" s="26">
        <f t="shared" si="7"/>
        <v>0</v>
      </c>
      <c r="AO95" s="27">
        <f t="shared" si="8"/>
        <v>0</v>
      </c>
      <c r="AP95" s="25">
        <f t="shared" si="9"/>
        <v>0</v>
      </c>
      <c r="AQ95" s="10"/>
    </row>
    <row r="96">
      <c r="A96" s="20" t="str">
        <f>'MASTER STOCK'!F93</f>
        <v>Tali tampar/ Tali tukang</v>
      </c>
      <c r="B96" s="21">
        <f>'MASTER STOCK'!G93</f>
        <v>20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23">
        <f t="shared" si="3"/>
        <v>0</v>
      </c>
      <c r="AI96" s="24">
        <f t="shared" si="4"/>
        <v>20</v>
      </c>
      <c r="AJ96" s="23">
        <f t="shared" si="5"/>
        <v>20</v>
      </c>
      <c r="AK96" s="23">
        <f t="shared" si="6"/>
        <v>0</v>
      </c>
      <c r="AL96" s="25">
        <f>'MASTER STOCK'!I93</f>
        <v>1750</v>
      </c>
      <c r="AM96" s="27">
        <f>'MASTER STOCK'!L93</f>
        <v>2275</v>
      </c>
      <c r="AN96" s="26">
        <f t="shared" si="7"/>
        <v>0</v>
      </c>
      <c r="AO96" s="27">
        <f t="shared" si="8"/>
        <v>0</v>
      </c>
      <c r="AP96" s="25">
        <f t="shared" si="9"/>
        <v>0</v>
      </c>
      <c r="AQ96" s="10"/>
    </row>
    <row r="97">
      <c r="A97" s="20" t="str">
        <f>'MASTER STOCK'!F94</f>
        <v>Keranjang serbaguna</v>
      </c>
      <c r="B97" s="21">
        <f>'MASTER STOCK'!G94</f>
        <v>24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23">
        <f t="shared" si="3"/>
        <v>0</v>
      </c>
      <c r="AI97" s="24">
        <f t="shared" si="4"/>
        <v>24</v>
      </c>
      <c r="AJ97" s="23">
        <f t="shared" si="5"/>
        <v>24</v>
      </c>
      <c r="AK97" s="23">
        <f t="shared" si="6"/>
        <v>0</v>
      </c>
      <c r="AL97" s="25">
        <f>'MASTER STOCK'!I94</f>
        <v>4700</v>
      </c>
      <c r="AM97" s="27" t="str">
        <f>'MASTER STOCK'!L94</f>
        <v/>
      </c>
      <c r="AN97" s="26">
        <f t="shared" si="7"/>
        <v>0</v>
      </c>
      <c r="AO97" s="27">
        <f t="shared" si="8"/>
        <v>0</v>
      </c>
      <c r="AP97" s="25">
        <f t="shared" si="9"/>
        <v>0</v>
      </c>
      <c r="AQ97" s="10"/>
    </row>
    <row r="98">
      <c r="A98" s="20" t="str">
        <f>'MASTER STOCK'!F95</f>
        <v>Paku (Nail 2000) 1 1/2"</v>
      </c>
      <c r="B98" s="21">
        <f>'MASTER STOCK'!G95</f>
        <v>4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23">
        <f t="shared" si="3"/>
        <v>0</v>
      </c>
      <c r="AI98" s="24">
        <f t="shared" si="4"/>
        <v>4</v>
      </c>
      <c r="AJ98" s="23">
        <f t="shared" si="5"/>
        <v>4</v>
      </c>
      <c r="AK98" s="23">
        <f t="shared" si="6"/>
        <v>0</v>
      </c>
      <c r="AL98" s="25">
        <f>'MASTER STOCK'!I95</f>
        <v>14400</v>
      </c>
      <c r="AM98" s="27">
        <f>'MASTER STOCK'!L95</f>
        <v>18720</v>
      </c>
      <c r="AN98" s="26">
        <f t="shared" si="7"/>
        <v>0</v>
      </c>
      <c r="AO98" s="27">
        <f t="shared" si="8"/>
        <v>0</v>
      </c>
      <c r="AP98" s="25">
        <f t="shared" si="9"/>
        <v>0</v>
      </c>
      <c r="AQ98" s="10"/>
    </row>
    <row r="99">
      <c r="A99" s="20" t="str">
        <f>'MASTER STOCK'!F96</f>
        <v>Paku (Nail 2000) 2 1/2"</v>
      </c>
      <c r="B99" s="21">
        <f>'MASTER STOCK'!G96</f>
        <v>20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23">
        <f t="shared" si="3"/>
        <v>0</v>
      </c>
      <c r="AI99" s="24">
        <f t="shared" si="4"/>
        <v>20</v>
      </c>
      <c r="AJ99" s="23">
        <f t="shared" si="5"/>
        <v>20</v>
      </c>
      <c r="AK99" s="23">
        <f t="shared" si="6"/>
        <v>0</v>
      </c>
      <c r="AL99" s="25">
        <f>'MASTER STOCK'!I96</f>
        <v>13500</v>
      </c>
      <c r="AM99" s="27">
        <f>'MASTER STOCK'!L96</f>
        <v>17550</v>
      </c>
      <c r="AN99" s="26">
        <f t="shared" si="7"/>
        <v>0</v>
      </c>
      <c r="AO99" s="27">
        <f t="shared" si="8"/>
        <v>0</v>
      </c>
      <c r="AP99" s="25">
        <f t="shared" si="9"/>
        <v>0</v>
      </c>
      <c r="AQ99" s="10"/>
    </row>
    <row r="100">
      <c r="A100" s="20" t="str">
        <f>'MASTER STOCK'!F97</f>
        <v>Paku (Nail 2000) 3"</v>
      </c>
      <c r="B100" s="21">
        <f>'MASTER STOCK'!G97</f>
        <v>20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23">
        <f t="shared" si="3"/>
        <v>0</v>
      </c>
      <c r="AI100" s="24">
        <f t="shared" si="4"/>
        <v>20</v>
      </c>
      <c r="AJ100" s="23">
        <f t="shared" si="5"/>
        <v>20</v>
      </c>
      <c r="AK100" s="23">
        <f t="shared" si="6"/>
        <v>0</v>
      </c>
      <c r="AL100" s="25">
        <f>'MASTER STOCK'!I97</f>
        <v>13500</v>
      </c>
      <c r="AM100" s="27">
        <f>'MASTER STOCK'!L97</f>
        <v>17550</v>
      </c>
      <c r="AN100" s="26">
        <f t="shared" si="7"/>
        <v>0</v>
      </c>
      <c r="AO100" s="27">
        <f t="shared" si="8"/>
        <v>0</v>
      </c>
      <c r="AP100" s="25">
        <f t="shared" si="9"/>
        <v>0</v>
      </c>
      <c r="AQ100" s="10"/>
    </row>
    <row r="101">
      <c r="A101" s="20" t="str">
        <f>'MASTER STOCK'!F98</f>
        <v>Paku (Nail 2000) 1"</v>
      </c>
      <c r="B101" s="21">
        <f>'MASTER STOCK'!G98</f>
        <v>4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23">
        <f t="shared" si="3"/>
        <v>0</v>
      </c>
      <c r="AI101" s="24">
        <f t="shared" si="4"/>
        <v>4</v>
      </c>
      <c r="AJ101" s="23">
        <f t="shared" si="5"/>
        <v>4</v>
      </c>
      <c r="AK101" s="23">
        <f t="shared" si="6"/>
        <v>0</v>
      </c>
      <c r="AL101" s="25">
        <f>'MASTER STOCK'!I98</f>
        <v>15200</v>
      </c>
      <c r="AM101" s="27">
        <f>'MASTER STOCK'!L98</f>
        <v>19760</v>
      </c>
      <c r="AN101" s="26">
        <f t="shared" si="7"/>
        <v>0</v>
      </c>
      <c r="AO101" s="27">
        <f t="shared" si="8"/>
        <v>0</v>
      </c>
      <c r="AP101" s="25">
        <f t="shared" si="9"/>
        <v>0</v>
      </c>
      <c r="AQ101" s="10"/>
    </row>
    <row r="102">
      <c r="A102" s="20" t="str">
        <f>'MASTER STOCK'!F99</f>
        <v>Paku (Nail 20000 1 3/4"</v>
      </c>
      <c r="B102" s="21">
        <f>'MASTER STOCK'!G99</f>
        <v>4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23">
        <f t="shared" si="3"/>
        <v>0</v>
      </c>
      <c r="AI102" s="24">
        <f t="shared" si="4"/>
        <v>4</v>
      </c>
      <c r="AJ102" s="23">
        <f t="shared" si="5"/>
        <v>4</v>
      </c>
      <c r="AK102" s="23">
        <f t="shared" si="6"/>
        <v>0</v>
      </c>
      <c r="AL102" s="25">
        <f>'MASTER STOCK'!I99</f>
        <v>14100</v>
      </c>
      <c r="AM102" s="27">
        <f>'MASTER STOCK'!L99</f>
        <v>18330</v>
      </c>
      <c r="AN102" s="26">
        <f t="shared" si="7"/>
        <v>0</v>
      </c>
      <c r="AO102" s="27">
        <f t="shared" si="8"/>
        <v>0</v>
      </c>
      <c r="AP102" s="25">
        <f t="shared" si="9"/>
        <v>0</v>
      </c>
      <c r="AQ102" s="10"/>
    </row>
    <row r="103">
      <c r="A103" s="20" t="str">
        <f>'MASTER STOCK'!F100</f>
        <v>Paku (Nail 2000) 2"</v>
      </c>
      <c r="B103" s="21">
        <f>'MASTER STOCK'!G100</f>
        <v>15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23">
        <f t="shared" si="3"/>
        <v>0</v>
      </c>
      <c r="AI103" s="24">
        <f t="shared" si="4"/>
        <v>15</v>
      </c>
      <c r="AJ103" s="23">
        <f t="shared" si="5"/>
        <v>15</v>
      </c>
      <c r="AK103" s="23">
        <f t="shared" si="6"/>
        <v>0</v>
      </c>
      <c r="AL103" s="25">
        <f>'MASTER STOCK'!I100</f>
        <v>13500</v>
      </c>
      <c r="AM103" s="27">
        <f>'MASTER STOCK'!L100</f>
        <v>17550</v>
      </c>
      <c r="AN103" s="26">
        <f t="shared" si="7"/>
        <v>0</v>
      </c>
      <c r="AO103" s="27">
        <f t="shared" si="8"/>
        <v>0</v>
      </c>
      <c r="AP103" s="25">
        <f t="shared" si="9"/>
        <v>0</v>
      </c>
      <c r="AQ103" s="10"/>
    </row>
    <row r="104">
      <c r="A104" s="20" t="str">
        <f>'MASTER STOCK'!F101</f>
        <v>Besi Beton 6mm SNI (U)</v>
      </c>
      <c r="B104" s="21">
        <f>'MASTER STOCK'!G101</f>
        <v>10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23">
        <f t="shared" si="3"/>
        <v>0</v>
      </c>
      <c r="AI104" s="24">
        <f t="shared" si="4"/>
        <v>10</v>
      </c>
      <c r="AJ104" s="23">
        <f t="shared" si="5"/>
        <v>10</v>
      </c>
      <c r="AK104" s="23">
        <f t="shared" si="6"/>
        <v>0</v>
      </c>
      <c r="AL104" s="25">
        <f>'MASTER STOCK'!I101</f>
        <v>22000</v>
      </c>
      <c r="AM104" s="27">
        <f>'MASTER STOCK'!L101</f>
        <v>26000</v>
      </c>
      <c r="AN104" s="26">
        <f t="shared" si="7"/>
        <v>0</v>
      </c>
      <c r="AO104" s="27">
        <f t="shared" si="8"/>
        <v>0</v>
      </c>
      <c r="AP104" s="25">
        <f t="shared" si="9"/>
        <v>0</v>
      </c>
      <c r="AQ104" s="10"/>
    </row>
    <row r="105">
      <c r="A105" s="20" t="str">
        <f>'MASTER STOCK'!F102</f>
        <v>Besi Beton 8mm SNI (U)</v>
      </c>
      <c r="B105" s="21">
        <f>'MASTER STOCK'!G102</f>
        <v>10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23">
        <f t="shared" si="3"/>
        <v>0</v>
      </c>
      <c r="AI105" s="24">
        <f t="shared" si="4"/>
        <v>10</v>
      </c>
      <c r="AJ105" s="23">
        <f t="shared" si="5"/>
        <v>10</v>
      </c>
      <c r="AK105" s="23">
        <f t="shared" si="6"/>
        <v>0</v>
      </c>
      <c r="AL105" s="25">
        <f>'MASTER STOCK'!I102</f>
        <v>37000</v>
      </c>
      <c r="AM105" s="27">
        <f>'MASTER STOCK'!L102</f>
        <v>43000</v>
      </c>
      <c r="AN105" s="26">
        <f t="shared" si="7"/>
        <v>0</v>
      </c>
      <c r="AO105" s="27">
        <f t="shared" si="8"/>
        <v>0</v>
      </c>
      <c r="AP105" s="25">
        <f t="shared" si="9"/>
        <v>0</v>
      </c>
      <c r="AQ105" s="10"/>
    </row>
    <row r="106">
      <c r="A106" s="20" t="str">
        <f>'MASTER STOCK'!F103</f>
        <v>Besi Beton 10mm SNI (U)</v>
      </c>
      <c r="B106" s="21">
        <f>'MASTER STOCK'!G103</f>
        <v>5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23">
        <f t="shared" si="3"/>
        <v>0</v>
      </c>
      <c r="AI106" s="24">
        <f t="shared" si="4"/>
        <v>5</v>
      </c>
      <c r="AJ106" s="23">
        <f t="shared" si="5"/>
        <v>5</v>
      </c>
      <c r="AK106" s="23">
        <f t="shared" si="6"/>
        <v>0</v>
      </c>
      <c r="AL106" s="25">
        <f>'MASTER STOCK'!I103</f>
        <v>58000</v>
      </c>
      <c r="AM106" s="27">
        <f>'MASTER STOCK'!L103</f>
        <v>73000</v>
      </c>
      <c r="AN106" s="26">
        <f t="shared" si="7"/>
        <v>0</v>
      </c>
      <c r="AO106" s="27">
        <f t="shared" si="8"/>
        <v>0</v>
      </c>
      <c r="AP106" s="25">
        <f t="shared" si="9"/>
        <v>0</v>
      </c>
      <c r="AQ106" s="10"/>
    </row>
    <row r="107">
      <c r="A107" s="20" t="str">
        <f>'MASTER STOCK'!F104</f>
        <v>Hollow G Tube 20x40x0.4</v>
      </c>
      <c r="B107" s="21">
        <f>'MASTER STOCK'!G104</f>
        <v>20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23">
        <f t="shared" si="3"/>
        <v>0</v>
      </c>
      <c r="AI107" s="24">
        <f t="shared" si="4"/>
        <v>20</v>
      </c>
      <c r="AJ107" s="23">
        <f t="shared" si="5"/>
        <v>20</v>
      </c>
      <c r="AK107" s="23">
        <f t="shared" si="6"/>
        <v>0</v>
      </c>
      <c r="AL107" s="25">
        <f>'MASTER STOCK'!I104</f>
        <v>21500</v>
      </c>
      <c r="AM107" s="27">
        <f>'MASTER STOCK'!L104</f>
        <v>25800</v>
      </c>
      <c r="AN107" s="26">
        <f t="shared" si="7"/>
        <v>0</v>
      </c>
      <c r="AO107" s="27">
        <f t="shared" si="8"/>
        <v>0</v>
      </c>
      <c r="AP107" s="25">
        <f t="shared" si="9"/>
        <v>0</v>
      </c>
      <c r="AQ107" s="10"/>
    </row>
    <row r="108">
      <c r="A108" s="20" t="str">
        <f>'MASTER STOCK'!F105</f>
        <v>Hollow G Tube 40x40x0.4</v>
      </c>
      <c r="B108" s="21">
        <f>'MASTER STOCK'!G105</f>
        <v>10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23">
        <f t="shared" si="3"/>
        <v>0</v>
      </c>
      <c r="AI108" s="24">
        <f t="shared" si="4"/>
        <v>10</v>
      </c>
      <c r="AJ108" s="23">
        <f t="shared" si="5"/>
        <v>10</v>
      </c>
      <c r="AK108" s="23">
        <f t="shared" si="6"/>
        <v>0</v>
      </c>
      <c r="AL108" s="25">
        <f>'MASTER STOCK'!I105</f>
        <v>28500</v>
      </c>
      <c r="AM108" s="27">
        <f>'MASTER STOCK'!L105</f>
        <v>34200</v>
      </c>
      <c r="AN108" s="26">
        <f t="shared" si="7"/>
        <v>0</v>
      </c>
      <c r="AO108" s="27">
        <f t="shared" si="8"/>
        <v>0</v>
      </c>
      <c r="AP108" s="25">
        <f t="shared" si="9"/>
        <v>0</v>
      </c>
      <c r="AQ108" s="10"/>
    </row>
    <row r="109">
      <c r="A109" s="20" t="str">
        <f>'MASTER STOCK'!F106</f>
        <v>Reng Galvalum Kenana 0.45 (M)</v>
      </c>
      <c r="B109" s="21">
        <f>'MASTER STOCK'!G106</f>
        <v>10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23">
        <f t="shared" si="3"/>
        <v>0</v>
      </c>
      <c r="AI109" s="24">
        <f t="shared" si="4"/>
        <v>10</v>
      </c>
      <c r="AJ109" s="23">
        <f t="shared" si="5"/>
        <v>10</v>
      </c>
      <c r="AK109" s="23">
        <f t="shared" si="6"/>
        <v>0</v>
      </c>
      <c r="AL109" s="25">
        <f>'MASTER STOCK'!I106</f>
        <v>39000</v>
      </c>
      <c r="AM109" s="27">
        <f>'MASTER STOCK'!L106</f>
        <v>42900</v>
      </c>
      <c r="AN109" s="26">
        <f t="shared" si="7"/>
        <v>0</v>
      </c>
      <c r="AO109" s="27">
        <f t="shared" si="8"/>
        <v>0</v>
      </c>
      <c r="AP109" s="25">
        <f t="shared" si="9"/>
        <v>0</v>
      </c>
      <c r="AQ109" s="10"/>
    </row>
    <row r="110">
      <c r="A110" s="20" t="str">
        <f>'MASTER STOCK'!F107</f>
        <v>C Truss Kencana 75x0.85 (0.75) MM</v>
      </c>
      <c r="B110" s="21">
        <f>'MASTER STOCK'!G107</f>
        <v>10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23">
        <f t="shared" si="3"/>
        <v>0</v>
      </c>
      <c r="AI110" s="24">
        <f t="shared" si="4"/>
        <v>10</v>
      </c>
      <c r="AJ110" s="23">
        <f t="shared" si="5"/>
        <v>10</v>
      </c>
      <c r="AK110" s="23">
        <f t="shared" si="6"/>
        <v>0</v>
      </c>
      <c r="AL110" s="25">
        <f>'MASTER STOCK'!I107</f>
        <v>85000</v>
      </c>
      <c r="AM110" s="27">
        <f>'MASTER STOCK'!L107</f>
        <v>93500</v>
      </c>
      <c r="AN110" s="26">
        <f t="shared" si="7"/>
        <v>0</v>
      </c>
      <c r="AO110" s="27">
        <f t="shared" si="8"/>
        <v>0</v>
      </c>
      <c r="AP110" s="25">
        <f t="shared" si="9"/>
        <v>0</v>
      </c>
      <c r="AQ110" s="10"/>
    </row>
    <row r="111">
      <c r="A111" s="20" t="str">
        <f>'MASTER STOCK'!F108</f>
        <v>KAYU BALOK 4X6X4</v>
      </c>
      <c r="B111" s="21">
        <f>'MASTER STOCK'!G108</f>
        <v>12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23">
        <f t="shared" si="3"/>
        <v>0</v>
      </c>
      <c r="AI111" s="24">
        <f t="shared" si="4"/>
        <v>12</v>
      </c>
      <c r="AJ111" s="23">
        <f t="shared" si="5"/>
        <v>12</v>
      </c>
      <c r="AK111" s="23">
        <f t="shared" si="6"/>
        <v>0</v>
      </c>
      <c r="AL111" s="25">
        <f>'MASTER STOCK'!I108</f>
        <v>39000</v>
      </c>
      <c r="AM111" s="27">
        <f>'MASTER STOCK'!L108</f>
        <v>42900</v>
      </c>
      <c r="AN111" s="26">
        <f t="shared" si="7"/>
        <v>0</v>
      </c>
      <c r="AO111" s="27">
        <f t="shared" si="8"/>
        <v>0</v>
      </c>
      <c r="AP111" s="25">
        <f t="shared" si="9"/>
        <v>0</v>
      </c>
      <c r="AQ111" s="10"/>
    </row>
    <row r="112">
      <c r="A112" s="20" t="str">
        <f>'MASTER STOCK'!F109</f>
        <v>KAYU BALOK 3X5X4</v>
      </c>
      <c r="B112" s="21">
        <f>'MASTER STOCK'!G109</f>
        <v>10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23">
        <f t="shared" si="3"/>
        <v>0</v>
      </c>
      <c r="AI112" s="24">
        <f t="shared" si="4"/>
        <v>10</v>
      </c>
      <c r="AJ112" s="23">
        <f t="shared" si="5"/>
        <v>10</v>
      </c>
      <c r="AK112" s="23">
        <f t="shared" si="6"/>
        <v>0</v>
      </c>
      <c r="AL112" s="25">
        <f>'MASTER STOCK'!I109</f>
        <v>24000</v>
      </c>
      <c r="AM112" s="27">
        <f>'MASTER STOCK'!L109</f>
        <v>26400</v>
      </c>
      <c r="AN112" s="26">
        <f t="shared" si="7"/>
        <v>0</v>
      </c>
      <c r="AO112" s="27">
        <f t="shared" si="8"/>
        <v>0</v>
      </c>
      <c r="AP112" s="25">
        <f t="shared" si="9"/>
        <v>0</v>
      </c>
      <c r="AQ112" s="10"/>
    </row>
    <row r="113">
      <c r="A113" s="20" t="str">
        <f>'MASTER STOCK'!F110</f>
        <v>KAYU BALOK 2X3X4</v>
      </c>
      <c r="B113" s="21">
        <f>'MASTER STOCK'!G110</f>
        <v>25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23">
        <f t="shared" si="3"/>
        <v>0</v>
      </c>
      <c r="AI113" s="24">
        <f t="shared" si="4"/>
        <v>25</v>
      </c>
      <c r="AJ113" s="23">
        <f t="shared" si="5"/>
        <v>25</v>
      </c>
      <c r="AK113" s="23">
        <f t="shared" si="6"/>
        <v>0</v>
      </c>
      <c r="AL113" s="25">
        <f>'MASTER STOCK'!I110</f>
        <v>9600</v>
      </c>
      <c r="AM113" s="27">
        <f>'MASTER STOCK'!L110</f>
        <v>10560</v>
      </c>
      <c r="AN113" s="26">
        <f t="shared" si="7"/>
        <v>0</v>
      </c>
      <c r="AO113" s="27">
        <f t="shared" si="8"/>
        <v>0</v>
      </c>
      <c r="AP113" s="25">
        <f t="shared" si="9"/>
        <v>0</v>
      </c>
      <c r="AQ113" s="10"/>
    </row>
    <row r="114">
      <c r="A114" s="20" t="str">
        <f>'MASTER STOCK'!F111</f>
        <v>CANGKUL </v>
      </c>
      <c r="B114" s="21">
        <f>'MASTER STOCK'!G111</f>
        <v>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23">
        <f t="shared" si="3"/>
        <v>0</v>
      </c>
      <c r="AI114" s="24">
        <f t="shared" si="4"/>
        <v>1</v>
      </c>
      <c r="AJ114" s="23">
        <f t="shared" si="5"/>
        <v>1</v>
      </c>
      <c r="AK114" s="23">
        <f t="shared" si="6"/>
        <v>0</v>
      </c>
      <c r="AL114" s="25">
        <f>'MASTER STOCK'!I111</f>
        <v>33580</v>
      </c>
      <c r="AM114" s="27">
        <f>'MASTER STOCK'!L111</f>
        <v>57086</v>
      </c>
      <c r="AN114" s="26">
        <f t="shared" si="7"/>
        <v>0</v>
      </c>
      <c r="AO114" s="27">
        <f t="shared" si="8"/>
        <v>0</v>
      </c>
      <c r="AP114" s="25">
        <f t="shared" si="9"/>
        <v>0</v>
      </c>
      <c r="AQ114" s="10"/>
    </row>
    <row r="115">
      <c r="A115" s="20" t="str">
        <f>'MASTER STOCK'!F112</f>
        <v>SEKOP PASIR</v>
      </c>
      <c r="B115" s="21">
        <f>'MASTER STOCK'!G112</f>
        <v>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23">
        <f t="shared" si="3"/>
        <v>0</v>
      </c>
      <c r="AI115" s="24">
        <f t="shared" si="4"/>
        <v>2</v>
      </c>
      <c r="AJ115" s="23">
        <f t="shared" si="5"/>
        <v>2</v>
      </c>
      <c r="AK115" s="23">
        <f t="shared" si="6"/>
        <v>0</v>
      </c>
      <c r="AL115" s="25">
        <f>'MASTER STOCK'!I112</f>
        <v>20000</v>
      </c>
      <c r="AM115" s="27">
        <f>'MASTER STOCK'!L112</f>
        <v>34000</v>
      </c>
      <c r="AN115" s="26">
        <f t="shared" si="7"/>
        <v>0</v>
      </c>
      <c r="AO115" s="27">
        <f t="shared" si="8"/>
        <v>0</v>
      </c>
      <c r="AP115" s="25">
        <f t="shared" si="9"/>
        <v>0</v>
      </c>
      <c r="AQ115" s="10"/>
    </row>
    <row r="116">
      <c r="A116" s="20" t="str">
        <f>'MASTER STOCK'!F113</f>
        <v>Baut Drilling Galvalum Baja Ringan 100
Pcs Per Plastik - WL 12x50 100Pcs</v>
      </c>
      <c r="B116" s="21">
        <f>'MASTER STOCK'!G113</f>
        <v>100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23">
        <f t="shared" si="3"/>
        <v>0</v>
      </c>
      <c r="AI116" s="24">
        <f t="shared" si="4"/>
        <v>100</v>
      </c>
      <c r="AJ116" s="23">
        <f t="shared" si="5"/>
        <v>100</v>
      </c>
      <c r="AK116" s="23">
        <f t="shared" si="6"/>
        <v>0</v>
      </c>
      <c r="AL116" s="25">
        <f>'MASTER STOCK'!I113</f>
        <v>250</v>
      </c>
      <c r="AM116" s="27">
        <f>'MASTER STOCK'!L113</f>
        <v>500</v>
      </c>
      <c r="AN116" s="26">
        <f t="shared" si="7"/>
        <v>0</v>
      </c>
      <c r="AO116" s="27">
        <f t="shared" si="8"/>
        <v>0</v>
      </c>
      <c r="AP116" s="25">
        <f t="shared" si="9"/>
        <v>0</v>
      </c>
      <c r="AQ116" s="10"/>
    </row>
    <row r="117">
      <c r="A117" s="20" t="str">
        <f>'MASTER STOCK'!F114</f>
        <v>Baut Drilling Galvalum Baja Ringan 100
Pcs Per Plastik - WL 12x60 100Pcs</v>
      </c>
      <c r="B117" s="21">
        <f>'MASTER STOCK'!G114</f>
        <v>100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23">
        <f t="shared" si="3"/>
        <v>0</v>
      </c>
      <c r="AI117" s="24">
        <f t="shared" si="4"/>
        <v>100</v>
      </c>
      <c r="AJ117" s="23">
        <f t="shared" si="5"/>
        <v>100</v>
      </c>
      <c r="AK117" s="23">
        <f t="shared" si="6"/>
        <v>0</v>
      </c>
      <c r="AL117" s="25">
        <f>'MASTER STOCK'!I114</f>
        <v>300</v>
      </c>
      <c r="AM117" s="27">
        <f>'MASTER STOCK'!L114</f>
        <v>600</v>
      </c>
      <c r="AN117" s="26">
        <f t="shared" si="7"/>
        <v>0</v>
      </c>
      <c r="AO117" s="27">
        <f t="shared" si="8"/>
        <v>0</v>
      </c>
      <c r="AP117" s="25">
        <f t="shared" si="9"/>
        <v>0</v>
      </c>
      <c r="AQ117" s="10"/>
    </row>
    <row r="118">
      <c r="A118" s="20" t="str">
        <f>'MASTER STOCK'!F115</f>
        <v>Baut Drilling Galvalum Baja Ringan 100
Pcs Per Plastik - WL 12x30 100Pcs</v>
      </c>
      <c r="B118" s="21">
        <f>'MASTER STOCK'!G115</f>
        <v>100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23">
        <f t="shared" si="3"/>
        <v>0</v>
      </c>
      <c r="AI118" s="24">
        <f t="shared" si="4"/>
        <v>100</v>
      </c>
      <c r="AJ118" s="23">
        <f t="shared" si="5"/>
        <v>100</v>
      </c>
      <c r="AK118" s="23">
        <f t="shared" si="6"/>
        <v>0</v>
      </c>
      <c r="AL118" s="25">
        <f>'MASTER STOCK'!I115</f>
        <v>170</v>
      </c>
      <c r="AM118" s="27">
        <f>'MASTER STOCK'!L115</f>
        <v>340</v>
      </c>
      <c r="AN118" s="26">
        <f t="shared" si="7"/>
        <v>0</v>
      </c>
      <c r="AO118" s="27">
        <f t="shared" si="8"/>
        <v>0</v>
      </c>
      <c r="AP118" s="25">
        <f t="shared" si="9"/>
        <v>0</v>
      </c>
      <c r="AQ118" s="10"/>
    </row>
    <row r="119">
      <c r="A119" s="20" t="str">
        <f>'MASTER STOCK'!F116</f>
        <v>Baut Drilling Galvalum Baja Ringan 100
Pcs Per Plastik - WL 12x40 100Pcs</v>
      </c>
      <c r="B119" s="21">
        <f>'MASTER STOCK'!G116</f>
        <v>100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23">
        <f t="shared" si="3"/>
        <v>0</v>
      </c>
      <c r="AI119" s="24">
        <f t="shared" si="4"/>
        <v>100</v>
      </c>
      <c r="AJ119" s="23">
        <f t="shared" si="5"/>
        <v>100</v>
      </c>
      <c r="AK119" s="23">
        <f t="shared" si="6"/>
        <v>0</v>
      </c>
      <c r="AL119" s="25">
        <f>'MASTER STOCK'!I116</f>
        <v>220</v>
      </c>
      <c r="AM119" s="27">
        <f>'MASTER STOCK'!L116</f>
        <v>440</v>
      </c>
      <c r="AN119" s="26">
        <f t="shared" si="7"/>
        <v>0</v>
      </c>
      <c r="AO119" s="27">
        <f t="shared" si="8"/>
        <v>0</v>
      </c>
      <c r="AP119" s="25">
        <f t="shared" si="9"/>
        <v>0</v>
      </c>
      <c r="AQ119" s="10"/>
    </row>
    <row r="120">
      <c r="A120" s="20" t="str">
        <f>'MASTER STOCK'!F117</f>
        <v>Baut Drilling Galvalum Baja Ringan 100
Pcs Per Plastik - WL 12x20 100Pcs</v>
      </c>
      <c r="B120" s="21">
        <f>'MASTER STOCK'!G117</f>
        <v>100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23">
        <f t="shared" si="3"/>
        <v>0</v>
      </c>
      <c r="AI120" s="24">
        <f t="shared" si="4"/>
        <v>100</v>
      </c>
      <c r="AJ120" s="23">
        <f t="shared" si="5"/>
        <v>100</v>
      </c>
      <c r="AK120" s="23">
        <f t="shared" si="6"/>
        <v>0</v>
      </c>
      <c r="AL120" s="25">
        <f>'MASTER STOCK'!I117</f>
        <v>150</v>
      </c>
      <c r="AM120" s="27">
        <f>'MASTER STOCK'!L117</f>
        <v>300</v>
      </c>
      <c r="AN120" s="26">
        <f t="shared" si="7"/>
        <v>0</v>
      </c>
      <c r="AO120" s="27">
        <f t="shared" si="8"/>
        <v>0</v>
      </c>
      <c r="AP120" s="25">
        <f t="shared" si="9"/>
        <v>0</v>
      </c>
      <c r="AQ120" s="10"/>
    </row>
    <row r="121">
      <c r="A121" s="20" t="str">
        <f>'MASTER STOCK'!F118</f>
        <v>Batu Kumbung</v>
      </c>
      <c r="B121" s="21">
        <f>'MASTER STOCK'!G118</f>
        <v>570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23">
        <f t="shared" si="3"/>
        <v>0</v>
      </c>
      <c r="AI121" s="24">
        <f t="shared" si="4"/>
        <v>570</v>
      </c>
      <c r="AJ121" s="23">
        <f t="shared" si="5"/>
        <v>570</v>
      </c>
      <c r="AK121" s="23">
        <f t="shared" si="6"/>
        <v>0</v>
      </c>
      <c r="AL121" s="25">
        <f>'MASTER STOCK'!I118</f>
        <v>8000</v>
      </c>
      <c r="AM121" s="27">
        <f>'MASTER STOCK'!L118</f>
        <v>12000</v>
      </c>
      <c r="AN121" s="26">
        <f t="shared" si="7"/>
        <v>0</v>
      </c>
      <c r="AO121" s="27">
        <f t="shared" si="8"/>
        <v>0</v>
      </c>
      <c r="AP121" s="25">
        <f t="shared" si="9"/>
        <v>0</v>
      </c>
      <c r="AQ121" s="10"/>
    </row>
    <row r="122">
      <c r="A122" s="20" t="str">
        <f>'MASTER STOCK'!F119</f>
        <v>Triplek 8m sengon</v>
      </c>
      <c r="B122" s="21">
        <f>'MASTER STOCK'!G119</f>
        <v>5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23">
        <f t="shared" si="3"/>
        <v>0</v>
      </c>
      <c r="AI122" s="24">
        <f t="shared" si="4"/>
        <v>5</v>
      </c>
      <c r="AJ122" s="23">
        <f t="shared" si="5"/>
        <v>5</v>
      </c>
      <c r="AK122" s="23">
        <f t="shared" si="6"/>
        <v>0</v>
      </c>
      <c r="AL122" s="25">
        <f>'MASTER STOCK'!I119</f>
        <v>67000</v>
      </c>
      <c r="AM122" s="27">
        <f>'MASTER STOCK'!L119</f>
        <v>70350</v>
      </c>
      <c r="AN122" s="26">
        <f t="shared" si="7"/>
        <v>0</v>
      </c>
      <c r="AO122" s="27">
        <f t="shared" si="8"/>
        <v>0</v>
      </c>
      <c r="AP122" s="25">
        <f t="shared" si="9"/>
        <v>0</v>
      </c>
      <c r="AQ122" s="10"/>
    </row>
    <row r="123">
      <c r="A123" s="20" t="str">
        <f>'MASTER STOCK'!F120</f>
        <v>Triplek 6m sengon</v>
      </c>
      <c r="B123" s="21">
        <f>'MASTER STOCK'!G120</f>
        <v>10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23">
        <f t="shared" si="3"/>
        <v>0</v>
      </c>
      <c r="AI123" s="24">
        <f t="shared" si="4"/>
        <v>10</v>
      </c>
      <c r="AJ123" s="23">
        <f t="shared" si="5"/>
        <v>10</v>
      </c>
      <c r="AK123" s="23">
        <f t="shared" si="6"/>
        <v>0</v>
      </c>
      <c r="AL123" s="25">
        <f>'MASTER STOCK'!I120</f>
        <v>56500</v>
      </c>
      <c r="AM123" s="27">
        <f>'MASTER STOCK'!L120</f>
        <v>59325</v>
      </c>
      <c r="AN123" s="26">
        <f t="shared" si="7"/>
        <v>0</v>
      </c>
      <c r="AO123" s="27">
        <f t="shared" si="8"/>
        <v>0</v>
      </c>
      <c r="AP123" s="25">
        <f t="shared" si="9"/>
        <v>0</v>
      </c>
      <c r="AQ123" s="10"/>
    </row>
    <row r="124">
      <c r="A124" s="20" t="str">
        <f>'MASTER STOCK'!F121</f>
        <v>Triplek 3m sengon</v>
      </c>
      <c r="B124" s="21">
        <f>'MASTER STOCK'!G121</f>
        <v>10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23">
        <f t="shared" si="3"/>
        <v>0</v>
      </c>
      <c r="AI124" s="24">
        <f t="shared" si="4"/>
        <v>10</v>
      </c>
      <c r="AJ124" s="23">
        <f t="shared" si="5"/>
        <v>10</v>
      </c>
      <c r="AK124" s="23">
        <f t="shared" si="6"/>
        <v>0</v>
      </c>
      <c r="AL124" s="25">
        <f>'MASTER STOCK'!I121</f>
        <v>38500</v>
      </c>
      <c r="AM124" s="27">
        <f>'MASTER STOCK'!L121</f>
        <v>40425</v>
      </c>
      <c r="AN124" s="26">
        <f t="shared" si="7"/>
        <v>0</v>
      </c>
      <c r="AO124" s="27">
        <f t="shared" si="8"/>
        <v>0</v>
      </c>
      <c r="AP124" s="25">
        <f t="shared" si="9"/>
        <v>0</v>
      </c>
      <c r="AQ124" s="10"/>
    </row>
    <row r="125">
      <c r="A125" s="20" t="str">
        <f>'MASTER STOCK'!F122</f>
        <v>Semen Gresik</v>
      </c>
      <c r="B125" s="21">
        <f>'MASTER STOCK'!G122</f>
        <v>105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23">
        <f t="shared" si="3"/>
        <v>0</v>
      </c>
      <c r="AI125" s="24">
        <f t="shared" si="4"/>
        <v>105</v>
      </c>
      <c r="AJ125" s="23">
        <f t="shared" si="5"/>
        <v>105</v>
      </c>
      <c r="AK125" s="23">
        <f t="shared" si="6"/>
        <v>0</v>
      </c>
      <c r="AL125" s="25">
        <f>'MASTER STOCK'!I122</f>
        <v>55000</v>
      </c>
      <c r="AM125" s="27">
        <f>'MASTER STOCK'!L122</f>
        <v>56485</v>
      </c>
      <c r="AN125" s="26">
        <f t="shared" si="7"/>
        <v>0</v>
      </c>
      <c r="AO125" s="27">
        <f t="shared" si="8"/>
        <v>0</v>
      </c>
      <c r="AP125" s="25">
        <f t="shared" si="9"/>
        <v>0</v>
      </c>
      <c r="AQ125" s="10"/>
    </row>
    <row r="126">
      <c r="A126" s="20" t="str">
        <f>'MASTER STOCK'!F123</f>
        <v>Kapur</v>
      </c>
      <c r="B126" s="21">
        <f>'MASTER STOCK'!G123</f>
        <v>100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23">
        <f t="shared" si="3"/>
        <v>0</v>
      </c>
      <c r="AI126" s="24">
        <f t="shared" si="4"/>
        <v>100</v>
      </c>
      <c r="AJ126" s="23">
        <f t="shared" si="5"/>
        <v>100</v>
      </c>
      <c r="AK126" s="23">
        <f t="shared" si="6"/>
        <v>0</v>
      </c>
      <c r="AL126" s="25">
        <f>'MASTER STOCK'!I123</f>
        <v>17000</v>
      </c>
      <c r="AM126" s="27">
        <f>'MASTER STOCK'!L123</f>
        <v>18700</v>
      </c>
      <c r="AN126" s="26">
        <f t="shared" si="7"/>
        <v>0</v>
      </c>
      <c r="AO126" s="27">
        <f t="shared" si="8"/>
        <v>0</v>
      </c>
      <c r="AP126" s="25">
        <f t="shared" si="9"/>
        <v>0</v>
      </c>
      <c r="AQ126" s="10"/>
    </row>
    <row r="127">
      <c r="A127" s="20" t="str">
        <f>'MASTER STOCK'!F124</f>
        <v>Pasir</v>
      </c>
      <c r="B127" s="21">
        <f>'MASTER STOCK'!G124</f>
        <v>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23">
        <f t="shared" si="3"/>
        <v>0</v>
      </c>
      <c r="AI127" s="24">
        <f t="shared" si="4"/>
        <v>1</v>
      </c>
      <c r="AJ127" s="23">
        <f t="shared" si="5"/>
        <v>1</v>
      </c>
      <c r="AK127" s="23">
        <f t="shared" si="6"/>
        <v>0</v>
      </c>
      <c r="AL127" s="25">
        <f>'MASTER STOCK'!I124</f>
        <v>1000000</v>
      </c>
      <c r="AM127" s="27">
        <f>'MASTER STOCK'!L124</f>
        <v>1100000</v>
      </c>
      <c r="AN127" s="26">
        <f t="shared" si="7"/>
        <v>0</v>
      </c>
      <c r="AO127" s="27">
        <f t="shared" si="8"/>
        <v>0</v>
      </c>
      <c r="AP127" s="25">
        <f t="shared" si="9"/>
        <v>0</v>
      </c>
      <c r="AQ127" s="10"/>
    </row>
    <row r="128">
      <c r="A128" s="20" t="str">
        <f>'MASTER STOCK'!F125</f>
        <v>Stop kontak 1 lubang</v>
      </c>
      <c r="B128" s="21">
        <f>'MASTER STOCK'!G125</f>
        <v>5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23">
        <f t="shared" si="3"/>
        <v>0</v>
      </c>
      <c r="AI128" s="24">
        <f t="shared" si="4"/>
        <v>5</v>
      </c>
      <c r="AJ128" s="23">
        <f t="shared" si="5"/>
        <v>5</v>
      </c>
      <c r="AK128" s="23">
        <f t="shared" si="6"/>
        <v>0</v>
      </c>
      <c r="AL128" s="25">
        <f>'MASTER STOCK'!I125</f>
        <v>4125</v>
      </c>
      <c r="AM128" s="27">
        <f>'MASTER STOCK'!L125</f>
        <v>416625</v>
      </c>
      <c r="AN128" s="26">
        <f t="shared" si="7"/>
        <v>0</v>
      </c>
      <c r="AO128" s="27">
        <f t="shared" si="8"/>
        <v>0</v>
      </c>
      <c r="AP128" s="25">
        <f t="shared" si="9"/>
        <v>0</v>
      </c>
      <c r="AQ128" s="10"/>
    </row>
    <row r="129">
      <c r="A129" s="20" t="str">
        <f>'MASTER STOCK'!F126</f>
        <v>Stop kontak 2 lubang</v>
      </c>
      <c r="B129" s="21">
        <f>'MASTER STOCK'!G126</f>
        <v>5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23">
        <f t="shared" si="3"/>
        <v>0</v>
      </c>
      <c r="AI129" s="24">
        <f t="shared" si="4"/>
        <v>5</v>
      </c>
      <c r="AJ129" s="23">
        <f t="shared" si="5"/>
        <v>5</v>
      </c>
      <c r="AK129" s="23">
        <f t="shared" si="6"/>
        <v>0</v>
      </c>
      <c r="AL129" s="25">
        <f>'MASTER STOCK'!I126</f>
        <v>5250</v>
      </c>
      <c r="AM129" s="27">
        <f>'MASTER STOCK'!L126</f>
        <v>8925</v>
      </c>
      <c r="AN129" s="26">
        <f t="shared" si="7"/>
        <v>0</v>
      </c>
      <c r="AO129" s="27">
        <f t="shared" si="8"/>
        <v>0</v>
      </c>
      <c r="AP129" s="25">
        <f t="shared" si="9"/>
        <v>0</v>
      </c>
      <c r="AQ129" s="10"/>
    </row>
    <row r="130">
      <c r="A130" s="20" t="str">
        <f>'MASTER STOCK'!F127</f>
        <v>Stop kontak 3 lubang</v>
      </c>
      <c r="B130" s="21">
        <f>'MASTER STOCK'!G127</f>
        <v>5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23">
        <f t="shared" si="3"/>
        <v>0</v>
      </c>
      <c r="AI130" s="24">
        <f t="shared" si="4"/>
        <v>5</v>
      </c>
      <c r="AJ130" s="23">
        <f t="shared" si="5"/>
        <v>5</v>
      </c>
      <c r="AK130" s="23">
        <f t="shared" si="6"/>
        <v>0</v>
      </c>
      <c r="AL130" s="25">
        <f>'MASTER STOCK'!I127</f>
        <v>6750</v>
      </c>
      <c r="AM130" s="27">
        <f>'MASTER STOCK'!L127</f>
        <v>14000</v>
      </c>
      <c r="AN130" s="26">
        <f t="shared" si="7"/>
        <v>0</v>
      </c>
      <c r="AO130" s="27">
        <f t="shared" si="8"/>
        <v>0</v>
      </c>
      <c r="AP130" s="25">
        <f t="shared" si="9"/>
        <v>0</v>
      </c>
      <c r="AQ130" s="10"/>
    </row>
    <row r="131">
      <c r="A131" s="20" t="str">
        <f>'MASTER STOCK'!F128</f>
        <v>Stop kontak 4 lubang</v>
      </c>
      <c r="B131" s="21">
        <f>'MASTER STOCK'!G128</f>
        <v>5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23">
        <f t="shared" si="3"/>
        <v>0</v>
      </c>
      <c r="AI131" s="24">
        <f t="shared" si="4"/>
        <v>5</v>
      </c>
      <c r="AJ131" s="23">
        <f t="shared" si="5"/>
        <v>5</v>
      </c>
      <c r="AK131" s="23">
        <f t="shared" si="6"/>
        <v>0</v>
      </c>
      <c r="AL131" s="25">
        <f>'MASTER STOCK'!I128</f>
        <v>8100</v>
      </c>
      <c r="AM131" s="27">
        <f>'MASTER STOCK'!L128</f>
        <v>16000</v>
      </c>
      <c r="AN131" s="26">
        <f t="shared" si="7"/>
        <v>0</v>
      </c>
      <c r="AO131" s="27">
        <f t="shared" si="8"/>
        <v>0</v>
      </c>
      <c r="AP131" s="25">
        <f t="shared" si="9"/>
        <v>0</v>
      </c>
      <c r="AQ131" s="10"/>
    </row>
    <row r="132">
      <c r="A132" s="20" t="str">
        <f>'MASTER STOCK'!F129</f>
        <v>Stop kontak 5 lubang</v>
      </c>
      <c r="B132" s="21">
        <f>'MASTER STOCK'!G129</f>
        <v>5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23">
        <f t="shared" si="3"/>
        <v>0</v>
      </c>
      <c r="AI132" s="24">
        <f t="shared" si="4"/>
        <v>5</v>
      </c>
      <c r="AJ132" s="23">
        <f t="shared" si="5"/>
        <v>5</v>
      </c>
      <c r="AK132" s="23">
        <f t="shared" si="6"/>
        <v>0</v>
      </c>
      <c r="AL132" s="25">
        <f>'MASTER STOCK'!I129</f>
        <v>9750</v>
      </c>
      <c r="AM132" s="27">
        <f>'MASTER STOCK'!L129</f>
        <v>16575</v>
      </c>
      <c r="AN132" s="26">
        <f t="shared" si="7"/>
        <v>0</v>
      </c>
      <c r="AO132" s="27">
        <f t="shared" si="8"/>
        <v>0</v>
      </c>
      <c r="AP132" s="25">
        <f t="shared" si="9"/>
        <v>0</v>
      </c>
      <c r="AQ132" s="10"/>
    </row>
    <row r="133">
      <c r="A133" s="20" t="str">
        <f>'MASTER STOCK'!F130</f>
        <v>Baterai ABC</v>
      </c>
      <c r="B133" s="21">
        <f>'MASTER STOCK'!G130</f>
        <v>24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23">
        <f t="shared" si="3"/>
        <v>0</v>
      </c>
      <c r="AI133" s="24">
        <f t="shared" si="4"/>
        <v>24</v>
      </c>
      <c r="AJ133" s="23">
        <f t="shared" si="5"/>
        <v>24</v>
      </c>
      <c r="AK133" s="23">
        <f t="shared" si="6"/>
        <v>0</v>
      </c>
      <c r="AL133" s="25">
        <f>'MASTER STOCK'!I130</f>
        <v>2600</v>
      </c>
      <c r="AM133" s="27">
        <f>'MASTER STOCK'!L130</f>
        <v>3900</v>
      </c>
      <c r="AN133" s="26">
        <f t="shared" si="7"/>
        <v>0</v>
      </c>
      <c r="AO133" s="27">
        <f t="shared" si="8"/>
        <v>0</v>
      </c>
      <c r="AP133" s="25">
        <f t="shared" si="9"/>
        <v>0</v>
      </c>
      <c r="AQ133" s="10"/>
    </row>
    <row r="134">
      <c r="A134" s="20" t="str">
        <f>'MASTER STOCK'!F131</f>
        <v>NAIL  PAKU PAYUNG 2"</v>
      </c>
      <c r="B134" s="21">
        <f>'MASTER STOCK'!G131</f>
        <v>5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23">
        <f t="shared" si="3"/>
        <v>0</v>
      </c>
      <c r="AI134" s="24">
        <f t="shared" si="4"/>
        <v>5</v>
      </c>
      <c r="AJ134" s="23">
        <f t="shared" si="5"/>
        <v>5</v>
      </c>
      <c r="AK134" s="23">
        <f t="shared" si="6"/>
        <v>0</v>
      </c>
      <c r="AL134" s="25">
        <f>'MASTER STOCK'!I131</f>
        <v>17500</v>
      </c>
      <c r="AM134" s="27">
        <f>'MASTER STOCK'!L131</f>
        <v>26250</v>
      </c>
      <c r="AN134" s="26">
        <f t="shared" si="7"/>
        <v>0</v>
      </c>
      <c r="AO134" s="27">
        <f t="shared" si="8"/>
        <v>0</v>
      </c>
      <c r="AP134" s="25">
        <f t="shared" si="9"/>
        <v>0</v>
      </c>
      <c r="AQ134" s="10"/>
    </row>
    <row r="135">
      <c r="A135" s="20" t="str">
        <f>'MASTER STOCK'!F132</f>
        <v>NAIL PAKU PAYUNG ULIR 3"</v>
      </c>
      <c r="B135" s="21">
        <f>'MASTER STOCK'!G132</f>
        <v>5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23">
        <f t="shared" si="3"/>
        <v>0</v>
      </c>
      <c r="AI135" s="24">
        <f t="shared" si="4"/>
        <v>5</v>
      </c>
      <c r="AJ135" s="23">
        <f t="shared" si="5"/>
        <v>5</v>
      </c>
      <c r="AK135" s="23">
        <f t="shared" si="6"/>
        <v>0</v>
      </c>
      <c r="AL135" s="25">
        <f>'MASTER STOCK'!I132</f>
        <v>18500</v>
      </c>
      <c r="AM135" s="27">
        <f>'MASTER STOCK'!L132</f>
        <v>27750</v>
      </c>
      <c r="AN135" s="26">
        <f t="shared" si="7"/>
        <v>0</v>
      </c>
      <c r="AO135" s="27">
        <f t="shared" si="8"/>
        <v>0</v>
      </c>
      <c r="AP135" s="25">
        <f t="shared" si="9"/>
        <v>0</v>
      </c>
      <c r="AQ135" s="10"/>
    </row>
    <row r="136">
      <c r="A136" s="20" t="str">
        <f>'MASTER STOCK'!F133</f>
        <v>NAIL PAKU PAYUNG ULIR 4"</v>
      </c>
      <c r="B136" s="21">
        <f>'MASTER STOCK'!G133</f>
        <v>5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23">
        <f t="shared" si="3"/>
        <v>0</v>
      </c>
      <c r="AI136" s="24">
        <f t="shared" si="4"/>
        <v>5</v>
      </c>
      <c r="AJ136" s="23">
        <f t="shared" si="5"/>
        <v>5</v>
      </c>
      <c r="AK136" s="23">
        <f t="shared" si="6"/>
        <v>0</v>
      </c>
      <c r="AL136" s="25">
        <f>'MASTER STOCK'!I133</f>
        <v>16500</v>
      </c>
      <c r="AM136" s="27">
        <f>'MASTER STOCK'!L133</f>
        <v>24750</v>
      </c>
      <c r="AN136" s="26">
        <f t="shared" si="7"/>
        <v>0</v>
      </c>
      <c r="AO136" s="27">
        <f t="shared" si="8"/>
        <v>0</v>
      </c>
      <c r="AP136" s="25">
        <f t="shared" si="9"/>
        <v>0</v>
      </c>
      <c r="AQ136" s="10"/>
    </row>
    <row r="137">
      <c r="A137" s="20" t="str">
        <f>'MASTER STOCK'!F134</f>
        <v>PAKU PINES </v>
      </c>
      <c r="B137" s="21">
        <f>'MASTER STOCK'!G134</f>
        <v>9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23">
        <f t="shared" si="3"/>
        <v>0</v>
      </c>
      <c r="AI137" s="24">
        <f t="shared" si="4"/>
        <v>9</v>
      </c>
      <c r="AJ137" s="23">
        <f t="shared" si="5"/>
        <v>9</v>
      </c>
      <c r="AK137" s="23">
        <f t="shared" si="6"/>
        <v>0</v>
      </c>
      <c r="AL137" s="25">
        <f>'MASTER STOCK'!I134</f>
        <v>1200</v>
      </c>
      <c r="AM137" s="27">
        <f>'MASTER STOCK'!L134</f>
        <v>2040</v>
      </c>
      <c r="AN137" s="26">
        <f t="shared" si="7"/>
        <v>0</v>
      </c>
      <c r="AO137" s="27">
        <f t="shared" si="8"/>
        <v>0</v>
      </c>
      <c r="AP137" s="25">
        <f t="shared" si="9"/>
        <v>0</v>
      </c>
      <c r="AQ137" s="10"/>
    </row>
    <row r="138">
      <c r="A138" s="20" t="str">
        <f>'MASTER STOCK'!F135</f>
        <v>KIKIR 3 INC</v>
      </c>
      <c r="B138" s="21">
        <f>'MASTER STOCK'!G135</f>
        <v>5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23">
        <f t="shared" si="3"/>
        <v>0</v>
      </c>
      <c r="AI138" s="24">
        <f t="shared" si="4"/>
        <v>5</v>
      </c>
      <c r="AJ138" s="23">
        <f t="shared" si="5"/>
        <v>5</v>
      </c>
      <c r="AK138" s="23">
        <f t="shared" si="6"/>
        <v>0</v>
      </c>
      <c r="AL138" s="25">
        <f>'MASTER STOCK'!I135</f>
        <v>8000</v>
      </c>
      <c r="AM138" s="27">
        <f>'MASTER STOCK'!L135</f>
        <v>17200</v>
      </c>
      <c r="AN138" s="26">
        <f t="shared" si="7"/>
        <v>0</v>
      </c>
      <c r="AO138" s="27">
        <f t="shared" si="8"/>
        <v>0</v>
      </c>
      <c r="AP138" s="25">
        <f t="shared" si="9"/>
        <v>0</v>
      </c>
      <c r="AQ138" s="10"/>
    </row>
    <row r="139">
      <c r="A139" s="20" t="str">
        <f>'MASTER STOCK'!F136</f>
        <v>KIKIR 3.5 INC</v>
      </c>
      <c r="B139" s="21">
        <f>'MASTER STOCK'!G136</f>
        <v>2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23">
        <f t="shared" si="3"/>
        <v>0</v>
      </c>
      <c r="AI139" s="24">
        <f t="shared" si="4"/>
        <v>2</v>
      </c>
      <c r="AJ139" s="23">
        <f t="shared" si="5"/>
        <v>2</v>
      </c>
      <c r="AK139" s="23">
        <f t="shared" si="6"/>
        <v>0</v>
      </c>
      <c r="AL139" s="25">
        <f>'MASTER STOCK'!I136</f>
        <v>7500</v>
      </c>
      <c r="AM139" s="27">
        <f>'MASTER STOCK'!L136</f>
        <v>19125</v>
      </c>
      <c r="AN139" s="26">
        <f t="shared" si="7"/>
        <v>0</v>
      </c>
      <c r="AO139" s="27">
        <f t="shared" si="8"/>
        <v>0</v>
      </c>
      <c r="AP139" s="25">
        <f t="shared" si="9"/>
        <v>0</v>
      </c>
      <c r="AQ139" s="10"/>
    </row>
    <row r="140">
      <c r="A140" s="20" t="str">
        <f>'MASTER STOCK'!F137</f>
        <v>KIKIR 4 INC</v>
      </c>
      <c r="B140" s="21">
        <f>'MASTER STOCK'!G137</f>
        <v>2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23">
        <f t="shared" si="3"/>
        <v>0</v>
      </c>
      <c r="AI140" s="24">
        <f t="shared" si="4"/>
        <v>2</v>
      </c>
      <c r="AJ140" s="23">
        <f t="shared" si="5"/>
        <v>2</v>
      </c>
      <c r="AK140" s="23">
        <f t="shared" si="6"/>
        <v>0</v>
      </c>
      <c r="AL140" s="25">
        <f>'MASTER STOCK'!I137</f>
        <v>9000</v>
      </c>
      <c r="AM140" s="27">
        <f>'MASTER STOCK'!L137</f>
        <v>20700</v>
      </c>
      <c r="AN140" s="26">
        <f t="shared" si="7"/>
        <v>0</v>
      </c>
      <c r="AO140" s="27">
        <f t="shared" si="8"/>
        <v>0</v>
      </c>
      <c r="AP140" s="25">
        <f t="shared" si="9"/>
        <v>0</v>
      </c>
      <c r="AQ140" s="10"/>
    </row>
    <row r="141">
      <c r="A141" s="20" t="str">
        <f>'MASTER STOCK'!F138</f>
        <v>AVIAN 192 VERMILLION 25CC</v>
      </c>
      <c r="B141" s="21">
        <f>'MASTER STOCK'!G138</f>
        <v>5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23">
        <f t="shared" si="3"/>
        <v>0</v>
      </c>
      <c r="AI141" s="24">
        <f t="shared" si="4"/>
        <v>5</v>
      </c>
      <c r="AJ141" s="23">
        <f t="shared" si="5"/>
        <v>5</v>
      </c>
      <c r="AK141" s="23">
        <f t="shared" si="6"/>
        <v>0</v>
      </c>
      <c r="AL141" s="25">
        <f>'MASTER STOCK'!I138</f>
        <v>4500</v>
      </c>
      <c r="AM141" s="27">
        <f>'MASTER STOCK'!L138</f>
        <v>5580</v>
      </c>
      <c r="AN141" s="26">
        <f t="shared" si="7"/>
        <v>0</v>
      </c>
      <c r="AO141" s="27">
        <f t="shared" si="8"/>
        <v>0</v>
      </c>
      <c r="AP141" s="25">
        <f t="shared" si="9"/>
        <v>0</v>
      </c>
      <c r="AQ141" s="10"/>
    </row>
    <row r="142">
      <c r="A142" s="20" t="str">
        <f>'MASTER STOCK'!F139</f>
        <v>AVIAN SB 25CC</v>
      </c>
      <c r="B142" s="21">
        <f>'MASTER STOCK'!G139</f>
        <v>5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23">
        <f t="shared" si="3"/>
        <v>0</v>
      </c>
      <c r="AI142" s="24">
        <f t="shared" si="4"/>
        <v>5</v>
      </c>
      <c r="AJ142" s="23">
        <f t="shared" si="5"/>
        <v>5</v>
      </c>
      <c r="AK142" s="23">
        <f t="shared" si="6"/>
        <v>0</v>
      </c>
      <c r="AL142" s="25">
        <f>'MASTER STOCK'!I139</f>
        <v>4500</v>
      </c>
      <c r="AM142" s="27">
        <f>'MASTER STOCK'!L139</f>
        <v>5580</v>
      </c>
      <c r="AN142" s="26">
        <f t="shared" si="7"/>
        <v>0</v>
      </c>
      <c r="AO142" s="27">
        <f t="shared" si="8"/>
        <v>0</v>
      </c>
      <c r="AP142" s="25">
        <f t="shared" si="9"/>
        <v>0</v>
      </c>
      <c r="AQ142" s="10"/>
    </row>
    <row r="143">
      <c r="A143" s="20" t="str">
        <f>'MASTER STOCK'!F140</f>
        <v>AVIAN 465 MEDIUM YELLOW 25CC</v>
      </c>
      <c r="B143" s="21">
        <f>'MASTER STOCK'!G140</f>
        <v>5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23">
        <f t="shared" si="3"/>
        <v>0</v>
      </c>
      <c r="AI143" s="24">
        <f t="shared" si="4"/>
        <v>5</v>
      </c>
      <c r="AJ143" s="23">
        <f t="shared" si="5"/>
        <v>5</v>
      </c>
      <c r="AK143" s="23">
        <f t="shared" si="6"/>
        <v>0</v>
      </c>
      <c r="AL143" s="25">
        <f>'MASTER STOCK'!I140</f>
        <v>4500</v>
      </c>
      <c r="AM143" s="27">
        <f>'MASTER STOCK'!L140</f>
        <v>5580</v>
      </c>
      <c r="AN143" s="26">
        <f t="shared" si="7"/>
        <v>0</v>
      </c>
      <c r="AO143" s="27">
        <f t="shared" si="8"/>
        <v>0</v>
      </c>
      <c r="AP143" s="25">
        <f t="shared" si="9"/>
        <v>0</v>
      </c>
      <c r="AQ143" s="10"/>
    </row>
    <row r="144">
      <c r="A144" s="20" t="str">
        <f>'MASTER STOCK'!F141</f>
        <v>AVIAN 733 OCEAN BLUE 25CC</v>
      </c>
      <c r="B144" s="21">
        <f>'MASTER STOCK'!G141</f>
        <v>5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23">
        <f t="shared" si="3"/>
        <v>0</v>
      </c>
      <c r="AI144" s="24">
        <f t="shared" si="4"/>
        <v>5</v>
      </c>
      <c r="AJ144" s="23">
        <f t="shared" si="5"/>
        <v>5</v>
      </c>
      <c r="AK144" s="23">
        <f t="shared" si="6"/>
        <v>0</v>
      </c>
      <c r="AL144" s="25">
        <f>'MASTER STOCK'!I141</f>
        <v>4500</v>
      </c>
      <c r="AM144" s="27">
        <f>'MASTER STOCK'!L141</f>
        <v>5580</v>
      </c>
      <c r="AN144" s="26">
        <f t="shared" si="7"/>
        <v>0</v>
      </c>
      <c r="AO144" s="27">
        <f t="shared" si="8"/>
        <v>0</v>
      </c>
      <c r="AP144" s="25">
        <f t="shared" si="9"/>
        <v>0</v>
      </c>
      <c r="AQ144" s="10"/>
    </row>
    <row r="145">
      <c r="A145" s="20" t="str">
        <f>'MASTER STOCK'!F142</f>
        <v>AVIAN SW 25CC</v>
      </c>
      <c r="B145" s="21">
        <f>'MASTER STOCK'!G142</f>
        <v>5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23">
        <f t="shared" si="3"/>
        <v>0</v>
      </c>
      <c r="AI145" s="24">
        <f t="shared" si="4"/>
        <v>5</v>
      </c>
      <c r="AJ145" s="23">
        <f t="shared" si="5"/>
        <v>5</v>
      </c>
      <c r="AK145" s="23">
        <f t="shared" si="6"/>
        <v>0</v>
      </c>
      <c r="AL145" s="25">
        <f>'MASTER STOCK'!I142</f>
        <v>4500</v>
      </c>
      <c r="AM145" s="27">
        <f>'MASTER STOCK'!L142</f>
        <v>5580</v>
      </c>
      <c r="AN145" s="26">
        <f t="shared" si="7"/>
        <v>0</v>
      </c>
      <c r="AO145" s="27">
        <f t="shared" si="8"/>
        <v>0</v>
      </c>
      <c r="AP145" s="25">
        <f t="shared" si="9"/>
        <v>0</v>
      </c>
      <c r="AQ145" s="10"/>
    </row>
    <row r="146">
      <c r="A146" s="20" t="str">
        <f>'MASTER STOCK'!F143</f>
        <v>AVIAN KAYU BESI SB</v>
      </c>
      <c r="B146" s="21">
        <f>'MASTER STOCK'!G143</f>
        <v>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23">
        <f t="shared" si="3"/>
        <v>0</v>
      </c>
      <c r="AI146" s="24">
        <f t="shared" si="4"/>
        <v>1</v>
      </c>
      <c r="AJ146" s="23">
        <f t="shared" si="5"/>
        <v>1</v>
      </c>
      <c r="AK146" s="23">
        <f t="shared" si="6"/>
        <v>0</v>
      </c>
      <c r="AL146" s="25">
        <f>'MASTER STOCK'!I143</f>
        <v>73000</v>
      </c>
      <c r="AM146" s="27">
        <f>'MASTER STOCK'!L143</f>
        <v>76650</v>
      </c>
      <c r="AN146" s="26">
        <f t="shared" si="7"/>
        <v>0</v>
      </c>
      <c r="AO146" s="27">
        <f t="shared" si="8"/>
        <v>0</v>
      </c>
      <c r="AP146" s="25">
        <f t="shared" si="9"/>
        <v>0</v>
      </c>
      <c r="AQ146" s="10"/>
    </row>
    <row r="147">
      <c r="A147" s="20" t="str">
        <f>'MASTER STOCK'!F144</f>
        <v>AVIAN KAYU BESI 192</v>
      </c>
      <c r="B147" s="21">
        <f>'MASTER STOCK'!G144</f>
        <v>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23">
        <f t="shared" si="3"/>
        <v>0</v>
      </c>
      <c r="AI147" s="24">
        <f t="shared" si="4"/>
        <v>1</v>
      </c>
      <c r="AJ147" s="23">
        <f t="shared" si="5"/>
        <v>1</v>
      </c>
      <c r="AK147" s="23">
        <f t="shared" si="6"/>
        <v>0</v>
      </c>
      <c r="AL147" s="25">
        <f>'MASTER STOCK'!I144</f>
        <v>73000</v>
      </c>
      <c r="AM147" s="27">
        <f>'MASTER STOCK'!L144</f>
        <v>76650</v>
      </c>
      <c r="AN147" s="26">
        <f t="shared" si="7"/>
        <v>0</v>
      </c>
      <c r="AO147" s="27">
        <f t="shared" si="8"/>
        <v>0</v>
      </c>
      <c r="AP147" s="25">
        <f t="shared" si="9"/>
        <v>0</v>
      </c>
      <c r="AQ147" s="10"/>
    </row>
    <row r="148">
      <c r="A148" s="20" t="str">
        <f>'MASTER STOCK'!F145</f>
        <v>AVIAN KAYU BESI 480</v>
      </c>
      <c r="B148" s="21">
        <f>'MASTER STOCK'!G145</f>
        <v>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23">
        <f t="shared" si="3"/>
        <v>0</v>
      </c>
      <c r="AI148" s="24">
        <f t="shared" si="4"/>
        <v>1</v>
      </c>
      <c r="AJ148" s="23">
        <f t="shared" si="5"/>
        <v>1</v>
      </c>
      <c r="AK148" s="23">
        <f t="shared" si="6"/>
        <v>0</v>
      </c>
      <c r="AL148" s="25">
        <f>'MASTER STOCK'!I145</f>
        <v>73000</v>
      </c>
      <c r="AM148" s="27">
        <f>'MASTER STOCK'!L145</f>
        <v>76650</v>
      </c>
      <c r="AN148" s="26">
        <f t="shared" si="7"/>
        <v>0</v>
      </c>
      <c r="AO148" s="27">
        <f t="shared" si="8"/>
        <v>0</v>
      </c>
      <c r="AP148" s="25">
        <f t="shared" si="9"/>
        <v>0</v>
      </c>
      <c r="AQ148" s="10"/>
    </row>
    <row r="149">
      <c r="A149" s="20" t="str">
        <f>'MASTER STOCK'!F146</f>
        <v>AVIAN KAYU BESI SW</v>
      </c>
      <c r="B149" s="21">
        <f>'MASTER STOCK'!G146</f>
        <v>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23">
        <f t="shared" si="3"/>
        <v>0</v>
      </c>
      <c r="AI149" s="24">
        <f t="shared" si="4"/>
        <v>1</v>
      </c>
      <c r="AJ149" s="23">
        <f t="shared" si="5"/>
        <v>1</v>
      </c>
      <c r="AK149" s="23">
        <f t="shared" si="6"/>
        <v>0</v>
      </c>
      <c r="AL149" s="25">
        <f>'MASTER STOCK'!I146</f>
        <v>73000</v>
      </c>
      <c r="AM149" s="27">
        <f>'MASTER STOCK'!L146</f>
        <v>76650</v>
      </c>
      <c r="AN149" s="26">
        <f t="shared" si="7"/>
        <v>0</v>
      </c>
      <c r="AO149" s="27">
        <f t="shared" si="8"/>
        <v>0</v>
      </c>
      <c r="AP149" s="25">
        <f t="shared" si="9"/>
        <v>0</v>
      </c>
      <c r="AQ149" s="10"/>
    </row>
    <row r="150">
      <c r="A150" s="20" t="str">
        <f>'MASTER STOCK'!F147</f>
        <v>BEE BRAND KAYU BESI 126 GREEN</v>
      </c>
      <c r="B150" s="21">
        <f>'MASTER STOCK'!G147</f>
        <v>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23">
        <f t="shared" si="3"/>
        <v>0</v>
      </c>
      <c r="AI150" s="24">
        <f t="shared" si="4"/>
        <v>1</v>
      </c>
      <c r="AJ150" s="23">
        <f t="shared" si="5"/>
        <v>1</v>
      </c>
      <c r="AK150" s="23">
        <f t="shared" si="6"/>
        <v>0</v>
      </c>
      <c r="AL150" s="25">
        <f>'MASTER STOCK'!I147</f>
        <v>68000</v>
      </c>
      <c r="AM150" s="27">
        <f>'MASTER STOCK'!L147</f>
        <v>72760</v>
      </c>
      <c r="AN150" s="26">
        <f t="shared" si="7"/>
        <v>0</v>
      </c>
      <c r="AO150" s="27">
        <f t="shared" si="8"/>
        <v>0</v>
      </c>
      <c r="AP150" s="25">
        <f t="shared" si="9"/>
        <v>0</v>
      </c>
      <c r="AQ150" s="10"/>
    </row>
    <row r="151">
      <c r="A151" s="20" t="str">
        <f>'MASTER STOCK'!F148</f>
        <v>BEE BRAND KAYU BESI 1019 DEL FOGLIO</v>
      </c>
      <c r="B151" s="21">
        <f>'MASTER STOCK'!G148</f>
        <v>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23">
        <f t="shared" si="3"/>
        <v>0</v>
      </c>
      <c r="AI151" s="24">
        <f t="shared" si="4"/>
        <v>1</v>
      </c>
      <c r="AJ151" s="23">
        <f t="shared" si="5"/>
        <v>1</v>
      </c>
      <c r="AK151" s="23">
        <f t="shared" si="6"/>
        <v>0</v>
      </c>
      <c r="AL151" s="25">
        <f>'MASTER STOCK'!I148</f>
        <v>68000</v>
      </c>
      <c r="AM151" s="27">
        <f>'MASTER STOCK'!L148</f>
        <v>72760</v>
      </c>
      <c r="AN151" s="26">
        <f t="shared" si="7"/>
        <v>0</v>
      </c>
      <c r="AO151" s="27">
        <f t="shared" si="8"/>
        <v>0</v>
      </c>
      <c r="AP151" s="25">
        <f t="shared" si="9"/>
        <v>0</v>
      </c>
      <c r="AQ151" s="10"/>
    </row>
    <row r="152">
      <c r="A152" s="20" t="str">
        <f>'MASTER STOCK'!F149</f>
        <v>BEE BRAND KAYU BESI 115 SILVER</v>
      </c>
      <c r="B152" s="21">
        <f>'MASTER STOCK'!G149</f>
        <v>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23">
        <f t="shared" si="3"/>
        <v>0</v>
      </c>
      <c r="AI152" s="24">
        <f t="shared" si="4"/>
        <v>1</v>
      </c>
      <c r="AJ152" s="23">
        <f t="shared" si="5"/>
        <v>1</v>
      </c>
      <c r="AK152" s="23">
        <f t="shared" si="6"/>
        <v>0</v>
      </c>
      <c r="AL152" s="25">
        <f>'MASTER STOCK'!I149</f>
        <v>68000</v>
      </c>
      <c r="AM152" s="27">
        <f>'MASTER STOCK'!L149</f>
        <v>72760</v>
      </c>
      <c r="AN152" s="26">
        <f t="shared" si="7"/>
        <v>0</v>
      </c>
      <c r="AO152" s="27">
        <f t="shared" si="8"/>
        <v>0</v>
      </c>
      <c r="AP152" s="25">
        <f t="shared" si="9"/>
        <v>0</v>
      </c>
      <c r="AQ152" s="10"/>
    </row>
    <row r="153">
      <c r="A153" s="20" t="str">
        <f>'MASTER STOCK'!F150</f>
        <v>PARAGON TEMBOK SW 5KG</v>
      </c>
      <c r="B153" s="21">
        <f>'MASTER STOCK'!G150</f>
        <v>2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23">
        <f t="shared" si="3"/>
        <v>0</v>
      </c>
      <c r="AI153" s="24">
        <f t="shared" si="4"/>
        <v>2</v>
      </c>
      <c r="AJ153" s="23">
        <f t="shared" si="5"/>
        <v>2</v>
      </c>
      <c r="AK153" s="23">
        <f t="shared" si="6"/>
        <v>0</v>
      </c>
      <c r="AL153" s="25">
        <f>'MASTER STOCK'!I150</f>
        <v>122500</v>
      </c>
      <c r="AM153" s="27">
        <f>'MASTER STOCK'!L150</f>
        <v>134750</v>
      </c>
      <c r="AN153" s="26">
        <f t="shared" si="7"/>
        <v>0</v>
      </c>
      <c r="AO153" s="27">
        <f t="shared" si="8"/>
        <v>0</v>
      </c>
      <c r="AP153" s="25">
        <f t="shared" si="9"/>
        <v>0</v>
      </c>
      <c r="AQ153" s="10"/>
    </row>
    <row r="154">
      <c r="A154" s="20" t="str">
        <f>'MASTER STOCK'!F151</f>
        <v>PARAGON TEMBOK SW 1KG</v>
      </c>
      <c r="B154" s="21">
        <f>'MASTER STOCK'!G151</f>
        <v>4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23">
        <f t="shared" si="3"/>
        <v>0</v>
      </c>
      <c r="AI154" s="24">
        <f t="shared" si="4"/>
        <v>4</v>
      </c>
      <c r="AJ154" s="23">
        <f t="shared" si="5"/>
        <v>4</v>
      </c>
      <c r="AK154" s="23">
        <f t="shared" si="6"/>
        <v>0</v>
      </c>
      <c r="AL154" s="25">
        <f>'MASTER STOCK'!I151</f>
        <v>32500</v>
      </c>
      <c r="AM154" s="27">
        <f>'MASTER STOCK'!L151</f>
        <v>35750</v>
      </c>
      <c r="AN154" s="26">
        <f t="shared" si="7"/>
        <v>0</v>
      </c>
      <c r="AO154" s="27">
        <f t="shared" si="8"/>
        <v>0</v>
      </c>
      <c r="AP154" s="25">
        <f t="shared" si="9"/>
        <v>0</v>
      </c>
      <c r="AQ154" s="10"/>
    </row>
    <row r="155">
      <c r="A155" s="20" t="str">
        <f>'MASTER STOCK'!F152</f>
        <v>NODROP TEMBOK ABU-ABU 602 1KG</v>
      </c>
      <c r="B155" s="21">
        <f>'MASTER STOCK'!G152</f>
        <v>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23">
        <f t="shared" si="3"/>
        <v>0</v>
      </c>
      <c r="AI155" s="24">
        <f t="shared" si="4"/>
        <v>4</v>
      </c>
      <c r="AJ155" s="23">
        <f t="shared" si="5"/>
        <v>4</v>
      </c>
      <c r="AK155" s="23">
        <f t="shared" si="6"/>
        <v>0</v>
      </c>
      <c r="AL155" s="25">
        <f>'MASTER STOCK'!I152</f>
        <v>53500</v>
      </c>
      <c r="AM155" s="27">
        <f>'MASTER STOCK'!L152</f>
        <v>58850</v>
      </c>
      <c r="AN155" s="26">
        <f t="shared" si="7"/>
        <v>0</v>
      </c>
      <c r="AO155" s="27">
        <f t="shared" si="8"/>
        <v>0</v>
      </c>
      <c r="AP155" s="25">
        <f t="shared" si="9"/>
        <v>0</v>
      </c>
      <c r="AQ155" s="10"/>
    </row>
    <row r="156">
      <c r="A156" s="20" t="str">
        <f>'MASTER STOCK'!F153</f>
        <v>AVITEX TEMBOK 710 BLUE</v>
      </c>
      <c r="B156" s="21">
        <f>'MASTER STOCK'!G153</f>
        <v>2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23">
        <f t="shared" si="3"/>
        <v>0</v>
      </c>
      <c r="AI156" s="24">
        <f t="shared" si="4"/>
        <v>2</v>
      </c>
      <c r="AJ156" s="23">
        <f t="shared" si="5"/>
        <v>2</v>
      </c>
      <c r="AK156" s="23">
        <f t="shared" si="6"/>
        <v>0</v>
      </c>
      <c r="AL156" s="25">
        <f>'MASTER STOCK'!I153</f>
        <v>35500</v>
      </c>
      <c r="AM156" s="27">
        <f>'MASTER STOCK'!L153</f>
        <v>39050</v>
      </c>
      <c r="AN156" s="26">
        <f t="shared" si="7"/>
        <v>0</v>
      </c>
      <c r="AO156" s="27">
        <f t="shared" si="8"/>
        <v>0</v>
      </c>
      <c r="AP156" s="25">
        <f t="shared" si="9"/>
        <v>0</v>
      </c>
      <c r="AQ156" s="10"/>
    </row>
    <row r="157">
      <c r="A157" s="20" t="str">
        <f>'MASTER STOCK'!F154</f>
        <v>AVITEX TEMBOK 770 GREEN</v>
      </c>
      <c r="B157" s="21">
        <f>'MASTER STOCK'!G154</f>
        <v>2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23">
        <f t="shared" si="3"/>
        <v>0</v>
      </c>
      <c r="AI157" s="24">
        <f t="shared" si="4"/>
        <v>2</v>
      </c>
      <c r="AJ157" s="23">
        <f t="shared" si="5"/>
        <v>2</v>
      </c>
      <c r="AK157" s="23">
        <f t="shared" si="6"/>
        <v>0</v>
      </c>
      <c r="AL157" s="25">
        <f>'MASTER STOCK'!I154</f>
        <v>35500</v>
      </c>
      <c r="AM157" s="27">
        <f>'MASTER STOCK'!L154</f>
        <v>39050</v>
      </c>
      <c r="AN157" s="26">
        <f t="shared" si="7"/>
        <v>0</v>
      </c>
      <c r="AO157" s="27">
        <f t="shared" si="8"/>
        <v>0</v>
      </c>
      <c r="AP157" s="25">
        <f t="shared" si="9"/>
        <v>0</v>
      </c>
      <c r="AQ157" s="10"/>
    </row>
    <row r="158">
      <c r="A158" s="20" t="str">
        <f>'MASTER STOCK'!F155</f>
        <v>AVITEX TEMBOK 750 YELLOW</v>
      </c>
      <c r="B158" s="21">
        <f>'MASTER STOCK'!G155</f>
        <v>2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23">
        <f t="shared" si="3"/>
        <v>0</v>
      </c>
      <c r="AI158" s="24">
        <f t="shared" si="4"/>
        <v>2</v>
      </c>
      <c r="AJ158" s="23">
        <f t="shared" si="5"/>
        <v>2</v>
      </c>
      <c r="AK158" s="23">
        <f t="shared" si="6"/>
        <v>0</v>
      </c>
      <c r="AL158" s="25">
        <f>'MASTER STOCK'!I155</f>
        <v>35500</v>
      </c>
      <c r="AM158" s="27">
        <f>'MASTER STOCK'!L155</f>
        <v>39050</v>
      </c>
      <c r="AN158" s="26">
        <f t="shared" si="7"/>
        <v>0</v>
      </c>
      <c r="AO158" s="27">
        <f t="shared" si="8"/>
        <v>0</v>
      </c>
      <c r="AP158" s="25">
        <f t="shared" si="9"/>
        <v>0</v>
      </c>
      <c r="AQ158" s="10"/>
    </row>
    <row r="159">
      <c r="A159" s="20" t="str">
        <f>'MASTER STOCK'!F156</f>
        <v>AVITEX TEMBOK 831 CREAM</v>
      </c>
      <c r="B159" s="21">
        <f>'MASTER STOCK'!G156</f>
        <v>2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23">
        <f t="shared" si="3"/>
        <v>0</v>
      </c>
      <c r="AI159" s="24">
        <f t="shared" si="4"/>
        <v>2</v>
      </c>
      <c r="AJ159" s="23">
        <f t="shared" si="5"/>
        <v>2</v>
      </c>
      <c r="AK159" s="23">
        <f t="shared" si="6"/>
        <v>0</v>
      </c>
      <c r="AL159" s="25">
        <f>'MASTER STOCK'!I156</f>
        <v>35500</v>
      </c>
      <c r="AM159" s="27">
        <f>'MASTER STOCK'!L156</f>
        <v>39050</v>
      </c>
      <c r="AN159" s="26">
        <f t="shared" si="7"/>
        <v>0</v>
      </c>
      <c r="AO159" s="27">
        <f t="shared" si="8"/>
        <v>0</v>
      </c>
      <c r="AP159" s="25">
        <f t="shared" si="9"/>
        <v>0</v>
      </c>
      <c r="AQ159" s="10"/>
    </row>
    <row r="160">
      <c r="A160" s="20" t="str">
        <f>'MASTER STOCK'!F157</f>
        <v>AVITEX TEMBOK SB</v>
      </c>
      <c r="B160" s="21">
        <f>'MASTER STOCK'!G157</f>
        <v>2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23">
        <f t="shared" si="3"/>
        <v>0</v>
      </c>
      <c r="AI160" s="24">
        <f t="shared" si="4"/>
        <v>2</v>
      </c>
      <c r="AJ160" s="23">
        <f t="shared" si="5"/>
        <v>2</v>
      </c>
      <c r="AK160" s="23">
        <f t="shared" si="6"/>
        <v>0</v>
      </c>
      <c r="AL160" s="25">
        <f>'MASTER STOCK'!I157</f>
        <v>35500</v>
      </c>
      <c r="AM160" s="27">
        <f>'MASTER STOCK'!L157</f>
        <v>39050</v>
      </c>
      <c r="AN160" s="26">
        <f t="shared" si="7"/>
        <v>0</v>
      </c>
      <c r="AO160" s="27">
        <f t="shared" si="8"/>
        <v>0</v>
      </c>
      <c r="AP160" s="25">
        <f t="shared" si="9"/>
        <v>0</v>
      </c>
      <c r="AQ160" s="10"/>
    </row>
    <row r="161">
      <c r="A161" s="29" t="str">
        <f>'MASTER STOCK'!F158</f>
        <v>knee 1/2 dim</v>
      </c>
      <c r="B161" s="30">
        <f>'MASTER STOCK'!G158</f>
        <v>46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23">
        <f t="shared" si="3"/>
        <v>0</v>
      </c>
      <c r="AI161" s="31">
        <f t="shared" si="4"/>
        <v>46</v>
      </c>
      <c r="AJ161" s="32">
        <f t="shared" si="5"/>
        <v>46</v>
      </c>
      <c r="AK161" s="32">
        <f t="shared" si="6"/>
        <v>0</v>
      </c>
      <c r="AL161" s="25">
        <f>'MASTER STOCK'!I158</f>
        <v>2500</v>
      </c>
      <c r="AM161" s="27">
        <f>'MASTER STOCK'!L158</f>
        <v>2500</v>
      </c>
      <c r="AN161" s="26">
        <f t="shared" si="7"/>
        <v>0</v>
      </c>
      <c r="AO161" s="27">
        <f t="shared" si="8"/>
        <v>0</v>
      </c>
      <c r="AP161" s="25">
        <f t="shared" si="9"/>
        <v>0</v>
      </c>
      <c r="AQ161" s="10"/>
    </row>
    <row r="162">
      <c r="A162" s="29" t="str">
        <f>'MASTER STOCK'!F159</f>
        <v>knee 3/4 dim</v>
      </c>
      <c r="B162" s="30">
        <f>'MASTER STOCK'!G159</f>
        <v>38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23">
        <f t="shared" si="3"/>
        <v>0</v>
      </c>
      <c r="AI162" s="31">
        <f t="shared" si="4"/>
        <v>38</v>
      </c>
      <c r="AJ162" s="32">
        <f t="shared" si="5"/>
        <v>38</v>
      </c>
      <c r="AK162" s="32">
        <f t="shared" si="6"/>
        <v>0</v>
      </c>
      <c r="AL162" s="25">
        <f>'MASTER STOCK'!I159</f>
        <v>3500</v>
      </c>
      <c r="AM162" s="27">
        <f>'MASTER STOCK'!L159</f>
        <v>3500</v>
      </c>
      <c r="AN162" s="26">
        <f t="shared" si="7"/>
        <v>0</v>
      </c>
      <c r="AO162" s="27">
        <f t="shared" si="8"/>
        <v>0</v>
      </c>
      <c r="AP162" s="25">
        <f t="shared" si="9"/>
        <v>0</v>
      </c>
      <c r="AQ162" s="10"/>
    </row>
    <row r="163">
      <c r="A163" s="29" t="str">
        <f>'MASTER STOCK'!F160</f>
        <v>knee drat dalam 3/4 dim</v>
      </c>
      <c r="B163" s="30">
        <f>'MASTER STOCK'!G160</f>
        <v>8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23">
        <f t="shared" si="3"/>
        <v>0</v>
      </c>
      <c r="AI163" s="31">
        <f t="shared" si="4"/>
        <v>8</v>
      </c>
      <c r="AJ163" s="32">
        <f t="shared" si="5"/>
        <v>8</v>
      </c>
      <c r="AK163" s="32">
        <f t="shared" si="6"/>
        <v>0</v>
      </c>
      <c r="AL163" s="25">
        <f>'MASTER STOCK'!I160</f>
        <v>4500</v>
      </c>
      <c r="AM163" s="27">
        <f>'MASTER STOCK'!L160</f>
        <v>4500</v>
      </c>
      <c r="AN163" s="26">
        <f t="shared" si="7"/>
        <v>0</v>
      </c>
      <c r="AO163" s="27">
        <f t="shared" si="8"/>
        <v>0</v>
      </c>
      <c r="AP163" s="25">
        <f t="shared" si="9"/>
        <v>0</v>
      </c>
      <c r="AQ163" s="10"/>
    </row>
    <row r="164">
      <c r="A164" s="29" t="str">
        <f>'MASTER STOCK'!F161</f>
        <v>paku 1 1/2</v>
      </c>
      <c r="B164" s="30">
        <f>'MASTER STOCK'!G161</f>
        <v>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23">
        <f t="shared" si="3"/>
        <v>0</v>
      </c>
      <c r="AI164" s="31">
        <f t="shared" si="4"/>
        <v>1</v>
      </c>
      <c r="AJ164" s="32">
        <f t="shared" si="5"/>
        <v>1</v>
      </c>
      <c r="AK164" s="32">
        <f t="shared" si="6"/>
        <v>0</v>
      </c>
      <c r="AL164" s="25">
        <f>'MASTER STOCK'!I161</f>
        <v>25000</v>
      </c>
      <c r="AM164" s="27">
        <f>'MASTER STOCK'!L161</f>
        <v>25000</v>
      </c>
      <c r="AN164" s="26">
        <f t="shared" si="7"/>
        <v>0</v>
      </c>
      <c r="AO164" s="27">
        <f t="shared" si="8"/>
        <v>0</v>
      </c>
      <c r="AP164" s="25">
        <f t="shared" si="9"/>
        <v>0</v>
      </c>
      <c r="AQ164" s="10"/>
    </row>
    <row r="165">
      <c r="A165" s="29" t="str">
        <f>'MASTER STOCK'!F162</f>
        <v>paku 3/4</v>
      </c>
      <c r="B165" s="30">
        <f>'MASTER STOCK'!G162</f>
        <v>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23">
        <f t="shared" si="3"/>
        <v>0</v>
      </c>
      <c r="AI165" s="31">
        <f t="shared" si="4"/>
        <v>1</v>
      </c>
      <c r="AJ165" s="32">
        <f t="shared" si="5"/>
        <v>1</v>
      </c>
      <c r="AK165" s="32">
        <f t="shared" si="6"/>
        <v>0</v>
      </c>
      <c r="AL165" s="25">
        <f>'MASTER STOCK'!I162</f>
        <v>25000</v>
      </c>
      <c r="AM165" s="27">
        <f>'MASTER STOCK'!L162</f>
        <v>25000</v>
      </c>
      <c r="AN165" s="26">
        <f t="shared" si="7"/>
        <v>0</v>
      </c>
      <c r="AO165" s="27">
        <f t="shared" si="8"/>
        <v>0</v>
      </c>
      <c r="AP165" s="25">
        <f t="shared" si="9"/>
        <v>0</v>
      </c>
      <c r="AQ165" s="10"/>
    </row>
    <row r="166">
      <c r="A166" s="29" t="str">
        <f>'MASTER STOCK'!F163</f>
        <v>t  1/2 dim</v>
      </c>
      <c r="B166" s="30">
        <f>'MASTER STOCK'!G163</f>
        <v>9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23">
        <f t="shared" si="3"/>
        <v>0</v>
      </c>
      <c r="AI166" s="31">
        <f t="shared" si="4"/>
        <v>9</v>
      </c>
      <c r="AJ166" s="32">
        <f t="shared" si="5"/>
        <v>9</v>
      </c>
      <c r="AK166" s="32">
        <f t="shared" si="6"/>
        <v>0</v>
      </c>
      <c r="AL166" s="25">
        <f>'MASTER STOCK'!I163</f>
        <v>2500</v>
      </c>
      <c r="AM166" s="27">
        <f>'MASTER STOCK'!L163</f>
        <v>2500</v>
      </c>
      <c r="AN166" s="26">
        <f t="shared" si="7"/>
        <v>0</v>
      </c>
      <c r="AO166" s="27">
        <f t="shared" si="8"/>
        <v>0</v>
      </c>
      <c r="AP166" s="25">
        <f t="shared" si="9"/>
        <v>0</v>
      </c>
      <c r="AQ166" s="10"/>
    </row>
    <row r="167">
      <c r="A167" s="29" t="str">
        <f>'MASTER STOCK'!F164</f>
        <v>knee 1 dim</v>
      </c>
      <c r="B167" s="30">
        <f>'MASTER STOCK'!G164</f>
        <v>18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23">
        <f t="shared" si="3"/>
        <v>0</v>
      </c>
      <c r="AI167" s="31">
        <f t="shared" si="4"/>
        <v>18</v>
      </c>
      <c r="AJ167" s="32">
        <f t="shared" si="5"/>
        <v>18</v>
      </c>
      <c r="AK167" s="32">
        <f t="shared" si="6"/>
        <v>0</v>
      </c>
      <c r="AL167" s="25">
        <f>'MASTER STOCK'!I164</f>
        <v>4000</v>
      </c>
      <c r="AM167" s="27">
        <f>'MASTER STOCK'!L164</f>
        <v>4000</v>
      </c>
      <c r="AN167" s="26">
        <f t="shared" si="7"/>
        <v>0</v>
      </c>
      <c r="AO167" s="27">
        <f t="shared" si="8"/>
        <v>0</v>
      </c>
      <c r="AP167" s="25">
        <f t="shared" si="9"/>
        <v>0</v>
      </c>
      <c r="AQ167" s="10"/>
    </row>
    <row r="168">
      <c r="A168" s="29" t="str">
        <f>'MASTER STOCK'!F165</f>
        <v>t 1/2 dim</v>
      </c>
      <c r="B168" s="30">
        <f>'MASTER STOCK'!G165</f>
        <v>15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23">
        <f t="shared" si="3"/>
        <v>0</v>
      </c>
      <c r="AI168" s="31">
        <f t="shared" si="4"/>
        <v>15</v>
      </c>
      <c r="AJ168" s="32">
        <f t="shared" si="5"/>
        <v>15</v>
      </c>
      <c r="AK168" s="32">
        <f t="shared" si="6"/>
        <v>0</v>
      </c>
      <c r="AL168" s="25">
        <f>'MASTER STOCK'!I165</f>
        <v>2500</v>
      </c>
      <c r="AM168" s="27">
        <f>'MASTER STOCK'!L165</f>
        <v>2500</v>
      </c>
      <c r="AN168" s="26">
        <f t="shared" si="7"/>
        <v>0</v>
      </c>
      <c r="AO168" s="27">
        <f t="shared" si="8"/>
        <v>0</v>
      </c>
      <c r="AP168" s="25">
        <f t="shared" si="9"/>
        <v>0</v>
      </c>
      <c r="AQ168" s="10"/>
    </row>
    <row r="169">
      <c r="A169" s="29" t="str">
        <f>'MASTER STOCK'!F166</f>
        <v>t 1/4 dim</v>
      </c>
      <c r="B169" s="30">
        <f>'MASTER STOCK'!G166</f>
        <v>5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23">
        <f t="shared" si="3"/>
        <v>0</v>
      </c>
      <c r="AI169" s="31">
        <f t="shared" si="4"/>
        <v>5</v>
      </c>
      <c r="AJ169" s="32">
        <f t="shared" si="5"/>
        <v>5</v>
      </c>
      <c r="AK169" s="32">
        <f t="shared" si="6"/>
        <v>0</v>
      </c>
      <c r="AL169" s="25">
        <f>'MASTER STOCK'!I166</f>
        <v>2500</v>
      </c>
      <c r="AM169" s="27">
        <f>'MASTER STOCK'!L166</f>
        <v>2500</v>
      </c>
      <c r="AN169" s="26">
        <f t="shared" si="7"/>
        <v>0</v>
      </c>
      <c r="AO169" s="27">
        <f t="shared" si="8"/>
        <v>0</v>
      </c>
      <c r="AP169" s="25">
        <f t="shared" si="9"/>
        <v>0</v>
      </c>
      <c r="AQ169" s="10"/>
    </row>
    <row r="170">
      <c r="A170" s="29" t="str">
        <f>'MASTER STOCK'!F167</f>
        <v>t 2 dim</v>
      </c>
      <c r="B170" s="30">
        <f>'MASTER STOCK'!G167</f>
        <v>24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23">
        <f t="shared" si="3"/>
        <v>0</v>
      </c>
      <c r="AI170" s="31">
        <f t="shared" si="4"/>
        <v>24</v>
      </c>
      <c r="AJ170" s="32">
        <f t="shared" si="5"/>
        <v>24</v>
      </c>
      <c r="AK170" s="32">
        <f t="shared" si="6"/>
        <v>0</v>
      </c>
      <c r="AL170" s="25">
        <f>'MASTER STOCK'!I167</f>
        <v>5000</v>
      </c>
      <c r="AM170" s="27">
        <f>'MASTER STOCK'!L167</f>
        <v>5000</v>
      </c>
      <c r="AN170" s="26">
        <f t="shared" si="7"/>
        <v>0</v>
      </c>
      <c r="AO170" s="27">
        <f t="shared" si="8"/>
        <v>0</v>
      </c>
      <c r="AP170" s="25">
        <f t="shared" si="9"/>
        <v>0</v>
      </c>
      <c r="AQ170" s="10"/>
    </row>
    <row r="171">
      <c r="A171" s="29" t="str">
        <f>'MASTER STOCK'!F168</f>
        <v>t 3/4 dim</v>
      </c>
      <c r="B171" s="30">
        <f>'MASTER STOCK'!G168</f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23">
        <f t="shared" si="3"/>
        <v>0</v>
      </c>
      <c r="AI171" s="31">
        <f t="shared" si="4"/>
        <v>11</v>
      </c>
      <c r="AJ171" s="32">
        <f t="shared" si="5"/>
        <v>11</v>
      </c>
      <c r="AK171" s="32">
        <f t="shared" si="6"/>
        <v>0</v>
      </c>
      <c r="AL171" s="25">
        <f>'MASTER STOCK'!I168</f>
        <v>3500</v>
      </c>
      <c r="AM171" s="27">
        <f>'MASTER STOCK'!L168</f>
        <v>3500</v>
      </c>
      <c r="AN171" s="26">
        <f t="shared" si="7"/>
        <v>0</v>
      </c>
      <c r="AO171" s="27">
        <f t="shared" si="8"/>
        <v>0</v>
      </c>
      <c r="AP171" s="25">
        <f t="shared" si="9"/>
        <v>0</v>
      </c>
      <c r="AQ171" s="10"/>
    </row>
    <row r="172">
      <c r="A172" s="29" t="str">
        <f>'MASTER STOCK'!F169</f>
        <v>knee 1 1/2</v>
      </c>
      <c r="B172" s="30">
        <f>'MASTER STOCK'!G169</f>
        <v>10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23">
        <f t="shared" si="3"/>
        <v>0</v>
      </c>
      <c r="AI172" s="31">
        <f t="shared" si="4"/>
        <v>10</v>
      </c>
      <c r="AJ172" s="32">
        <f t="shared" si="5"/>
        <v>10</v>
      </c>
      <c r="AK172" s="32">
        <f t="shared" si="6"/>
        <v>0</v>
      </c>
      <c r="AL172" s="25">
        <f>'MASTER STOCK'!I169</f>
        <v>4500</v>
      </c>
      <c r="AM172" s="27">
        <f>'MASTER STOCK'!L169</f>
        <v>4500</v>
      </c>
      <c r="AN172" s="26">
        <f t="shared" si="7"/>
        <v>0</v>
      </c>
      <c r="AO172" s="27">
        <f t="shared" si="8"/>
        <v>0</v>
      </c>
      <c r="AP172" s="25">
        <f t="shared" si="9"/>
        <v>0</v>
      </c>
      <c r="AQ172" s="10"/>
    </row>
    <row r="173">
      <c r="A173" s="29" t="str">
        <f>'MASTER STOCK'!F170</f>
        <v>t drat dalam 1/2 dim</v>
      </c>
      <c r="B173" s="30">
        <f>'MASTER STOCK'!G170</f>
        <v>10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23">
        <f t="shared" si="3"/>
        <v>0</v>
      </c>
      <c r="AI173" s="31">
        <f t="shared" si="4"/>
        <v>10</v>
      </c>
      <c r="AJ173" s="32">
        <f t="shared" si="5"/>
        <v>10</v>
      </c>
      <c r="AK173" s="32">
        <f t="shared" si="6"/>
        <v>0</v>
      </c>
      <c r="AL173" s="25">
        <f>'MASTER STOCK'!I170</f>
        <v>3000</v>
      </c>
      <c r="AM173" s="27">
        <f>'MASTER STOCK'!L170</f>
        <v>3000</v>
      </c>
      <c r="AN173" s="26">
        <f t="shared" si="7"/>
        <v>0</v>
      </c>
      <c r="AO173" s="27">
        <f t="shared" si="8"/>
        <v>0</v>
      </c>
      <c r="AP173" s="25">
        <f t="shared" si="9"/>
        <v>0</v>
      </c>
      <c r="AQ173" s="10"/>
    </row>
    <row r="174">
      <c r="A174" s="29" t="str">
        <f>'MASTER STOCK'!F171</f>
        <v>t drat dalam 3/4</v>
      </c>
      <c r="B174" s="30">
        <f>'MASTER STOCK'!G171</f>
        <v>7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23">
        <f t="shared" si="3"/>
        <v>0</v>
      </c>
      <c r="AI174" s="31">
        <f t="shared" si="4"/>
        <v>7</v>
      </c>
      <c r="AJ174" s="32">
        <f t="shared" si="5"/>
        <v>7</v>
      </c>
      <c r="AK174" s="32">
        <f t="shared" si="6"/>
        <v>0</v>
      </c>
      <c r="AL174" s="25">
        <f>'MASTER STOCK'!I171</f>
        <v>4000</v>
      </c>
      <c r="AM174" s="27">
        <f>'MASTER STOCK'!L171</f>
        <v>4000</v>
      </c>
      <c r="AN174" s="26">
        <f t="shared" si="7"/>
        <v>0</v>
      </c>
      <c r="AO174" s="27">
        <f t="shared" si="8"/>
        <v>0</v>
      </c>
      <c r="AP174" s="25">
        <f t="shared" si="9"/>
        <v>0</v>
      </c>
      <c r="AQ174" s="10"/>
    </row>
    <row r="175">
      <c r="A175" s="29" t="str">
        <f>'MASTER STOCK'!F172</f>
        <v>sok darat luar 1/2</v>
      </c>
      <c r="B175" s="30">
        <f>'MASTER STOCK'!G172</f>
        <v>12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23">
        <f t="shared" si="3"/>
        <v>0</v>
      </c>
      <c r="AI175" s="31">
        <f t="shared" si="4"/>
        <v>12</v>
      </c>
      <c r="AJ175" s="32">
        <f t="shared" si="5"/>
        <v>12</v>
      </c>
      <c r="AK175" s="32">
        <f t="shared" si="6"/>
        <v>0</v>
      </c>
      <c r="AL175" s="25">
        <f>'MASTER STOCK'!I172</f>
        <v>2500</v>
      </c>
      <c r="AM175" s="27">
        <f>'MASTER STOCK'!L172</f>
        <v>2500</v>
      </c>
      <c r="AN175" s="26">
        <f t="shared" si="7"/>
        <v>0</v>
      </c>
      <c r="AO175" s="27">
        <f t="shared" si="8"/>
        <v>0</v>
      </c>
      <c r="AP175" s="25">
        <f t="shared" si="9"/>
        <v>0</v>
      </c>
      <c r="AQ175" s="10"/>
    </row>
    <row r="176">
      <c r="A176" s="29" t="str">
        <f>'MASTER STOCK'!F173</f>
        <v>knee 1 1/4</v>
      </c>
      <c r="B176" s="30">
        <f>'MASTER STOCK'!G173</f>
        <v>13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23">
        <f t="shared" si="3"/>
        <v>0</v>
      </c>
      <c r="AI176" s="31">
        <f t="shared" si="4"/>
        <v>13</v>
      </c>
      <c r="AJ176" s="32">
        <f t="shared" si="5"/>
        <v>13</v>
      </c>
      <c r="AK176" s="32">
        <f t="shared" si="6"/>
        <v>0</v>
      </c>
      <c r="AL176" s="25">
        <f>'MASTER STOCK'!I173</f>
        <v>3500</v>
      </c>
      <c r="AM176" s="27">
        <f>'MASTER STOCK'!L173</f>
        <v>3500</v>
      </c>
      <c r="AN176" s="26">
        <f t="shared" si="7"/>
        <v>0</v>
      </c>
      <c r="AO176" s="27">
        <f t="shared" si="8"/>
        <v>0</v>
      </c>
      <c r="AP176" s="25">
        <f t="shared" si="9"/>
        <v>0</v>
      </c>
      <c r="AQ176" s="10"/>
    </row>
    <row r="177">
      <c r="A177" s="29" t="str">
        <f>'MASTER STOCK'!F174</f>
        <v>sok drat dalam 1/2</v>
      </c>
      <c r="B177" s="30">
        <f>'MASTER STOCK'!G174</f>
        <v>320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23">
        <f t="shared" si="3"/>
        <v>0</v>
      </c>
      <c r="AI177" s="31">
        <f t="shared" si="4"/>
        <v>320</v>
      </c>
      <c r="AJ177" s="32">
        <f t="shared" si="5"/>
        <v>320</v>
      </c>
      <c r="AK177" s="32">
        <f t="shared" si="6"/>
        <v>0</v>
      </c>
      <c r="AL177" s="25">
        <f>'MASTER STOCK'!I174</f>
        <v>930</v>
      </c>
      <c r="AM177" s="27">
        <f>'MASTER STOCK'!L174</f>
        <v>2500</v>
      </c>
      <c r="AN177" s="26">
        <f t="shared" si="7"/>
        <v>0</v>
      </c>
      <c r="AO177" s="27">
        <f t="shared" si="8"/>
        <v>0</v>
      </c>
      <c r="AP177" s="25">
        <f t="shared" si="9"/>
        <v>0</v>
      </c>
      <c r="AQ177" s="10"/>
    </row>
    <row r="178">
      <c r="A178" s="29" t="str">
        <f>'MASTER STOCK'!F175</f>
        <v>sok 1/2</v>
      </c>
      <c r="B178" s="30">
        <f>'MASTER STOCK'!G175</f>
        <v>350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23">
        <f t="shared" si="3"/>
        <v>0</v>
      </c>
      <c r="AI178" s="31">
        <f t="shared" si="4"/>
        <v>350</v>
      </c>
      <c r="AJ178" s="32">
        <f t="shared" si="5"/>
        <v>350</v>
      </c>
      <c r="AK178" s="32">
        <f t="shared" si="6"/>
        <v>0</v>
      </c>
      <c r="AL178" s="25">
        <f>'MASTER STOCK'!I175</f>
        <v>622</v>
      </c>
      <c r="AM178" s="27">
        <f>'MASTER STOCK'!L175</f>
        <v>2000</v>
      </c>
      <c r="AN178" s="26">
        <f t="shared" si="7"/>
        <v>0</v>
      </c>
      <c r="AO178" s="27">
        <f t="shared" si="8"/>
        <v>0</v>
      </c>
      <c r="AP178" s="25">
        <f t="shared" si="9"/>
        <v>0</v>
      </c>
      <c r="AQ178" s="10"/>
    </row>
    <row r="179">
      <c r="A179" s="29" t="str">
        <f>'MASTER STOCK'!F176</f>
        <v>sok 3/4</v>
      </c>
      <c r="B179" s="30">
        <f>'MASTER STOCK'!G176</f>
        <v>350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23">
        <f t="shared" si="3"/>
        <v>0</v>
      </c>
      <c r="AI179" s="31">
        <f t="shared" si="4"/>
        <v>350</v>
      </c>
      <c r="AJ179" s="32">
        <f t="shared" si="5"/>
        <v>350</v>
      </c>
      <c r="AK179" s="32">
        <f t="shared" si="6"/>
        <v>0</v>
      </c>
      <c r="AL179" s="25">
        <f>'MASTER STOCK'!I176</f>
        <v>835</v>
      </c>
      <c r="AM179" s="27">
        <f>'MASTER STOCK'!L176</f>
        <v>3000</v>
      </c>
      <c r="AN179" s="26">
        <f t="shared" si="7"/>
        <v>0</v>
      </c>
      <c r="AO179" s="27">
        <f t="shared" si="8"/>
        <v>0</v>
      </c>
      <c r="AP179" s="25">
        <f t="shared" si="9"/>
        <v>0</v>
      </c>
      <c r="AQ179" s="10"/>
    </row>
    <row r="180">
      <c r="A180" s="29" t="str">
        <f>'MASTER STOCK'!F177</f>
        <v>sok 1 1/2</v>
      </c>
      <c r="B180" s="30">
        <f>'MASTER STOCK'!G177</f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23">
        <f t="shared" si="3"/>
        <v>0</v>
      </c>
      <c r="AI180" s="31">
        <f t="shared" si="4"/>
        <v>11</v>
      </c>
      <c r="AJ180" s="32">
        <f t="shared" si="5"/>
        <v>11</v>
      </c>
      <c r="AK180" s="32">
        <f t="shared" si="6"/>
        <v>0</v>
      </c>
      <c r="AL180" s="25">
        <f>'MASTER STOCK'!I177</f>
        <v>3500</v>
      </c>
      <c r="AM180" s="27">
        <f>'MASTER STOCK'!L177</f>
        <v>3500</v>
      </c>
      <c r="AN180" s="26">
        <f t="shared" si="7"/>
        <v>0</v>
      </c>
      <c r="AO180" s="27">
        <f t="shared" si="8"/>
        <v>0</v>
      </c>
      <c r="AP180" s="25">
        <f t="shared" si="9"/>
        <v>0</v>
      </c>
      <c r="AQ180" s="10"/>
    </row>
    <row r="181">
      <c r="A181" s="29" t="str">
        <f>'MASTER STOCK'!F178</f>
        <v>sok 2</v>
      </c>
      <c r="B181" s="30">
        <f>'MASTER STOCK'!G178</f>
        <v>8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23">
        <f t="shared" si="3"/>
        <v>0</v>
      </c>
      <c r="AI181" s="31">
        <f t="shared" si="4"/>
        <v>8</v>
      </c>
      <c r="AJ181" s="32">
        <f t="shared" si="5"/>
        <v>8</v>
      </c>
      <c r="AK181" s="32">
        <f t="shared" si="6"/>
        <v>0</v>
      </c>
      <c r="AL181" s="25">
        <f>'MASTER STOCK'!I178</f>
        <v>2000</v>
      </c>
      <c r="AM181" s="27">
        <f>'MASTER STOCK'!L178</f>
        <v>2000</v>
      </c>
      <c r="AN181" s="26">
        <f t="shared" si="7"/>
        <v>0</v>
      </c>
      <c r="AO181" s="27">
        <f t="shared" si="8"/>
        <v>0</v>
      </c>
      <c r="AP181" s="25">
        <f t="shared" si="9"/>
        <v>0</v>
      </c>
      <c r="AQ181" s="10"/>
    </row>
    <row r="182">
      <c r="A182" s="29" t="str">
        <f>'MASTER STOCK'!F179</f>
        <v>sok 1 1/4</v>
      </c>
      <c r="B182" s="30">
        <f>'MASTER STOCK'!G179</f>
        <v>17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23">
        <f t="shared" si="3"/>
        <v>0</v>
      </c>
      <c r="AI182" s="31">
        <f t="shared" si="4"/>
        <v>17</v>
      </c>
      <c r="AJ182" s="32">
        <f t="shared" si="5"/>
        <v>17</v>
      </c>
      <c r="AK182" s="32">
        <f t="shared" si="6"/>
        <v>0</v>
      </c>
      <c r="AL182" s="25">
        <f>'MASTER STOCK'!I179</f>
        <v>3500</v>
      </c>
      <c r="AM182" s="27">
        <f>'MASTER STOCK'!L179</f>
        <v>3500</v>
      </c>
      <c r="AN182" s="26">
        <f t="shared" si="7"/>
        <v>0</v>
      </c>
      <c r="AO182" s="27">
        <f t="shared" si="8"/>
        <v>0</v>
      </c>
      <c r="AP182" s="25">
        <f t="shared" si="9"/>
        <v>0</v>
      </c>
      <c r="AQ182" s="10"/>
    </row>
    <row r="183">
      <c r="A183" s="29" t="str">
        <f>'MASTER STOCK'!F180</f>
        <v>sok 3</v>
      </c>
      <c r="B183" s="30">
        <f>'MASTER STOCK'!G180</f>
        <v>8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23">
        <f t="shared" si="3"/>
        <v>0</v>
      </c>
      <c r="AI183" s="31">
        <f t="shared" si="4"/>
        <v>8</v>
      </c>
      <c r="AJ183" s="32">
        <f t="shared" si="5"/>
        <v>8</v>
      </c>
      <c r="AK183" s="32">
        <f t="shared" si="6"/>
        <v>0</v>
      </c>
      <c r="AL183" s="25">
        <f>'MASTER STOCK'!I180</f>
        <v>7500</v>
      </c>
      <c r="AM183" s="27">
        <f>'MASTER STOCK'!L180</f>
        <v>7500</v>
      </c>
      <c r="AN183" s="26">
        <f t="shared" si="7"/>
        <v>0</v>
      </c>
      <c r="AO183" s="27">
        <f t="shared" si="8"/>
        <v>0</v>
      </c>
      <c r="AP183" s="25">
        <f t="shared" si="9"/>
        <v>0</v>
      </c>
      <c r="AQ183" s="10"/>
    </row>
    <row r="184">
      <c r="A184" s="29" t="str">
        <f>'MASTER STOCK'!F181</f>
        <v>sok drat dalam 1</v>
      </c>
      <c r="B184" s="30">
        <f>'MASTER STOCK'!G181</f>
        <v>9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23">
        <f t="shared" si="3"/>
        <v>0</v>
      </c>
      <c r="AI184" s="31">
        <f t="shared" si="4"/>
        <v>9</v>
      </c>
      <c r="AJ184" s="32">
        <f t="shared" si="5"/>
        <v>9</v>
      </c>
      <c r="AK184" s="32">
        <f t="shared" si="6"/>
        <v>0</v>
      </c>
      <c r="AL184" s="25">
        <f>'MASTER STOCK'!I181</f>
        <v>3500</v>
      </c>
      <c r="AM184" s="27">
        <f>'MASTER STOCK'!L181</f>
        <v>3500</v>
      </c>
      <c r="AN184" s="26">
        <f t="shared" si="7"/>
        <v>0</v>
      </c>
      <c r="AO184" s="27">
        <f t="shared" si="8"/>
        <v>0</v>
      </c>
      <c r="AP184" s="25">
        <f t="shared" si="9"/>
        <v>0</v>
      </c>
      <c r="AQ184" s="10"/>
    </row>
    <row r="185">
      <c r="A185" s="29" t="str">
        <f>'MASTER STOCK'!F182</f>
        <v>sok drat dalam 3/4</v>
      </c>
      <c r="B185" s="30">
        <f>'MASTER STOCK'!G182</f>
        <v>5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23">
        <f t="shared" si="3"/>
        <v>0</v>
      </c>
      <c r="AI185" s="31">
        <f t="shared" si="4"/>
        <v>5</v>
      </c>
      <c r="AJ185" s="32">
        <f t="shared" si="5"/>
        <v>5</v>
      </c>
      <c r="AK185" s="32">
        <f t="shared" si="6"/>
        <v>0</v>
      </c>
      <c r="AL185" s="25">
        <f>'MASTER STOCK'!I182</f>
        <v>4000</v>
      </c>
      <c r="AM185" s="27">
        <f>'MASTER STOCK'!L182</f>
        <v>4000</v>
      </c>
      <c r="AN185" s="26">
        <f t="shared" si="7"/>
        <v>0</v>
      </c>
      <c r="AO185" s="27">
        <f t="shared" si="8"/>
        <v>0</v>
      </c>
      <c r="AP185" s="25">
        <f t="shared" si="9"/>
        <v>0</v>
      </c>
      <c r="AQ185" s="10"/>
    </row>
    <row r="186">
      <c r="A186" s="29" t="str">
        <f>'MASTER STOCK'!F183</f>
        <v>sok drat luar 3/4</v>
      </c>
      <c r="B186" s="30">
        <f>'MASTER STOCK'!G183</f>
        <v>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23">
        <f t="shared" si="3"/>
        <v>0</v>
      </c>
      <c r="AI186" s="31">
        <f t="shared" si="4"/>
        <v>7</v>
      </c>
      <c r="AJ186" s="32">
        <f t="shared" si="5"/>
        <v>7</v>
      </c>
      <c r="AK186" s="32">
        <f t="shared" si="6"/>
        <v>0</v>
      </c>
      <c r="AL186" s="25">
        <f>'MASTER STOCK'!I183</f>
        <v>3000</v>
      </c>
      <c r="AM186" s="27">
        <f>'MASTER STOCK'!L183</f>
        <v>3000</v>
      </c>
      <c r="AN186" s="26">
        <f t="shared" si="7"/>
        <v>0</v>
      </c>
      <c r="AO186" s="27">
        <f t="shared" si="8"/>
        <v>0</v>
      </c>
      <c r="AP186" s="25">
        <f t="shared" si="9"/>
        <v>0</v>
      </c>
      <c r="AQ186" s="10"/>
    </row>
    <row r="187">
      <c r="A187" s="29" t="str">
        <f>'MASTER STOCK'!F184</f>
        <v>overlup 1 x 3/4</v>
      </c>
      <c r="B187" s="30">
        <f>'MASTER STOCK'!G184</f>
        <v>26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23">
        <f t="shared" si="3"/>
        <v>0</v>
      </c>
      <c r="AI187" s="31">
        <f t="shared" si="4"/>
        <v>26</v>
      </c>
      <c r="AJ187" s="32">
        <f t="shared" si="5"/>
        <v>26</v>
      </c>
      <c r="AK187" s="32">
        <f t="shared" si="6"/>
        <v>0</v>
      </c>
      <c r="AL187" s="25">
        <f>'MASTER STOCK'!I184</f>
        <v>2500</v>
      </c>
      <c r="AM187" s="27">
        <f>'MASTER STOCK'!L184</f>
        <v>2500</v>
      </c>
      <c r="AN187" s="26">
        <f t="shared" si="7"/>
        <v>0</v>
      </c>
      <c r="AO187" s="27">
        <f t="shared" si="8"/>
        <v>0</v>
      </c>
      <c r="AP187" s="25">
        <f t="shared" si="9"/>
        <v>0</v>
      </c>
      <c r="AQ187" s="10"/>
    </row>
    <row r="188">
      <c r="A188" s="29" t="str">
        <f>'MASTER STOCK'!F185</f>
        <v>sok drat dalam 3/4 x 1/2</v>
      </c>
      <c r="B188" s="30">
        <f>'MASTER STOCK'!G185</f>
        <v>6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23">
        <f t="shared" si="3"/>
        <v>0</v>
      </c>
      <c r="AI188" s="31">
        <f t="shared" si="4"/>
        <v>6</v>
      </c>
      <c r="AJ188" s="32">
        <f t="shared" si="5"/>
        <v>6</v>
      </c>
      <c r="AK188" s="32">
        <f t="shared" si="6"/>
        <v>0</v>
      </c>
      <c r="AL188" s="25">
        <f>'MASTER STOCK'!I185</f>
        <v>3000</v>
      </c>
      <c r="AM188" s="27">
        <f>'MASTER STOCK'!L185</f>
        <v>3000</v>
      </c>
      <c r="AN188" s="26">
        <f t="shared" si="7"/>
        <v>0</v>
      </c>
      <c r="AO188" s="27">
        <f t="shared" si="8"/>
        <v>0</v>
      </c>
      <c r="AP188" s="25">
        <f t="shared" si="9"/>
        <v>0</v>
      </c>
      <c r="AQ188" s="10"/>
    </row>
    <row r="189">
      <c r="A189" s="29" t="str">
        <f>'MASTER STOCK'!F186</f>
        <v>overlup 2 x 1</v>
      </c>
      <c r="B189" s="30">
        <f>'MASTER STOCK'!G186</f>
        <v>13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23">
        <f t="shared" si="3"/>
        <v>0</v>
      </c>
      <c r="AI189" s="31">
        <f t="shared" si="4"/>
        <v>13</v>
      </c>
      <c r="AJ189" s="32">
        <f t="shared" si="5"/>
        <v>13</v>
      </c>
      <c r="AK189" s="32">
        <f t="shared" si="6"/>
        <v>0</v>
      </c>
      <c r="AL189" s="25">
        <f>'MASTER STOCK'!I186</f>
        <v>7500</v>
      </c>
      <c r="AM189" s="27">
        <f>'MASTER STOCK'!L186</f>
        <v>7500</v>
      </c>
      <c r="AN189" s="26">
        <f t="shared" si="7"/>
        <v>0</v>
      </c>
      <c r="AO189" s="27">
        <f t="shared" si="8"/>
        <v>0</v>
      </c>
      <c r="AP189" s="25">
        <f t="shared" si="9"/>
        <v>0</v>
      </c>
      <c r="AQ189" s="10"/>
    </row>
    <row r="190">
      <c r="A190" s="29" t="str">
        <f>'MASTER STOCK'!F187</f>
        <v>overlup 2 x 1 1/2</v>
      </c>
      <c r="B190" s="30">
        <f>'MASTER STOCK'!G187</f>
        <v>5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23">
        <f t="shared" si="3"/>
        <v>0</v>
      </c>
      <c r="AI190" s="31">
        <f t="shared" si="4"/>
        <v>5</v>
      </c>
      <c r="AJ190" s="32">
        <f t="shared" si="5"/>
        <v>5</v>
      </c>
      <c r="AK190" s="32">
        <f t="shared" si="6"/>
        <v>0</v>
      </c>
      <c r="AL190" s="25">
        <f>'MASTER STOCK'!I187</f>
        <v>5500</v>
      </c>
      <c r="AM190" s="27">
        <f>'MASTER STOCK'!L187</f>
        <v>5500</v>
      </c>
      <c r="AN190" s="26">
        <f t="shared" si="7"/>
        <v>0</v>
      </c>
      <c r="AO190" s="27">
        <f t="shared" si="8"/>
        <v>0</v>
      </c>
      <c r="AP190" s="25">
        <f t="shared" si="9"/>
        <v>0</v>
      </c>
      <c r="AQ190" s="10"/>
    </row>
    <row r="191">
      <c r="A191" s="29" t="str">
        <f>'MASTER STOCK'!F188</f>
        <v>overlup 1 x 1 1/2</v>
      </c>
      <c r="B191" s="30">
        <f>'MASTER STOCK'!G188</f>
        <v>5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23">
        <f t="shared" si="3"/>
        <v>0</v>
      </c>
      <c r="AI191" s="31">
        <f t="shared" si="4"/>
        <v>5</v>
      </c>
      <c r="AJ191" s="32">
        <f t="shared" si="5"/>
        <v>5</v>
      </c>
      <c r="AK191" s="32">
        <f t="shared" si="6"/>
        <v>0</v>
      </c>
      <c r="AL191" s="25">
        <f>'MASTER STOCK'!I188</f>
        <v>6500</v>
      </c>
      <c r="AM191" s="27">
        <f>'MASTER STOCK'!L188</f>
        <v>6500</v>
      </c>
      <c r="AN191" s="26">
        <f t="shared" si="7"/>
        <v>0</v>
      </c>
      <c r="AO191" s="27">
        <f t="shared" si="8"/>
        <v>0</v>
      </c>
      <c r="AP191" s="25">
        <f t="shared" si="9"/>
        <v>0</v>
      </c>
      <c r="AQ191" s="10"/>
    </row>
    <row r="192">
      <c r="A192" s="29" t="str">
        <f>'MASTER STOCK'!F189</f>
        <v>overlup 2 x 2 1/2</v>
      </c>
      <c r="B192" s="30">
        <f>'MASTER STOCK'!G189</f>
        <v>3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23">
        <f t="shared" si="3"/>
        <v>0</v>
      </c>
      <c r="AI192" s="31">
        <f t="shared" si="4"/>
        <v>3</v>
      </c>
      <c r="AJ192" s="32">
        <f t="shared" si="5"/>
        <v>3</v>
      </c>
      <c r="AK192" s="32">
        <f t="shared" si="6"/>
        <v>0</v>
      </c>
      <c r="AL192" s="25">
        <f>'MASTER STOCK'!I189</f>
        <v>8000</v>
      </c>
      <c r="AM192" s="27">
        <f>'MASTER STOCK'!L189</f>
        <v>8000</v>
      </c>
      <c r="AN192" s="26">
        <f t="shared" si="7"/>
        <v>0</v>
      </c>
      <c r="AO192" s="27">
        <f t="shared" si="8"/>
        <v>0</v>
      </c>
      <c r="AP192" s="25">
        <f t="shared" si="9"/>
        <v>0</v>
      </c>
      <c r="AQ192" s="10"/>
    </row>
    <row r="193">
      <c r="A193" s="29" t="str">
        <f>'MASTER STOCK'!F190</f>
        <v>t  3/4 x 1</v>
      </c>
      <c r="B193" s="30">
        <f>'MASTER STOCK'!G190</f>
        <v>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23">
        <f t="shared" si="3"/>
        <v>0</v>
      </c>
      <c r="AI193" s="31">
        <f t="shared" si="4"/>
        <v>1</v>
      </c>
      <c r="AJ193" s="32">
        <f t="shared" si="5"/>
        <v>1</v>
      </c>
      <c r="AK193" s="32">
        <f t="shared" si="6"/>
        <v>0</v>
      </c>
      <c r="AL193" s="25">
        <f>'MASTER STOCK'!I190</f>
        <v>3500</v>
      </c>
      <c r="AM193" s="27">
        <f>'MASTER STOCK'!L190</f>
        <v>3500</v>
      </c>
      <c r="AN193" s="26">
        <f t="shared" si="7"/>
        <v>0</v>
      </c>
      <c r="AO193" s="27">
        <f t="shared" si="8"/>
        <v>0</v>
      </c>
      <c r="AP193" s="25">
        <f t="shared" si="9"/>
        <v>0</v>
      </c>
      <c r="AQ193" s="10"/>
    </row>
    <row r="194">
      <c r="A194" s="29" t="str">
        <f>'MASTER STOCK'!F191</f>
        <v>knee 2 1/2</v>
      </c>
      <c r="B194" s="30">
        <f>'MASTER STOCK'!G191</f>
        <v>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23">
        <f t="shared" si="3"/>
        <v>0</v>
      </c>
      <c r="AI194" s="31">
        <f t="shared" si="4"/>
        <v>8</v>
      </c>
      <c r="AJ194" s="32">
        <f t="shared" si="5"/>
        <v>8</v>
      </c>
      <c r="AK194" s="32">
        <f t="shared" si="6"/>
        <v>0</v>
      </c>
      <c r="AL194" s="25">
        <f>'MASTER STOCK'!I191</f>
        <v>7500</v>
      </c>
      <c r="AM194" s="27">
        <f>'MASTER STOCK'!L191</f>
        <v>7500</v>
      </c>
      <c r="AN194" s="26">
        <f t="shared" si="7"/>
        <v>0</v>
      </c>
      <c r="AO194" s="27">
        <f t="shared" si="8"/>
        <v>0</v>
      </c>
      <c r="AP194" s="25">
        <f t="shared" si="9"/>
        <v>0</v>
      </c>
      <c r="AQ194" s="10"/>
    </row>
    <row r="195">
      <c r="A195" s="29" t="str">
        <f>'MASTER STOCK'!F192</f>
        <v>sok 4</v>
      </c>
      <c r="B195" s="30">
        <f>'MASTER STOCK'!G192</f>
        <v>22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23">
        <f t="shared" si="3"/>
        <v>0</v>
      </c>
      <c r="AI195" s="31">
        <f t="shared" si="4"/>
        <v>22</v>
      </c>
      <c r="AJ195" s="32">
        <f t="shared" si="5"/>
        <v>22</v>
      </c>
      <c r="AK195" s="32">
        <f t="shared" si="6"/>
        <v>0</v>
      </c>
      <c r="AL195" s="25">
        <f>'MASTER STOCK'!I192</f>
        <v>9000</v>
      </c>
      <c r="AM195" s="27">
        <f>'MASTER STOCK'!L192</f>
        <v>9000</v>
      </c>
      <c r="AN195" s="26">
        <f t="shared" si="7"/>
        <v>0</v>
      </c>
      <c r="AO195" s="27">
        <f t="shared" si="8"/>
        <v>0</v>
      </c>
      <c r="AP195" s="25">
        <f t="shared" si="9"/>
        <v>0</v>
      </c>
      <c r="AQ195" s="10"/>
    </row>
    <row r="196">
      <c r="A196" s="29" t="str">
        <f>'MASTER STOCK'!F193</f>
        <v>sok 2 1/2</v>
      </c>
      <c r="B196" s="30">
        <f>'MASTER STOCK'!G193</f>
        <v>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23">
        <f t="shared" si="3"/>
        <v>0</v>
      </c>
      <c r="AI196" s="31">
        <f t="shared" si="4"/>
        <v>2</v>
      </c>
      <c r="AJ196" s="32">
        <f t="shared" si="5"/>
        <v>2</v>
      </c>
      <c r="AK196" s="32">
        <f t="shared" si="6"/>
        <v>0</v>
      </c>
      <c r="AL196" s="25">
        <f>'MASTER STOCK'!I193</f>
        <v>5500</v>
      </c>
      <c r="AM196" s="27">
        <f>'MASTER STOCK'!L193</f>
        <v>5500</v>
      </c>
      <c r="AN196" s="26">
        <f t="shared" si="7"/>
        <v>0</v>
      </c>
      <c r="AO196" s="27">
        <f t="shared" si="8"/>
        <v>0</v>
      </c>
      <c r="AP196" s="25">
        <f t="shared" si="9"/>
        <v>0</v>
      </c>
      <c r="AQ196" s="10"/>
    </row>
    <row r="197">
      <c r="A197" s="29" t="str">
        <f>'MASTER STOCK'!F194</f>
        <v>sok drat luar 2</v>
      </c>
      <c r="B197" s="30">
        <f>'MASTER STOCK'!G194</f>
        <v>5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23">
        <f t="shared" si="3"/>
        <v>0</v>
      </c>
      <c r="AI197" s="31">
        <f t="shared" si="4"/>
        <v>5</v>
      </c>
      <c r="AJ197" s="32">
        <f t="shared" si="5"/>
        <v>5</v>
      </c>
      <c r="AK197" s="32">
        <f t="shared" si="6"/>
        <v>0</v>
      </c>
      <c r="AL197" s="25">
        <f>'MASTER STOCK'!I194</f>
        <v>7500</v>
      </c>
      <c r="AM197" s="27">
        <f>'MASTER STOCK'!L194</f>
        <v>7500</v>
      </c>
      <c r="AN197" s="26">
        <f t="shared" si="7"/>
        <v>0</v>
      </c>
      <c r="AO197" s="27">
        <f t="shared" si="8"/>
        <v>0</v>
      </c>
      <c r="AP197" s="25">
        <f t="shared" si="9"/>
        <v>0</v>
      </c>
      <c r="AQ197" s="10"/>
    </row>
    <row r="198">
      <c r="A198" s="29" t="str">
        <f>'MASTER STOCK'!F195</f>
        <v>t 4</v>
      </c>
      <c r="B198" s="30">
        <f>'MASTER STOCK'!G195</f>
        <v>10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23">
        <f t="shared" si="3"/>
        <v>0</v>
      </c>
      <c r="AI198" s="31">
        <f t="shared" si="4"/>
        <v>10</v>
      </c>
      <c r="AJ198" s="32">
        <f t="shared" si="5"/>
        <v>10</v>
      </c>
      <c r="AK198" s="32">
        <f t="shared" si="6"/>
        <v>0</v>
      </c>
      <c r="AL198" s="25">
        <f>'MASTER STOCK'!I195</f>
        <v>16500</v>
      </c>
      <c r="AM198" s="27">
        <f>'MASTER STOCK'!L195</f>
        <v>16500</v>
      </c>
      <c r="AN198" s="26">
        <f t="shared" si="7"/>
        <v>0</v>
      </c>
      <c r="AO198" s="27">
        <f t="shared" si="8"/>
        <v>0</v>
      </c>
      <c r="AP198" s="25">
        <f t="shared" si="9"/>
        <v>0</v>
      </c>
      <c r="AQ198" s="10"/>
    </row>
    <row r="199">
      <c r="A199" s="29" t="str">
        <f>'MASTER STOCK'!F196</f>
        <v>t 3</v>
      </c>
      <c r="B199" s="30">
        <f>'MASTER STOCK'!G196</f>
        <v>7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23">
        <f t="shared" si="3"/>
        <v>0</v>
      </c>
      <c r="AI199" s="31">
        <f t="shared" si="4"/>
        <v>7</v>
      </c>
      <c r="AJ199" s="32">
        <f t="shared" si="5"/>
        <v>7</v>
      </c>
      <c r="AK199" s="32">
        <f t="shared" si="6"/>
        <v>0</v>
      </c>
      <c r="AL199" s="25">
        <f>'MASTER STOCK'!I196</f>
        <v>10000</v>
      </c>
      <c r="AM199" s="27">
        <f>'MASTER STOCK'!L196</f>
        <v>10000</v>
      </c>
      <c r="AN199" s="26">
        <f t="shared" si="7"/>
        <v>0</v>
      </c>
      <c r="AO199" s="27">
        <f t="shared" si="8"/>
        <v>0</v>
      </c>
      <c r="AP199" s="25">
        <f t="shared" si="9"/>
        <v>0</v>
      </c>
      <c r="AQ199" s="10"/>
    </row>
    <row r="200">
      <c r="A200" s="29" t="str">
        <f>'MASTER STOCK'!F197</f>
        <v>knee 4</v>
      </c>
      <c r="B200" s="30">
        <f>'MASTER STOCK'!G197</f>
        <v>13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23">
        <f t="shared" si="3"/>
        <v>0</v>
      </c>
      <c r="AI200" s="31">
        <f t="shared" si="4"/>
        <v>13</v>
      </c>
      <c r="AJ200" s="32">
        <f t="shared" si="5"/>
        <v>13</v>
      </c>
      <c r="AK200" s="32">
        <f t="shared" si="6"/>
        <v>0</v>
      </c>
      <c r="AL200" s="25">
        <f>'MASTER STOCK'!I197</f>
        <v>14000</v>
      </c>
      <c r="AM200" s="27">
        <f>'MASTER STOCK'!L197</f>
        <v>14000</v>
      </c>
      <c r="AN200" s="26">
        <f t="shared" si="7"/>
        <v>0</v>
      </c>
      <c r="AO200" s="27">
        <f t="shared" si="8"/>
        <v>0</v>
      </c>
      <c r="AP200" s="25">
        <f t="shared" si="9"/>
        <v>0</v>
      </c>
      <c r="AQ200" s="10"/>
    </row>
    <row r="201">
      <c r="A201" s="29" t="str">
        <f>'MASTER STOCK'!F198</f>
        <v>overlup 4 x 2 1/2</v>
      </c>
      <c r="B201" s="30">
        <f>'MASTER STOCK'!G198</f>
        <v>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23">
        <f t="shared" si="3"/>
        <v>0</v>
      </c>
      <c r="AI201" s="31">
        <f t="shared" si="4"/>
        <v>1</v>
      </c>
      <c r="AJ201" s="32">
        <f t="shared" si="5"/>
        <v>1</v>
      </c>
      <c r="AK201" s="32">
        <f t="shared" si="6"/>
        <v>0</v>
      </c>
      <c r="AL201" s="25">
        <f>'MASTER STOCK'!I198</f>
        <v>12000</v>
      </c>
      <c r="AM201" s="27">
        <f>'MASTER STOCK'!L198</f>
        <v>12000</v>
      </c>
      <c r="AN201" s="26">
        <f t="shared" si="7"/>
        <v>0</v>
      </c>
      <c r="AO201" s="27">
        <f t="shared" si="8"/>
        <v>0</v>
      </c>
      <c r="AP201" s="25">
        <f t="shared" si="9"/>
        <v>0</v>
      </c>
      <c r="AQ201" s="10"/>
    </row>
    <row r="202">
      <c r="A202" s="29" t="str">
        <f>'MASTER STOCK'!F199</f>
        <v>overlup 4 x 3</v>
      </c>
      <c r="B202" s="30">
        <f>'MASTER STOCK'!G199</f>
        <v>2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23">
        <f t="shared" si="3"/>
        <v>0</v>
      </c>
      <c r="AI202" s="31">
        <f t="shared" si="4"/>
        <v>2</v>
      </c>
      <c r="AJ202" s="32">
        <f t="shared" si="5"/>
        <v>2</v>
      </c>
      <c r="AK202" s="32">
        <f t="shared" si="6"/>
        <v>0</v>
      </c>
      <c r="AL202" s="25">
        <f>'MASTER STOCK'!I199</f>
        <v>12500</v>
      </c>
      <c r="AM202" s="27">
        <f>'MASTER STOCK'!L199</f>
        <v>12500</v>
      </c>
      <c r="AN202" s="26">
        <f t="shared" si="7"/>
        <v>0</v>
      </c>
      <c r="AO202" s="27">
        <f t="shared" si="8"/>
        <v>0</v>
      </c>
      <c r="AP202" s="25">
        <f t="shared" si="9"/>
        <v>0</v>
      </c>
      <c r="AQ202" s="10"/>
    </row>
    <row r="203">
      <c r="A203" s="29" t="str">
        <f>'MASTER STOCK'!F200</f>
        <v>knee 3</v>
      </c>
      <c r="B203" s="30">
        <f>'MASTER STOCK'!G200</f>
        <v>6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23">
        <f t="shared" si="3"/>
        <v>0</v>
      </c>
      <c r="AI203" s="31">
        <f t="shared" si="4"/>
        <v>6</v>
      </c>
      <c r="AJ203" s="32">
        <f t="shared" si="5"/>
        <v>6</v>
      </c>
      <c r="AK203" s="32">
        <f t="shared" si="6"/>
        <v>0</v>
      </c>
      <c r="AL203" s="25">
        <f>'MASTER STOCK'!I200</f>
        <v>10000</v>
      </c>
      <c r="AM203" s="27">
        <f>'MASTER STOCK'!L200</f>
        <v>10000</v>
      </c>
      <c r="AN203" s="26">
        <f t="shared" si="7"/>
        <v>0</v>
      </c>
      <c r="AO203" s="27">
        <f t="shared" si="8"/>
        <v>0</v>
      </c>
      <c r="AP203" s="25">
        <f t="shared" si="9"/>
        <v>0</v>
      </c>
      <c r="AQ203" s="10"/>
    </row>
    <row r="204">
      <c r="A204" s="29" t="str">
        <f>'MASTER STOCK'!F201</f>
        <v>tutup pipa 3</v>
      </c>
      <c r="B204" s="30">
        <f>'MASTER STOCK'!G201</f>
        <v>4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23">
        <f t="shared" si="3"/>
        <v>0</v>
      </c>
      <c r="AI204" s="31">
        <f t="shared" si="4"/>
        <v>4</v>
      </c>
      <c r="AJ204" s="32">
        <f t="shared" si="5"/>
        <v>4</v>
      </c>
      <c r="AK204" s="32">
        <f t="shared" si="6"/>
        <v>0</v>
      </c>
      <c r="AL204" s="25">
        <f>'MASTER STOCK'!I201</f>
        <v>8500</v>
      </c>
      <c r="AM204" s="27">
        <f>'MASTER STOCK'!L201</f>
        <v>8500</v>
      </c>
      <c r="AN204" s="26">
        <f t="shared" si="7"/>
        <v>0</v>
      </c>
      <c r="AO204" s="27">
        <f t="shared" si="8"/>
        <v>0</v>
      </c>
      <c r="AP204" s="25">
        <f t="shared" si="9"/>
        <v>0</v>
      </c>
      <c r="AQ204" s="10"/>
    </row>
    <row r="205">
      <c r="A205" s="29" t="str">
        <f>'MASTER STOCK'!F202</f>
        <v>tutup pipa 4</v>
      </c>
      <c r="B205" s="30">
        <f>'MASTER STOCK'!G202</f>
        <v>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23">
        <f t="shared" si="3"/>
        <v>0</v>
      </c>
      <c r="AI205" s="31">
        <f t="shared" si="4"/>
        <v>1</v>
      </c>
      <c r="AJ205" s="32">
        <f t="shared" si="5"/>
        <v>1</v>
      </c>
      <c r="AK205" s="32">
        <f t="shared" si="6"/>
        <v>0</v>
      </c>
      <c r="AL205" s="25">
        <f>'MASTER STOCK'!I202</f>
        <v>9500</v>
      </c>
      <c r="AM205" s="27">
        <f>'MASTER STOCK'!L202</f>
        <v>9500</v>
      </c>
      <c r="AN205" s="26">
        <f t="shared" si="7"/>
        <v>0</v>
      </c>
      <c r="AO205" s="27">
        <f t="shared" si="8"/>
        <v>0</v>
      </c>
      <c r="AP205" s="25">
        <f t="shared" si="9"/>
        <v>0</v>
      </c>
      <c r="AQ205" s="10"/>
    </row>
    <row r="206">
      <c r="A206" s="29" t="str">
        <f>'MASTER STOCK'!F203</f>
        <v>tutup pipa 2 1/2</v>
      </c>
      <c r="B206" s="30">
        <f>'MASTER STOCK'!G203</f>
        <v>2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23">
        <f t="shared" si="3"/>
        <v>0</v>
      </c>
      <c r="AI206" s="31">
        <f t="shared" si="4"/>
        <v>2</v>
      </c>
      <c r="AJ206" s="32">
        <f t="shared" si="5"/>
        <v>2</v>
      </c>
      <c r="AK206" s="32">
        <f t="shared" si="6"/>
        <v>0</v>
      </c>
      <c r="AL206" s="25">
        <f>'MASTER STOCK'!I203</f>
        <v>6500</v>
      </c>
      <c r="AM206" s="27">
        <f>'MASTER STOCK'!L203</f>
        <v>6500</v>
      </c>
      <c r="AN206" s="26">
        <f t="shared" si="7"/>
        <v>0</v>
      </c>
      <c r="AO206" s="27">
        <f t="shared" si="8"/>
        <v>0</v>
      </c>
      <c r="AP206" s="25">
        <f t="shared" si="9"/>
        <v>0</v>
      </c>
      <c r="AQ206" s="10"/>
    </row>
    <row r="207">
      <c r="A207" s="29" t="str">
        <f>'MASTER STOCK'!F204</f>
        <v>tutup pipa 2</v>
      </c>
      <c r="B207" s="30">
        <f>'MASTER STOCK'!G204</f>
        <v>2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23">
        <f t="shared" si="3"/>
        <v>0</v>
      </c>
      <c r="AI207" s="31">
        <f t="shared" si="4"/>
        <v>2</v>
      </c>
      <c r="AJ207" s="32">
        <f t="shared" si="5"/>
        <v>2</v>
      </c>
      <c r="AK207" s="32">
        <f t="shared" si="6"/>
        <v>0</v>
      </c>
      <c r="AL207" s="25">
        <f>'MASTER STOCK'!I204</f>
        <v>6000</v>
      </c>
      <c r="AM207" s="27">
        <f>'MASTER STOCK'!L204</f>
        <v>6000</v>
      </c>
      <c r="AN207" s="26">
        <f t="shared" si="7"/>
        <v>0</v>
      </c>
      <c r="AO207" s="27">
        <f t="shared" si="8"/>
        <v>0</v>
      </c>
      <c r="AP207" s="25">
        <f t="shared" si="9"/>
        <v>0</v>
      </c>
      <c r="AQ207" s="10"/>
    </row>
    <row r="208">
      <c r="A208" s="29" t="str">
        <f>'MASTER STOCK'!F205</f>
        <v>pipa 1/2</v>
      </c>
      <c r="B208" s="30">
        <f>'MASTER STOCK'!G205</f>
        <v>3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23">
        <f t="shared" si="3"/>
        <v>0</v>
      </c>
      <c r="AI208" s="31">
        <f t="shared" si="4"/>
        <v>3</v>
      </c>
      <c r="AJ208" s="32">
        <f t="shared" si="5"/>
        <v>3</v>
      </c>
      <c r="AK208" s="32">
        <f t="shared" si="6"/>
        <v>0</v>
      </c>
      <c r="AL208" s="25">
        <f>'MASTER STOCK'!I205</f>
        <v>2500</v>
      </c>
      <c r="AM208" s="27">
        <f>'MASTER STOCK'!L205</f>
        <v>2500</v>
      </c>
      <c r="AN208" s="26">
        <f t="shared" si="7"/>
        <v>0</v>
      </c>
      <c r="AO208" s="27">
        <f t="shared" si="8"/>
        <v>0</v>
      </c>
      <c r="AP208" s="25">
        <f t="shared" si="9"/>
        <v>0</v>
      </c>
      <c r="AQ208" s="10"/>
    </row>
    <row r="209">
      <c r="A209" s="29" t="str">
        <f>'MASTER STOCK'!F206</f>
        <v>pipa 3/4</v>
      </c>
      <c r="B209" s="30">
        <f>'MASTER STOCK'!G206</f>
        <v>6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23">
        <f t="shared" si="3"/>
        <v>0</v>
      </c>
      <c r="AI209" s="31">
        <f t="shared" si="4"/>
        <v>6</v>
      </c>
      <c r="AJ209" s="32">
        <f t="shared" si="5"/>
        <v>6</v>
      </c>
      <c r="AK209" s="32">
        <f t="shared" si="6"/>
        <v>0</v>
      </c>
      <c r="AL209" s="25">
        <f>'MASTER STOCK'!I206</f>
        <v>27500</v>
      </c>
      <c r="AM209" s="27">
        <f>'MASTER STOCK'!L206</f>
        <v>27500</v>
      </c>
      <c r="AN209" s="26">
        <f t="shared" si="7"/>
        <v>0</v>
      </c>
      <c r="AO209" s="27">
        <f t="shared" si="8"/>
        <v>0</v>
      </c>
      <c r="AP209" s="25">
        <f t="shared" si="9"/>
        <v>0</v>
      </c>
      <c r="AQ209" s="10"/>
    </row>
    <row r="210">
      <c r="A210" s="29" t="str">
        <f>'MASTER STOCK'!F207</f>
        <v>pipa 5/8</v>
      </c>
      <c r="B210" s="30">
        <f>'MASTER STOCK'!G207</f>
        <v>4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23">
        <f t="shared" si="3"/>
        <v>0</v>
      </c>
      <c r="AI210" s="31">
        <f t="shared" si="4"/>
        <v>4</v>
      </c>
      <c r="AJ210" s="32">
        <f t="shared" si="5"/>
        <v>4</v>
      </c>
      <c r="AK210" s="32">
        <f t="shared" si="6"/>
        <v>0</v>
      </c>
      <c r="AL210" s="25">
        <f>'MASTER STOCK'!I207</f>
        <v>0</v>
      </c>
      <c r="AM210" s="27">
        <f>'MASTER STOCK'!L207</f>
        <v>0</v>
      </c>
      <c r="AN210" s="26">
        <f t="shared" si="7"/>
        <v>0</v>
      </c>
      <c r="AO210" s="27">
        <f t="shared" si="8"/>
        <v>0</v>
      </c>
      <c r="AP210" s="25">
        <f t="shared" si="9"/>
        <v>0</v>
      </c>
      <c r="AQ210" s="10"/>
    </row>
    <row r="211">
      <c r="A211" s="29" t="str">
        <f>'MASTER STOCK'!F208</f>
        <v>pipa 1 aw</v>
      </c>
      <c r="B211" s="30">
        <f>'MASTER STOCK'!G208</f>
        <v>3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23">
        <f t="shared" si="3"/>
        <v>0</v>
      </c>
      <c r="AI211" s="31">
        <f t="shared" si="4"/>
        <v>3</v>
      </c>
      <c r="AJ211" s="32">
        <f t="shared" si="5"/>
        <v>3</v>
      </c>
      <c r="AK211" s="32">
        <f t="shared" si="6"/>
        <v>0</v>
      </c>
      <c r="AL211" s="25">
        <f>'MASTER STOCK'!I208</f>
        <v>38000</v>
      </c>
      <c r="AM211" s="27">
        <f>'MASTER STOCK'!L208</f>
        <v>38000</v>
      </c>
      <c r="AN211" s="26">
        <f t="shared" si="7"/>
        <v>0</v>
      </c>
      <c r="AO211" s="27">
        <f t="shared" si="8"/>
        <v>0</v>
      </c>
      <c r="AP211" s="25">
        <f t="shared" si="9"/>
        <v>0</v>
      </c>
      <c r="AQ211" s="10"/>
    </row>
    <row r="212">
      <c r="A212" s="29" t="str">
        <f>'MASTER STOCK'!F209</f>
        <v>pipa bluefin 1 1/2</v>
      </c>
      <c r="B212" s="30">
        <f>'MASTER STOCK'!G209</f>
        <v>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23">
        <f t="shared" si="3"/>
        <v>0</v>
      </c>
      <c r="AI212" s="31">
        <f t="shared" si="4"/>
        <v>1</v>
      </c>
      <c r="AJ212" s="32">
        <f t="shared" si="5"/>
        <v>1</v>
      </c>
      <c r="AK212" s="32">
        <f t="shared" si="6"/>
        <v>0</v>
      </c>
      <c r="AL212" s="25">
        <f>'MASTER STOCK'!I209</f>
        <v>35000</v>
      </c>
      <c r="AM212" s="27">
        <f>'MASTER STOCK'!L209</f>
        <v>35000</v>
      </c>
      <c r="AN212" s="26">
        <f t="shared" si="7"/>
        <v>0</v>
      </c>
      <c r="AO212" s="27">
        <f t="shared" si="8"/>
        <v>0</v>
      </c>
      <c r="AP212" s="25">
        <f t="shared" si="9"/>
        <v>0</v>
      </c>
      <c r="AQ212" s="10"/>
    </row>
    <row r="213">
      <c r="A213" s="29" t="str">
        <f>'MASTER STOCK'!F210</f>
        <v>pipa quinlon 1 1/2</v>
      </c>
      <c r="B213" s="30">
        <f>'MASTER STOCK'!G210</f>
        <v>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23">
        <f t="shared" si="3"/>
        <v>0</v>
      </c>
      <c r="AI213" s="31">
        <f t="shared" si="4"/>
        <v>1</v>
      </c>
      <c r="AJ213" s="32">
        <f t="shared" si="5"/>
        <v>1</v>
      </c>
      <c r="AK213" s="32">
        <f t="shared" si="6"/>
        <v>0</v>
      </c>
      <c r="AL213" s="25">
        <f>'MASTER STOCK'!I210</f>
        <v>32000</v>
      </c>
      <c r="AM213" s="27">
        <f>'MASTER STOCK'!L210</f>
        <v>32000</v>
      </c>
      <c r="AN213" s="26">
        <f t="shared" si="7"/>
        <v>0</v>
      </c>
      <c r="AO213" s="27">
        <f t="shared" si="8"/>
        <v>0</v>
      </c>
      <c r="AP213" s="25">
        <f t="shared" si="9"/>
        <v>0</v>
      </c>
      <c r="AQ213" s="10"/>
    </row>
    <row r="214">
      <c r="A214" s="29" t="str">
        <f>'MASTER STOCK'!F211</f>
        <v>pipa bluefin 2 dim c</v>
      </c>
      <c r="B214" s="30">
        <f>'MASTER STOCK'!G211</f>
        <v>6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23">
        <f t="shared" si="3"/>
        <v>0</v>
      </c>
      <c r="AI214" s="31">
        <f t="shared" si="4"/>
        <v>6</v>
      </c>
      <c r="AJ214" s="32">
        <f t="shared" si="5"/>
        <v>6</v>
      </c>
      <c r="AK214" s="32">
        <f t="shared" si="6"/>
        <v>0</v>
      </c>
      <c r="AL214" s="25">
        <f>'MASTER STOCK'!I211</f>
        <v>41000</v>
      </c>
      <c r="AM214" s="27">
        <f>'MASTER STOCK'!L211</f>
        <v>41000</v>
      </c>
      <c r="AN214" s="26">
        <f t="shared" si="7"/>
        <v>0</v>
      </c>
      <c r="AO214" s="27">
        <f t="shared" si="8"/>
        <v>0</v>
      </c>
      <c r="AP214" s="25">
        <f t="shared" si="9"/>
        <v>0</v>
      </c>
      <c r="AQ214" s="10"/>
    </row>
    <row r="215">
      <c r="A215" s="29" t="str">
        <f>'MASTER STOCK'!F212</f>
        <v>pipa bluefin 2 dim d</v>
      </c>
      <c r="B215" s="30">
        <f>'MASTER STOCK'!G212</f>
        <v>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23">
        <f t="shared" si="3"/>
        <v>0</v>
      </c>
      <c r="AI215" s="31">
        <f t="shared" si="4"/>
        <v>1</v>
      </c>
      <c r="AJ215" s="32">
        <f t="shared" si="5"/>
        <v>1</v>
      </c>
      <c r="AK215" s="32">
        <f t="shared" si="6"/>
        <v>0</v>
      </c>
      <c r="AL215" s="25">
        <f>'MASTER STOCK'!I212</f>
        <v>46000</v>
      </c>
      <c r="AM215" s="27">
        <f>'MASTER STOCK'!L212</f>
        <v>46000</v>
      </c>
      <c r="AN215" s="26">
        <f t="shared" si="7"/>
        <v>0</v>
      </c>
      <c r="AO215" s="27">
        <f t="shared" si="8"/>
        <v>0</v>
      </c>
      <c r="AP215" s="25">
        <f t="shared" si="9"/>
        <v>0</v>
      </c>
      <c r="AQ215" s="10"/>
    </row>
    <row r="216">
      <c r="A216" s="29" t="str">
        <f>'MASTER STOCK'!F213</f>
        <v>pipa interniti 2 dim</v>
      </c>
      <c r="B216" s="30">
        <f>'MASTER STOCK'!G213</f>
        <v>7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23">
        <f t="shared" si="3"/>
        <v>0</v>
      </c>
      <c r="AI216" s="31">
        <f t="shared" si="4"/>
        <v>7</v>
      </c>
      <c r="AJ216" s="32">
        <f t="shared" si="5"/>
        <v>7</v>
      </c>
      <c r="AK216" s="32">
        <f t="shared" si="6"/>
        <v>0</v>
      </c>
      <c r="AL216" s="25">
        <f>'MASTER STOCK'!I213</f>
        <v>42000</v>
      </c>
      <c r="AM216" s="27">
        <f>'MASTER STOCK'!L213</f>
        <v>42000</v>
      </c>
      <c r="AN216" s="26">
        <f t="shared" si="7"/>
        <v>0</v>
      </c>
      <c r="AO216" s="27">
        <f t="shared" si="8"/>
        <v>0</v>
      </c>
      <c r="AP216" s="25">
        <f t="shared" si="9"/>
        <v>0</v>
      </c>
      <c r="AQ216" s="10"/>
    </row>
    <row r="217">
      <c r="A217" s="29" t="str">
        <f>'MASTER STOCK'!F214</f>
        <v>pipa bluefin 2 1/2 dim c</v>
      </c>
      <c r="B217" s="30">
        <f>'MASTER STOCK'!G214</f>
        <v>2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23">
        <f t="shared" si="3"/>
        <v>0</v>
      </c>
      <c r="AI217" s="31">
        <f t="shared" si="4"/>
        <v>2</v>
      </c>
      <c r="AJ217" s="32">
        <f t="shared" si="5"/>
        <v>2</v>
      </c>
      <c r="AK217" s="32">
        <f t="shared" si="6"/>
        <v>0</v>
      </c>
      <c r="AL217" s="25">
        <f>'MASTER STOCK'!I214</f>
        <v>57500</v>
      </c>
      <c r="AM217" s="27">
        <f>'MASTER STOCK'!L214</f>
        <v>57500</v>
      </c>
      <c r="AN217" s="26">
        <f t="shared" si="7"/>
        <v>0</v>
      </c>
      <c r="AO217" s="27">
        <f t="shared" si="8"/>
        <v>0</v>
      </c>
      <c r="AP217" s="25">
        <f t="shared" si="9"/>
        <v>0</v>
      </c>
      <c r="AQ217" s="10"/>
    </row>
    <row r="218">
      <c r="A218" s="29" t="str">
        <f>'MASTER STOCK'!F215</f>
        <v>pipa quinlon 3 dim c</v>
      </c>
      <c r="B218" s="30">
        <f>'MASTER STOCK'!G215</f>
        <v>3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23">
        <f t="shared" si="3"/>
        <v>0</v>
      </c>
      <c r="AI218" s="31">
        <f t="shared" si="4"/>
        <v>3</v>
      </c>
      <c r="AJ218" s="32">
        <f t="shared" si="5"/>
        <v>3</v>
      </c>
      <c r="AK218" s="32">
        <f t="shared" si="6"/>
        <v>0</v>
      </c>
      <c r="AL218" s="25">
        <f>'MASTER STOCK'!I215</f>
        <v>53000</v>
      </c>
      <c r="AM218" s="27">
        <f>'MASTER STOCK'!L215</f>
        <v>53000</v>
      </c>
      <c r="AN218" s="26">
        <f t="shared" si="7"/>
        <v>0</v>
      </c>
      <c r="AO218" s="27">
        <f t="shared" si="8"/>
        <v>0</v>
      </c>
      <c r="AP218" s="25">
        <f t="shared" si="9"/>
        <v>0</v>
      </c>
      <c r="AQ218" s="10"/>
    </row>
    <row r="219">
      <c r="A219" s="29" t="str">
        <f>'MASTER STOCK'!F216</f>
        <v>pipa quinlon 3 dim d</v>
      </c>
      <c r="B219" s="30">
        <f>'MASTER STOCK'!G216</f>
        <v>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23">
        <f t="shared" si="3"/>
        <v>0</v>
      </c>
      <c r="AI219" s="31">
        <f t="shared" si="4"/>
        <v>1</v>
      </c>
      <c r="AJ219" s="32">
        <f t="shared" si="5"/>
        <v>1</v>
      </c>
      <c r="AK219" s="32">
        <f t="shared" si="6"/>
        <v>0</v>
      </c>
      <c r="AL219" s="25">
        <f>'MASTER STOCK'!I216</f>
        <v>78000</v>
      </c>
      <c r="AM219" s="27">
        <f>'MASTER STOCK'!L216</f>
        <v>78000</v>
      </c>
      <c r="AN219" s="26">
        <f t="shared" si="7"/>
        <v>0</v>
      </c>
      <c r="AO219" s="27">
        <f t="shared" si="8"/>
        <v>0</v>
      </c>
      <c r="AP219" s="25">
        <f t="shared" si="9"/>
        <v>0</v>
      </c>
      <c r="AQ219" s="10"/>
    </row>
    <row r="220">
      <c r="A220" s="29" t="str">
        <f>'MASTER STOCK'!F217</f>
        <v>asbes 180 x 1 m</v>
      </c>
      <c r="B220" s="30">
        <f>'MASTER STOCK'!G217</f>
        <v>2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23">
        <f t="shared" si="3"/>
        <v>0</v>
      </c>
      <c r="AI220" s="31">
        <f t="shared" si="4"/>
        <v>2</v>
      </c>
      <c r="AJ220" s="32">
        <f t="shared" si="5"/>
        <v>2</v>
      </c>
      <c r="AK220" s="32">
        <f t="shared" si="6"/>
        <v>0</v>
      </c>
      <c r="AL220" s="25">
        <f>'MASTER STOCK'!I217</f>
        <v>59000</v>
      </c>
      <c r="AM220" s="27">
        <f>'MASTER STOCK'!L217</f>
        <v>59000</v>
      </c>
      <c r="AN220" s="26">
        <f t="shared" si="7"/>
        <v>0</v>
      </c>
      <c r="AO220" s="27">
        <f t="shared" si="8"/>
        <v>0</v>
      </c>
      <c r="AP220" s="25">
        <f t="shared" si="9"/>
        <v>0</v>
      </c>
      <c r="AQ220" s="10"/>
    </row>
    <row r="221">
      <c r="A221" s="29" t="str">
        <f>'MASTER STOCK'!F218</f>
        <v>asbes 240 x 1 m</v>
      </c>
      <c r="B221" s="30">
        <f>'MASTER STOCK'!G218</f>
        <v>2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23">
        <f t="shared" si="3"/>
        <v>0</v>
      </c>
      <c r="AI221" s="31">
        <f t="shared" si="4"/>
        <v>2</v>
      </c>
      <c r="AJ221" s="32">
        <f t="shared" si="5"/>
        <v>2</v>
      </c>
      <c r="AK221" s="32">
        <f t="shared" si="6"/>
        <v>0</v>
      </c>
      <c r="AL221" s="25">
        <f>'MASTER STOCK'!I218</f>
        <v>72000</v>
      </c>
      <c r="AM221" s="27">
        <f>'MASTER STOCK'!L218</f>
        <v>72000</v>
      </c>
      <c r="AN221" s="26">
        <f t="shared" si="7"/>
        <v>0</v>
      </c>
      <c r="AO221" s="27">
        <f t="shared" si="8"/>
        <v>0</v>
      </c>
      <c r="AP221" s="25">
        <f t="shared" si="9"/>
        <v>0</v>
      </c>
      <c r="AQ221" s="10"/>
    </row>
    <row r="222">
      <c r="A222" s="29" t="str">
        <f>'MASTER STOCK'!F219</f>
        <v>fiber glass</v>
      </c>
      <c r="B222" s="30">
        <f>'MASTER STOCK'!G219</f>
        <v>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23">
        <f t="shared" si="3"/>
        <v>0</v>
      </c>
      <c r="AI222" s="31">
        <f t="shared" si="4"/>
        <v>1</v>
      </c>
      <c r="AJ222" s="32">
        <f t="shared" si="5"/>
        <v>1</v>
      </c>
      <c r="AK222" s="32">
        <f t="shared" si="6"/>
        <v>0</v>
      </c>
      <c r="AL222" s="25">
        <f>'MASTER STOCK'!I219</f>
        <v>150000</v>
      </c>
      <c r="AM222" s="27">
        <f>'MASTER STOCK'!L219</f>
        <v>150000</v>
      </c>
      <c r="AN222" s="26">
        <f t="shared" si="7"/>
        <v>0</v>
      </c>
      <c r="AO222" s="27">
        <f t="shared" si="8"/>
        <v>0</v>
      </c>
      <c r="AP222" s="25">
        <f t="shared" si="9"/>
        <v>0</v>
      </c>
      <c r="AQ222" s="10"/>
    </row>
    <row r="223">
      <c r="A223" s="29" t="str">
        <f>'MASTER STOCK'!F220</f>
        <v>kasiboard 2 m</v>
      </c>
      <c r="B223" s="30">
        <f>'MASTER STOCK'!G220</f>
        <v>2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23">
        <f t="shared" si="3"/>
        <v>0</v>
      </c>
      <c r="AI223" s="31">
        <f t="shared" si="4"/>
        <v>2</v>
      </c>
      <c r="AJ223" s="32">
        <f t="shared" si="5"/>
        <v>2</v>
      </c>
      <c r="AK223" s="32">
        <f t="shared" si="6"/>
        <v>0</v>
      </c>
      <c r="AL223" s="25">
        <f>'MASTER STOCK'!I220</f>
        <v>0</v>
      </c>
      <c r="AM223" s="27">
        <f>'MASTER STOCK'!L220</f>
        <v>0</v>
      </c>
      <c r="AN223" s="26">
        <f t="shared" si="7"/>
        <v>0</v>
      </c>
      <c r="AO223" s="27">
        <f t="shared" si="8"/>
        <v>0</v>
      </c>
      <c r="AP223" s="25">
        <f t="shared" si="9"/>
        <v>0</v>
      </c>
      <c r="AQ223" s="10"/>
    </row>
    <row r="224">
      <c r="A224" s="29" t="str">
        <f>'MASTER STOCK'!F221</f>
        <v>besi  p 10</v>
      </c>
      <c r="B224" s="30">
        <f>'MASTER STOCK'!G221</f>
        <v>4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23">
        <f t="shared" si="3"/>
        <v>0</v>
      </c>
      <c r="AI224" s="31">
        <f t="shared" si="4"/>
        <v>4</v>
      </c>
      <c r="AJ224" s="32">
        <f t="shared" si="5"/>
        <v>4</v>
      </c>
      <c r="AK224" s="32">
        <f t="shared" si="6"/>
        <v>0</v>
      </c>
      <c r="AL224" s="25">
        <f>'MASTER STOCK'!I221</f>
        <v>71000</v>
      </c>
      <c r="AM224" s="27">
        <f>'MASTER STOCK'!L221</f>
        <v>71000</v>
      </c>
      <c r="AN224" s="26">
        <f t="shared" si="7"/>
        <v>0</v>
      </c>
      <c r="AO224" s="27">
        <f t="shared" si="8"/>
        <v>0</v>
      </c>
      <c r="AP224" s="25">
        <f t="shared" si="9"/>
        <v>0</v>
      </c>
      <c r="AQ224" s="10"/>
    </row>
    <row r="225">
      <c r="A225" s="29" t="str">
        <f>'MASTER STOCK'!F222</f>
        <v>besi  8</v>
      </c>
      <c r="B225" s="30">
        <f>'MASTER STOCK'!G222</f>
        <v>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23">
        <f t="shared" si="3"/>
        <v>0</v>
      </c>
      <c r="AI225" s="31">
        <f t="shared" si="4"/>
        <v>1</v>
      </c>
      <c r="AJ225" s="32">
        <f t="shared" si="5"/>
        <v>1</v>
      </c>
      <c r="AK225" s="32">
        <f t="shared" si="6"/>
        <v>0</v>
      </c>
      <c r="AL225" s="25">
        <f>'MASTER STOCK'!I222</f>
        <v>43000</v>
      </c>
      <c r="AM225" s="27">
        <f>'MASTER STOCK'!L222</f>
        <v>43000</v>
      </c>
      <c r="AN225" s="26">
        <f t="shared" si="7"/>
        <v>0</v>
      </c>
      <c r="AO225" s="27">
        <f t="shared" si="8"/>
        <v>0</v>
      </c>
      <c r="AP225" s="25">
        <f t="shared" si="9"/>
        <v>0</v>
      </c>
      <c r="AQ225" s="10"/>
    </row>
    <row r="226">
      <c r="A226" s="29" t="str">
        <f>'MASTER STOCK'!F223</f>
        <v>talang seng gulung</v>
      </c>
      <c r="B226" s="30">
        <f>'MASTER STOCK'!G223</f>
        <v>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23">
        <f t="shared" si="3"/>
        <v>0</v>
      </c>
      <c r="AI226" s="31">
        <f t="shared" si="4"/>
        <v>1</v>
      </c>
      <c r="AJ226" s="32">
        <f t="shared" si="5"/>
        <v>1</v>
      </c>
      <c r="AK226" s="32">
        <f t="shared" si="6"/>
        <v>0</v>
      </c>
      <c r="AL226" s="25">
        <f>'MASTER STOCK'!I223</f>
        <v>19000</v>
      </c>
      <c r="AM226" s="27">
        <f>'MASTER STOCK'!L223</f>
        <v>19000</v>
      </c>
      <c r="AN226" s="26">
        <f t="shared" si="7"/>
        <v>0</v>
      </c>
      <c r="AO226" s="27">
        <f t="shared" si="8"/>
        <v>0</v>
      </c>
      <c r="AP226" s="25">
        <f t="shared" si="9"/>
        <v>0</v>
      </c>
      <c r="AQ226" s="10"/>
    </row>
    <row r="227">
      <c r="A227" s="29" t="str">
        <f>'MASTER STOCK'!F224</f>
        <v>galvalum</v>
      </c>
      <c r="B227" s="30">
        <f>'MASTER STOCK'!G224</f>
        <v>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23">
        <f t="shared" si="3"/>
        <v>0</v>
      </c>
      <c r="AI227" s="31">
        <f t="shared" si="4"/>
        <v>1</v>
      </c>
      <c r="AJ227" s="32">
        <f t="shared" si="5"/>
        <v>1</v>
      </c>
      <c r="AK227" s="32">
        <f t="shared" si="6"/>
        <v>0</v>
      </c>
      <c r="AL227" s="25">
        <f>'MASTER STOCK'!I224</f>
        <v>23000</v>
      </c>
      <c r="AM227" s="27">
        <f>'MASTER STOCK'!L224</f>
        <v>23000</v>
      </c>
      <c r="AN227" s="26">
        <f t="shared" si="7"/>
        <v>0</v>
      </c>
      <c r="AO227" s="27">
        <f t="shared" si="8"/>
        <v>0</v>
      </c>
      <c r="AP227" s="25">
        <f t="shared" si="9"/>
        <v>0</v>
      </c>
      <c r="AQ227" s="10"/>
    </row>
    <row r="228">
      <c r="A228" s="29" t="str">
        <f>'MASTER STOCK'!F225</f>
        <v>watermur 1/2</v>
      </c>
      <c r="B228" s="30">
        <f>'MASTER STOCK'!G225</f>
        <v>6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23">
        <f t="shared" si="3"/>
        <v>0</v>
      </c>
      <c r="AI228" s="31">
        <f t="shared" si="4"/>
        <v>6</v>
      </c>
      <c r="AJ228" s="32">
        <f t="shared" si="5"/>
        <v>6</v>
      </c>
      <c r="AK228" s="32">
        <f t="shared" si="6"/>
        <v>0</v>
      </c>
      <c r="AL228" s="25">
        <f>'MASTER STOCK'!I225</f>
        <v>5000</v>
      </c>
      <c r="AM228" s="27">
        <f>'MASTER STOCK'!L225</f>
        <v>5000</v>
      </c>
      <c r="AN228" s="26">
        <f t="shared" si="7"/>
        <v>0</v>
      </c>
      <c r="AO228" s="27">
        <f t="shared" si="8"/>
        <v>0</v>
      </c>
      <c r="AP228" s="25">
        <f t="shared" si="9"/>
        <v>0</v>
      </c>
      <c r="AQ228" s="10"/>
    </row>
    <row r="229">
      <c r="A229" s="29" t="str">
        <f>'MASTER STOCK'!F226</f>
        <v>loster besar kotak</v>
      </c>
      <c r="B229" s="30">
        <f>'MASTER STOCK'!G226</f>
        <v>13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23">
        <f t="shared" si="3"/>
        <v>0</v>
      </c>
      <c r="AI229" s="31">
        <f t="shared" si="4"/>
        <v>13</v>
      </c>
      <c r="AJ229" s="32">
        <f t="shared" si="5"/>
        <v>13</v>
      </c>
      <c r="AK229" s="32">
        <f t="shared" si="6"/>
        <v>0</v>
      </c>
      <c r="AL229" s="25">
        <f>'MASTER STOCK'!I226</f>
        <v>15500</v>
      </c>
      <c r="AM229" s="27">
        <f>'MASTER STOCK'!L226</f>
        <v>15500</v>
      </c>
      <c r="AN229" s="26">
        <f t="shared" si="7"/>
        <v>0</v>
      </c>
      <c r="AO229" s="27">
        <f t="shared" si="8"/>
        <v>0</v>
      </c>
      <c r="AP229" s="25">
        <f t="shared" si="9"/>
        <v>0</v>
      </c>
      <c r="AQ229" s="10"/>
    </row>
    <row r="230">
      <c r="A230" s="29" t="str">
        <f>'MASTER STOCK'!F227</f>
        <v>loster besar saringan</v>
      </c>
      <c r="B230" s="30">
        <f>'MASTER STOCK'!G227</f>
        <v>15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23">
        <f t="shared" si="3"/>
        <v>0</v>
      </c>
      <c r="AI230" s="31">
        <f t="shared" si="4"/>
        <v>15</v>
      </c>
      <c r="AJ230" s="32">
        <f t="shared" si="5"/>
        <v>15</v>
      </c>
      <c r="AK230" s="32">
        <f t="shared" si="6"/>
        <v>0</v>
      </c>
      <c r="AL230" s="25">
        <f>'MASTER STOCK'!I227</f>
        <v>17500</v>
      </c>
      <c r="AM230" s="27">
        <f>'MASTER STOCK'!L227</f>
        <v>17500</v>
      </c>
      <c r="AN230" s="26">
        <f t="shared" si="7"/>
        <v>0</v>
      </c>
      <c r="AO230" s="27">
        <f t="shared" si="8"/>
        <v>0</v>
      </c>
      <c r="AP230" s="25">
        <f t="shared" si="9"/>
        <v>0</v>
      </c>
      <c r="AQ230" s="10"/>
    </row>
    <row r="231">
      <c r="A231" s="29" t="str">
        <f>'MASTER STOCK'!F228</f>
        <v>lem rajawali</v>
      </c>
      <c r="B231" s="30">
        <f>'MASTER STOCK'!G228</f>
        <v>19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23">
        <f t="shared" si="3"/>
        <v>0</v>
      </c>
      <c r="AI231" s="31">
        <f t="shared" si="4"/>
        <v>19</v>
      </c>
      <c r="AJ231" s="32">
        <f t="shared" si="5"/>
        <v>19</v>
      </c>
      <c r="AK231" s="32">
        <f t="shared" si="6"/>
        <v>0</v>
      </c>
      <c r="AL231" s="25">
        <f>'MASTER STOCK'!I228</f>
        <v>19500</v>
      </c>
      <c r="AM231" s="27">
        <f>'MASTER STOCK'!L228</f>
        <v>21500</v>
      </c>
      <c r="AN231" s="26">
        <f t="shared" si="7"/>
        <v>0</v>
      </c>
      <c r="AO231" s="27">
        <f t="shared" si="8"/>
        <v>0</v>
      </c>
      <c r="AP231" s="25">
        <f t="shared" si="9"/>
        <v>0</v>
      </c>
      <c r="AQ231" s="10"/>
    </row>
    <row r="232">
      <c r="A232" s="29" t="str">
        <f>'MASTER STOCK'!F229</f>
        <v>pain roller nippon pain</v>
      </c>
      <c r="B232" s="30">
        <f>'MASTER STOCK'!G229</f>
        <v>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23">
        <f t="shared" si="3"/>
        <v>0</v>
      </c>
      <c r="AI232" s="31">
        <f t="shared" si="4"/>
        <v>1</v>
      </c>
      <c r="AJ232" s="32">
        <f t="shared" si="5"/>
        <v>1</v>
      </c>
      <c r="AK232" s="32">
        <f t="shared" si="6"/>
        <v>0</v>
      </c>
      <c r="AL232" s="25">
        <f>'MASTER STOCK'!I229</f>
        <v>30000</v>
      </c>
      <c r="AM232" s="27">
        <f>'MASTER STOCK'!L229</f>
        <v>30000</v>
      </c>
      <c r="AN232" s="26">
        <f t="shared" si="7"/>
        <v>0</v>
      </c>
      <c r="AO232" s="27">
        <f t="shared" si="8"/>
        <v>0</v>
      </c>
      <c r="AP232" s="25">
        <f t="shared" si="9"/>
        <v>0</v>
      </c>
      <c r="AQ232" s="10"/>
    </row>
    <row r="233">
      <c r="A233" s="29" t="str">
        <f>'MASTER STOCK'!F230</f>
        <v>pain roller index </v>
      </c>
      <c r="B233" s="30">
        <f>'MASTER STOCK'!G230</f>
        <v>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23">
        <f t="shared" si="3"/>
        <v>0</v>
      </c>
      <c r="AI233" s="31">
        <f t="shared" si="4"/>
        <v>1</v>
      </c>
      <c r="AJ233" s="32">
        <f t="shared" si="5"/>
        <v>1</v>
      </c>
      <c r="AK233" s="32">
        <f t="shared" si="6"/>
        <v>0</v>
      </c>
      <c r="AL233" s="25">
        <f>'MASTER STOCK'!I230</f>
        <v>25000</v>
      </c>
      <c r="AM233" s="27">
        <f>'MASTER STOCK'!L230</f>
        <v>25000</v>
      </c>
      <c r="AN233" s="26">
        <f t="shared" si="7"/>
        <v>0</v>
      </c>
      <c r="AO233" s="27">
        <f t="shared" si="8"/>
        <v>0</v>
      </c>
      <c r="AP233" s="25">
        <f t="shared" si="9"/>
        <v>0</v>
      </c>
      <c r="AQ233" s="10"/>
    </row>
    <row r="234">
      <c r="A234" s="29" t="str">
        <f>'MASTER STOCK'!F231</f>
        <v>timba</v>
      </c>
      <c r="B234" s="30">
        <f>'MASTER STOCK'!G231</f>
        <v>8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23">
        <f t="shared" si="3"/>
        <v>0</v>
      </c>
      <c r="AI234" s="31">
        <f t="shared" si="4"/>
        <v>8</v>
      </c>
      <c r="AJ234" s="32">
        <f t="shared" si="5"/>
        <v>8</v>
      </c>
      <c r="AK234" s="32">
        <f t="shared" si="6"/>
        <v>0</v>
      </c>
      <c r="AL234" s="25">
        <f>'MASTER STOCK'!I231</f>
        <v>10000</v>
      </c>
      <c r="AM234" s="27">
        <f>'MASTER STOCK'!L231</f>
        <v>10000</v>
      </c>
      <c r="AN234" s="26">
        <f t="shared" si="7"/>
        <v>0</v>
      </c>
      <c r="AO234" s="27">
        <f t="shared" si="8"/>
        <v>0</v>
      </c>
      <c r="AP234" s="25">
        <f t="shared" si="9"/>
        <v>0</v>
      </c>
      <c r="AQ234" s="10"/>
    </row>
    <row r="235">
      <c r="A235" s="29" t="str">
        <f>'MASTER STOCK'!F232</f>
        <v>paku 5</v>
      </c>
      <c r="B235" s="30">
        <f>'MASTER STOCK'!G232</f>
        <v>0.4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23">
        <f t="shared" si="3"/>
        <v>0</v>
      </c>
      <c r="AI235" s="31">
        <f t="shared" si="4"/>
        <v>0.4</v>
      </c>
      <c r="AJ235" s="32">
        <f t="shared" si="5"/>
        <v>0.4</v>
      </c>
      <c r="AK235" s="32">
        <f t="shared" si="6"/>
        <v>0</v>
      </c>
      <c r="AL235" s="25">
        <f>'MASTER STOCK'!I232</f>
        <v>26000</v>
      </c>
      <c r="AM235" s="27">
        <f>'MASTER STOCK'!L232</f>
        <v>26000</v>
      </c>
      <c r="AN235" s="26">
        <f t="shared" si="7"/>
        <v>0</v>
      </c>
      <c r="AO235" s="27">
        <f t="shared" si="8"/>
        <v>0</v>
      </c>
      <c r="AP235" s="25">
        <f t="shared" si="9"/>
        <v>0</v>
      </c>
      <c r="AQ235" s="10"/>
    </row>
    <row r="236">
      <c r="A236" s="29" t="str">
        <f>'MASTER STOCK'!F233</f>
        <v>paku 3 1/2</v>
      </c>
      <c r="B236" s="30">
        <f>'MASTER STOCK'!G233</f>
        <v>5.5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23">
        <f t="shared" si="3"/>
        <v>0</v>
      </c>
      <c r="AI236" s="31">
        <f t="shared" si="4"/>
        <v>5.5</v>
      </c>
      <c r="AJ236" s="32">
        <f t="shared" si="5"/>
        <v>5.5</v>
      </c>
      <c r="AK236" s="32">
        <f t="shared" si="6"/>
        <v>0</v>
      </c>
      <c r="AL236" s="25">
        <f>'MASTER STOCK'!I233</f>
        <v>24000</v>
      </c>
      <c r="AM236" s="27">
        <f>'MASTER STOCK'!L233</f>
        <v>24000</v>
      </c>
      <c r="AN236" s="26">
        <f t="shared" si="7"/>
        <v>0</v>
      </c>
      <c r="AO236" s="27">
        <f t="shared" si="8"/>
        <v>0</v>
      </c>
      <c r="AP236" s="25">
        <f t="shared" si="9"/>
        <v>0</v>
      </c>
      <c r="AQ236" s="10"/>
    </row>
    <row r="237">
      <c r="A237" s="29" t="str">
        <f>'MASTER STOCK'!F234</f>
        <v>geraji</v>
      </c>
      <c r="B237" s="30">
        <f>'MASTER STOCK'!G234</f>
        <v>8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23">
        <f t="shared" si="3"/>
        <v>0</v>
      </c>
      <c r="AI237" s="31">
        <f t="shared" si="4"/>
        <v>8</v>
      </c>
      <c r="AJ237" s="32">
        <f t="shared" si="5"/>
        <v>8</v>
      </c>
      <c r="AK237" s="32">
        <f t="shared" si="6"/>
        <v>0</v>
      </c>
      <c r="AL237" s="25">
        <f>'MASTER STOCK'!I234</f>
        <v>30000</v>
      </c>
      <c r="AM237" s="27">
        <f>'MASTER STOCK'!L234</f>
        <v>30000</v>
      </c>
      <c r="AN237" s="26">
        <f t="shared" si="7"/>
        <v>0</v>
      </c>
      <c r="AO237" s="27">
        <f t="shared" si="8"/>
        <v>0</v>
      </c>
      <c r="AP237" s="25">
        <f t="shared" si="9"/>
        <v>0</v>
      </c>
      <c r="AQ237" s="10"/>
    </row>
    <row r="238">
      <c r="A238" s="29" t="str">
        <f>'MASTER STOCK'!F235</f>
        <v>cutter</v>
      </c>
      <c r="B238" s="30">
        <f>'MASTER STOCK'!G235</f>
        <v>10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23">
        <f t="shared" si="3"/>
        <v>0</v>
      </c>
      <c r="AI238" s="31">
        <f t="shared" si="4"/>
        <v>10</v>
      </c>
      <c r="AJ238" s="32">
        <f t="shared" si="5"/>
        <v>10</v>
      </c>
      <c r="AK238" s="32">
        <f t="shared" si="6"/>
        <v>0</v>
      </c>
      <c r="AL238" s="25">
        <f>'MASTER STOCK'!I235</f>
        <v>3000</v>
      </c>
      <c r="AM238" s="27">
        <f>'MASTER STOCK'!L235</f>
        <v>3000</v>
      </c>
      <c r="AN238" s="26">
        <f t="shared" si="7"/>
        <v>0</v>
      </c>
      <c r="AO238" s="27">
        <f t="shared" si="8"/>
        <v>0</v>
      </c>
      <c r="AP238" s="25">
        <f t="shared" si="9"/>
        <v>0</v>
      </c>
      <c r="AQ238" s="10"/>
    </row>
    <row r="239">
      <c r="A239" s="29" t="str">
        <f>'MASTER STOCK'!F236</f>
        <v>cutter joyko</v>
      </c>
      <c r="B239" s="30">
        <f>'MASTER STOCK'!G236</f>
        <v>3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23">
        <f t="shared" si="3"/>
        <v>0</v>
      </c>
      <c r="AI239" s="31">
        <f t="shared" si="4"/>
        <v>3</v>
      </c>
      <c r="AJ239" s="32">
        <f t="shared" si="5"/>
        <v>3</v>
      </c>
      <c r="AK239" s="32">
        <f t="shared" si="6"/>
        <v>0</v>
      </c>
      <c r="AL239" s="25">
        <f>'MASTER STOCK'!I236</f>
        <v>5000</v>
      </c>
      <c r="AM239" s="27">
        <f>'MASTER STOCK'!L236</f>
        <v>5000</v>
      </c>
      <c r="AN239" s="26">
        <f t="shared" si="7"/>
        <v>0</v>
      </c>
      <c r="AO239" s="27">
        <f t="shared" si="8"/>
        <v>0</v>
      </c>
      <c r="AP239" s="25">
        <f t="shared" si="9"/>
        <v>0</v>
      </c>
      <c r="AQ239" s="10"/>
    </row>
    <row r="240">
      <c r="A240" s="29" t="str">
        <f>'MASTER STOCK'!F237</f>
        <v>tang</v>
      </c>
      <c r="B240" s="30">
        <f>'MASTER STOCK'!G237</f>
        <v>2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23">
        <f t="shared" si="3"/>
        <v>0</v>
      </c>
      <c r="AI240" s="31">
        <f t="shared" si="4"/>
        <v>2</v>
      </c>
      <c r="AJ240" s="32">
        <f t="shared" si="5"/>
        <v>2</v>
      </c>
      <c r="AK240" s="32">
        <f t="shared" si="6"/>
        <v>0</v>
      </c>
      <c r="AL240" s="25">
        <f>'MASTER STOCK'!I237</f>
        <v>29500</v>
      </c>
      <c r="AM240" s="27">
        <f>'MASTER STOCK'!L237</f>
        <v>29500</v>
      </c>
      <c r="AN240" s="26">
        <f t="shared" si="7"/>
        <v>0</v>
      </c>
      <c r="AO240" s="27">
        <f t="shared" si="8"/>
        <v>0</v>
      </c>
      <c r="AP240" s="25">
        <f t="shared" si="9"/>
        <v>0</v>
      </c>
      <c r="AQ240" s="10"/>
    </row>
    <row r="241">
      <c r="A241" s="29" t="str">
        <f>'MASTER STOCK'!F238</f>
        <v>sarung tangan karet</v>
      </c>
      <c r="B241" s="30">
        <f>'MASTER STOCK'!G238</f>
        <v>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23">
        <f t="shared" si="3"/>
        <v>0</v>
      </c>
      <c r="AI241" s="31">
        <f t="shared" si="4"/>
        <v>1</v>
      </c>
      <c r="AJ241" s="32">
        <f t="shared" si="5"/>
        <v>1</v>
      </c>
      <c r="AK241" s="32">
        <f t="shared" si="6"/>
        <v>0</v>
      </c>
      <c r="AL241" s="25">
        <f>'MASTER STOCK'!I238</f>
        <v>1600</v>
      </c>
      <c r="AM241" s="27">
        <f>'MASTER STOCK'!L238</f>
        <v>1600</v>
      </c>
      <c r="AN241" s="26">
        <f t="shared" si="7"/>
        <v>0</v>
      </c>
      <c r="AO241" s="27">
        <f t="shared" si="8"/>
        <v>0</v>
      </c>
      <c r="AP241" s="25">
        <f t="shared" si="9"/>
        <v>0</v>
      </c>
      <c r="AQ241" s="10"/>
    </row>
    <row r="242">
      <c r="A242" s="29" t="str">
        <f>'MASTER STOCK'!F239</f>
        <v>batrai panasonic 1,5 volt AAA</v>
      </c>
      <c r="B242" s="30">
        <f>'MASTER STOCK'!G239</f>
        <v>4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23">
        <f t="shared" si="3"/>
        <v>0</v>
      </c>
      <c r="AI242" s="31">
        <f t="shared" si="4"/>
        <v>4</v>
      </c>
      <c r="AJ242" s="32">
        <f t="shared" si="5"/>
        <v>4</v>
      </c>
      <c r="AK242" s="32">
        <f t="shared" si="6"/>
        <v>0</v>
      </c>
      <c r="AL242" s="25">
        <f>'MASTER STOCK'!I239</f>
        <v>4500</v>
      </c>
      <c r="AM242" s="27">
        <f>'MASTER STOCK'!L239</f>
        <v>3000</v>
      </c>
      <c r="AN242" s="26">
        <f t="shared" si="7"/>
        <v>0</v>
      </c>
      <c r="AO242" s="27">
        <f t="shared" si="8"/>
        <v>0</v>
      </c>
      <c r="AP242" s="25">
        <f t="shared" si="9"/>
        <v>0</v>
      </c>
      <c r="AQ242" s="10"/>
    </row>
    <row r="243">
      <c r="A243" s="29" t="str">
        <f>'MASTER STOCK'!F240</f>
        <v>penggaris siku</v>
      </c>
      <c r="B243" s="30">
        <f>'MASTER STOCK'!G240</f>
        <v>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23">
        <f t="shared" si="3"/>
        <v>0</v>
      </c>
      <c r="AI243" s="31">
        <f t="shared" si="4"/>
        <v>1</v>
      </c>
      <c r="AJ243" s="32">
        <f t="shared" si="5"/>
        <v>1</v>
      </c>
      <c r="AK243" s="32">
        <f t="shared" si="6"/>
        <v>0</v>
      </c>
      <c r="AL243" s="25">
        <f>'MASTER STOCK'!I240</f>
        <v>41500</v>
      </c>
      <c r="AM243" s="27">
        <f>'MASTER STOCK'!L240</f>
        <v>41500</v>
      </c>
      <c r="AN243" s="26">
        <f t="shared" si="7"/>
        <v>0</v>
      </c>
      <c r="AO243" s="27">
        <f t="shared" si="8"/>
        <v>0</v>
      </c>
      <c r="AP243" s="25">
        <f t="shared" si="9"/>
        <v>0</v>
      </c>
      <c r="AQ243" s="10"/>
    </row>
    <row r="244">
      <c r="A244" s="29" t="str">
        <f>'MASTER STOCK'!F241</f>
        <v>turbo cut 1,2 mm</v>
      </c>
      <c r="B244" s="30">
        <f>'MASTER STOCK'!G241</f>
        <v>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23">
        <f t="shared" si="3"/>
        <v>0</v>
      </c>
      <c r="AI244" s="31">
        <f t="shared" si="4"/>
        <v>1</v>
      </c>
      <c r="AJ244" s="32">
        <f t="shared" si="5"/>
        <v>1</v>
      </c>
      <c r="AK244" s="32">
        <f t="shared" si="6"/>
        <v>0</v>
      </c>
      <c r="AL244" s="25">
        <f>'MASTER STOCK'!I241</f>
        <v>35000</v>
      </c>
      <c r="AM244" s="27">
        <f>'MASTER STOCK'!L241</f>
        <v>35000</v>
      </c>
      <c r="AN244" s="26">
        <f t="shared" si="7"/>
        <v>0</v>
      </c>
      <c r="AO244" s="27">
        <f t="shared" si="8"/>
        <v>0</v>
      </c>
      <c r="AP244" s="25">
        <f t="shared" si="9"/>
        <v>0</v>
      </c>
      <c r="AQ244" s="10"/>
    </row>
    <row r="245">
      <c r="A245" s="29" t="str">
        <f>'MASTER STOCK'!F242</f>
        <v>diamond cutting well</v>
      </c>
      <c r="B245" s="30">
        <f>'MASTER STOCK'!G242</f>
        <v>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23">
        <f t="shared" si="3"/>
        <v>0</v>
      </c>
      <c r="AI245" s="31">
        <f t="shared" si="4"/>
        <v>1</v>
      </c>
      <c r="AJ245" s="32">
        <f t="shared" si="5"/>
        <v>1</v>
      </c>
      <c r="AK245" s="32">
        <f t="shared" si="6"/>
        <v>0</v>
      </c>
      <c r="AL245" s="25">
        <f>'MASTER STOCK'!I242</f>
        <v>35000</v>
      </c>
      <c r="AM245" s="27">
        <f>'MASTER STOCK'!L242</f>
        <v>35000</v>
      </c>
      <c r="AN245" s="26">
        <f t="shared" si="7"/>
        <v>0</v>
      </c>
      <c r="AO245" s="27">
        <f t="shared" si="8"/>
        <v>0</v>
      </c>
      <c r="AP245" s="25">
        <f t="shared" si="9"/>
        <v>0</v>
      </c>
      <c r="AQ245" s="10"/>
    </row>
    <row r="246">
      <c r="A246" s="29" t="str">
        <f>'MASTER STOCK'!F243</f>
        <v>paku 1 1/4</v>
      </c>
      <c r="B246" s="30">
        <f>'MASTER STOCK'!G243</f>
        <v>0.5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23">
        <f t="shared" si="3"/>
        <v>0</v>
      </c>
      <c r="AI246" s="31">
        <f t="shared" si="4"/>
        <v>0.5</v>
      </c>
      <c r="AJ246" s="32">
        <f t="shared" si="5"/>
        <v>0.5</v>
      </c>
      <c r="AK246" s="32">
        <f t="shared" si="6"/>
        <v>0</v>
      </c>
      <c r="AL246" s="25">
        <f>'MASTER STOCK'!I243</f>
        <v>25000</v>
      </c>
      <c r="AM246" s="27">
        <f>'MASTER STOCK'!L243</f>
        <v>25000</v>
      </c>
      <c r="AN246" s="26">
        <f t="shared" si="7"/>
        <v>0</v>
      </c>
      <c r="AO246" s="27">
        <f t="shared" si="8"/>
        <v>0</v>
      </c>
      <c r="AP246" s="25">
        <f t="shared" si="9"/>
        <v>0</v>
      </c>
      <c r="AQ246" s="10"/>
    </row>
    <row r="247">
      <c r="A247" s="29" t="str">
        <f>'MASTER STOCK'!F244</f>
        <v>siku  kecil</v>
      </c>
      <c r="B247" s="30">
        <f>'MASTER STOCK'!G244</f>
        <v>7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23">
        <f t="shared" si="3"/>
        <v>0</v>
      </c>
      <c r="AI247" s="31">
        <f t="shared" si="4"/>
        <v>7</v>
      </c>
      <c r="AJ247" s="32">
        <f t="shared" si="5"/>
        <v>7</v>
      </c>
      <c r="AK247" s="32">
        <f t="shared" si="6"/>
        <v>0</v>
      </c>
      <c r="AL247" s="25">
        <f>'MASTER STOCK'!I244</f>
        <v>7500</v>
      </c>
      <c r="AM247" s="27">
        <f>'MASTER STOCK'!L244</f>
        <v>7500</v>
      </c>
      <c r="AN247" s="26">
        <f t="shared" si="7"/>
        <v>0</v>
      </c>
      <c r="AO247" s="27">
        <f t="shared" si="8"/>
        <v>0</v>
      </c>
      <c r="AP247" s="25">
        <f t="shared" si="9"/>
        <v>0</v>
      </c>
      <c r="AQ247" s="10"/>
    </row>
    <row r="248">
      <c r="A248" s="29" t="str">
        <f>'MASTER STOCK'!F245</f>
        <v>paku 6</v>
      </c>
      <c r="B248" s="30">
        <f>'MASTER STOCK'!G245</f>
        <v>0.5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23">
        <f t="shared" si="3"/>
        <v>0</v>
      </c>
      <c r="AI248" s="31">
        <f t="shared" si="4"/>
        <v>0.5</v>
      </c>
      <c r="AJ248" s="32">
        <f t="shared" si="5"/>
        <v>0.5</v>
      </c>
      <c r="AK248" s="32">
        <f t="shared" si="6"/>
        <v>0</v>
      </c>
      <c r="AL248" s="25">
        <f>'MASTER STOCK'!I245</f>
        <v>26000</v>
      </c>
      <c r="AM248" s="27">
        <f>'MASTER STOCK'!L245</f>
        <v>26000</v>
      </c>
      <c r="AN248" s="26">
        <f t="shared" si="7"/>
        <v>0</v>
      </c>
      <c r="AO248" s="27">
        <f t="shared" si="8"/>
        <v>0</v>
      </c>
      <c r="AP248" s="25">
        <f t="shared" si="9"/>
        <v>0</v>
      </c>
      <c r="AQ248" s="10"/>
    </row>
    <row r="249">
      <c r="A249" s="29" t="str">
        <f>'MASTER STOCK'!F246</f>
        <v>paku 4</v>
      </c>
      <c r="B249" s="30">
        <f>'MASTER STOCK'!G246</f>
        <v>5.5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23">
        <f t="shared" si="3"/>
        <v>0</v>
      </c>
      <c r="AI249" s="31">
        <f t="shared" si="4"/>
        <v>5.5</v>
      </c>
      <c r="AJ249" s="32">
        <f t="shared" si="5"/>
        <v>5.5</v>
      </c>
      <c r="AK249" s="32">
        <f t="shared" si="6"/>
        <v>0</v>
      </c>
      <c r="AL249" s="25">
        <f>'MASTER STOCK'!I246</f>
        <v>2600</v>
      </c>
      <c r="AM249" s="27">
        <f>'MASTER STOCK'!L246</f>
        <v>2600</v>
      </c>
      <c r="AN249" s="26">
        <f t="shared" si="7"/>
        <v>0</v>
      </c>
      <c r="AO249" s="27">
        <f t="shared" si="8"/>
        <v>0</v>
      </c>
      <c r="AP249" s="25">
        <f t="shared" si="9"/>
        <v>0</v>
      </c>
      <c r="AQ249" s="10"/>
    </row>
    <row r="250">
      <c r="A250" s="29" t="str">
        <f>'MASTER STOCK'!F247</f>
        <v>kasutan /  trowel</v>
      </c>
      <c r="B250" s="30">
        <f>'MASTER STOCK'!G247</f>
        <v>4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23">
        <f t="shared" si="3"/>
        <v>0</v>
      </c>
      <c r="AI250" s="31">
        <f t="shared" si="4"/>
        <v>4</v>
      </c>
      <c r="AJ250" s="32">
        <f t="shared" si="5"/>
        <v>4</v>
      </c>
      <c r="AK250" s="32">
        <f t="shared" si="6"/>
        <v>0</v>
      </c>
      <c r="AL250" s="25">
        <f>'MASTER STOCK'!I247</f>
        <v>13500</v>
      </c>
      <c r="AM250" s="27">
        <f>'MASTER STOCK'!L247</f>
        <v>13500</v>
      </c>
      <c r="AN250" s="26">
        <f t="shared" si="7"/>
        <v>0</v>
      </c>
      <c r="AO250" s="27">
        <f t="shared" si="8"/>
        <v>0</v>
      </c>
      <c r="AP250" s="25">
        <f t="shared" si="9"/>
        <v>0</v>
      </c>
      <c r="AQ250" s="10"/>
    </row>
    <row r="251">
      <c r="A251" s="29" t="str">
        <f>'MASTER STOCK'!F248</f>
        <v>kapi 3 dim</v>
      </c>
      <c r="B251" s="30">
        <f>'MASTER STOCK'!G248</f>
        <v>2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23">
        <f t="shared" si="3"/>
        <v>0</v>
      </c>
      <c r="AI251" s="31">
        <f t="shared" si="4"/>
        <v>2</v>
      </c>
      <c r="AJ251" s="32">
        <f t="shared" si="5"/>
        <v>2</v>
      </c>
      <c r="AK251" s="32">
        <f t="shared" si="6"/>
        <v>0</v>
      </c>
      <c r="AL251" s="25">
        <f>'MASTER STOCK'!I248</f>
        <v>5500</v>
      </c>
      <c r="AM251" s="27">
        <f>'MASTER STOCK'!L248</f>
        <v>5500</v>
      </c>
      <c r="AN251" s="26">
        <f t="shared" si="7"/>
        <v>0</v>
      </c>
      <c r="AO251" s="27">
        <f t="shared" si="8"/>
        <v>0</v>
      </c>
      <c r="AP251" s="25">
        <f t="shared" si="9"/>
        <v>0</v>
      </c>
      <c r="AQ251" s="10"/>
    </row>
    <row r="252">
      <c r="A252" s="29" t="str">
        <f>'MASTER STOCK'!F249</f>
        <v>kapi 5 dim</v>
      </c>
      <c r="B252" s="30">
        <f>'MASTER STOCK'!G249</f>
        <v>3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23">
        <f t="shared" si="3"/>
        <v>0</v>
      </c>
      <c r="AI252" s="31">
        <f t="shared" si="4"/>
        <v>3</v>
      </c>
      <c r="AJ252" s="32">
        <f t="shared" si="5"/>
        <v>3</v>
      </c>
      <c r="AK252" s="32">
        <f t="shared" si="6"/>
        <v>0</v>
      </c>
      <c r="AL252" s="25">
        <f>'MASTER STOCK'!I249</f>
        <v>7500</v>
      </c>
      <c r="AM252" s="27">
        <f>'MASTER STOCK'!L249</f>
        <v>7500</v>
      </c>
      <c r="AN252" s="26">
        <f t="shared" si="7"/>
        <v>0</v>
      </c>
      <c r="AO252" s="27">
        <f t="shared" si="8"/>
        <v>0</v>
      </c>
      <c r="AP252" s="25">
        <f t="shared" si="9"/>
        <v>0</v>
      </c>
      <c r="AQ252" s="10"/>
    </row>
    <row r="253">
      <c r="A253" s="29" t="str">
        <f>'MASTER STOCK'!F250</f>
        <v>cetok sukun hitam</v>
      </c>
      <c r="B253" s="30">
        <f>'MASTER STOCK'!G250</f>
        <v>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23">
        <f t="shared" si="3"/>
        <v>0</v>
      </c>
      <c r="AI253" s="31">
        <f t="shared" si="4"/>
        <v>1</v>
      </c>
      <c r="AJ253" s="32">
        <f t="shared" si="5"/>
        <v>1</v>
      </c>
      <c r="AK253" s="32">
        <f t="shared" si="6"/>
        <v>0</v>
      </c>
      <c r="AL253" s="25">
        <f>'MASTER STOCK'!I250</f>
        <v>25000</v>
      </c>
      <c r="AM253" s="27">
        <f>'MASTER STOCK'!L250</f>
        <v>25000</v>
      </c>
      <c r="AN253" s="26">
        <f t="shared" si="7"/>
        <v>0</v>
      </c>
      <c r="AO253" s="27">
        <f t="shared" si="8"/>
        <v>0</v>
      </c>
      <c r="AP253" s="25">
        <f t="shared" si="9"/>
        <v>0</v>
      </c>
      <c r="AQ253" s="10"/>
    </row>
    <row r="254">
      <c r="A254" s="29" t="str">
        <f>'MASTER STOCK'!F251</f>
        <v>cetok sukun sedang</v>
      </c>
      <c r="B254" s="30">
        <f>'MASTER STOCK'!G251</f>
        <v>2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23">
        <f t="shared" si="3"/>
        <v>0</v>
      </c>
      <c r="AI254" s="31">
        <f t="shared" si="4"/>
        <v>2</v>
      </c>
      <c r="AJ254" s="32">
        <f t="shared" si="5"/>
        <v>2</v>
      </c>
      <c r="AK254" s="32">
        <f t="shared" si="6"/>
        <v>0</v>
      </c>
      <c r="AL254" s="25">
        <f>'MASTER STOCK'!I251</f>
        <v>17000</v>
      </c>
      <c r="AM254" s="27">
        <f>'MASTER STOCK'!L251</f>
        <v>17000</v>
      </c>
      <c r="AN254" s="26">
        <f t="shared" si="7"/>
        <v>0</v>
      </c>
      <c r="AO254" s="27">
        <f t="shared" si="8"/>
        <v>0</v>
      </c>
      <c r="AP254" s="25">
        <f t="shared" si="9"/>
        <v>0</v>
      </c>
      <c r="AQ254" s="10"/>
    </row>
    <row r="255">
      <c r="A255" s="29" t="str">
        <f>'MASTER STOCK'!F252</f>
        <v>cetak sukun kecil</v>
      </c>
      <c r="B255" s="30">
        <f>'MASTER STOCK'!G252</f>
        <v>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23">
        <f t="shared" si="3"/>
        <v>0</v>
      </c>
      <c r="AI255" s="31">
        <f t="shared" si="4"/>
        <v>1</v>
      </c>
      <c r="AJ255" s="32">
        <f t="shared" si="5"/>
        <v>1</v>
      </c>
      <c r="AK255" s="32">
        <f t="shared" si="6"/>
        <v>0</v>
      </c>
      <c r="AL255" s="25">
        <f>'MASTER STOCK'!I252</f>
        <v>14000</v>
      </c>
      <c r="AM255" s="27">
        <f>'MASTER STOCK'!L252</f>
        <v>14000</v>
      </c>
      <c r="AN255" s="26">
        <f t="shared" si="7"/>
        <v>0</v>
      </c>
      <c r="AO255" s="27">
        <f t="shared" si="8"/>
        <v>0</v>
      </c>
      <c r="AP255" s="25">
        <f t="shared" si="9"/>
        <v>0</v>
      </c>
      <c r="AQ255" s="10"/>
    </row>
    <row r="256">
      <c r="A256" s="29" t="str">
        <f>'MASTER STOCK'!F253</f>
        <v>paku payung</v>
      </c>
      <c r="B256" s="30">
        <f>'MASTER STOCK'!G253</f>
        <v>57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23">
        <f t="shared" si="3"/>
        <v>0</v>
      </c>
      <c r="AI256" s="31">
        <f t="shared" si="4"/>
        <v>57</v>
      </c>
      <c r="AJ256" s="32">
        <f t="shared" si="5"/>
        <v>57</v>
      </c>
      <c r="AK256" s="32">
        <f t="shared" si="6"/>
        <v>0</v>
      </c>
      <c r="AL256" s="25">
        <f>'MASTER STOCK'!I253</f>
        <v>25000</v>
      </c>
      <c r="AM256" s="27">
        <f>'MASTER STOCK'!L253</f>
        <v>25000</v>
      </c>
      <c r="AN256" s="26">
        <f t="shared" si="7"/>
        <v>0</v>
      </c>
      <c r="AO256" s="27">
        <f t="shared" si="8"/>
        <v>0</v>
      </c>
      <c r="AP256" s="25">
        <f t="shared" si="9"/>
        <v>0</v>
      </c>
      <c r="AQ256" s="10"/>
    </row>
    <row r="257">
      <c r="A257" s="29" t="str">
        <f>'MASTER STOCK'!F254</f>
        <v>pinnes</v>
      </c>
      <c r="B257" s="30">
        <f>'MASTER STOCK'!G254</f>
        <v>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23">
        <f t="shared" si="3"/>
        <v>0</v>
      </c>
      <c r="AI257" s="31">
        <f t="shared" si="4"/>
        <v>1</v>
      </c>
      <c r="AJ257" s="32">
        <f t="shared" si="5"/>
        <v>1</v>
      </c>
      <c r="AK257" s="32">
        <f t="shared" si="6"/>
        <v>0</v>
      </c>
      <c r="AL257" s="25">
        <f>'MASTER STOCK'!I254</f>
        <v>6000</v>
      </c>
      <c r="AM257" s="27">
        <f>'MASTER STOCK'!L254</f>
        <v>6000</v>
      </c>
      <c r="AN257" s="26">
        <f t="shared" si="7"/>
        <v>0</v>
      </c>
      <c r="AO257" s="27">
        <f t="shared" si="8"/>
        <v>0</v>
      </c>
      <c r="AP257" s="25">
        <f t="shared" si="9"/>
        <v>0</v>
      </c>
      <c r="AQ257" s="10"/>
    </row>
    <row r="258">
      <c r="A258" s="29" t="str">
        <f>'MASTER STOCK'!F255</f>
        <v>jaring kawat 1/2</v>
      </c>
      <c r="B258" s="30">
        <f>'MASTER STOCK'!G255</f>
        <v>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23">
        <f t="shared" si="3"/>
        <v>0</v>
      </c>
      <c r="AI258" s="31">
        <f t="shared" si="4"/>
        <v>1</v>
      </c>
      <c r="AJ258" s="32">
        <f t="shared" si="5"/>
        <v>1</v>
      </c>
      <c r="AK258" s="32">
        <f t="shared" si="6"/>
        <v>0</v>
      </c>
      <c r="AL258" s="25">
        <f>'MASTER STOCK'!I255</f>
        <v>14000</v>
      </c>
      <c r="AM258" s="27">
        <f>'MASTER STOCK'!L255</f>
        <v>14000</v>
      </c>
      <c r="AN258" s="26">
        <f t="shared" si="7"/>
        <v>0</v>
      </c>
      <c r="AO258" s="27">
        <f t="shared" si="8"/>
        <v>0</v>
      </c>
      <c r="AP258" s="25">
        <f t="shared" si="9"/>
        <v>0</v>
      </c>
      <c r="AQ258" s="10"/>
    </row>
    <row r="259">
      <c r="A259" s="29" t="str">
        <f>'MASTER STOCK'!F256</f>
        <v>jaring kawat 1/4</v>
      </c>
      <c r="B259" s="30">
        <f>'MASTER STOCK'!G256</f>
        <v>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23">
        <f t="shared" si="3"/>
        <v>0</v>
      </c>
      <c r="AI259" s="31">
        <f t="shared" si="4"/>
        <v>1</v>
      </c>
      <c r="AJ259" s="32">
        <f t="shared" si="5"/>
        <v>1</v>
      </c>
      <c r="AK259" s="32">
        <f t="shared" si="6"/>
        <v>0</v>
      </c>
      <c r="AL259" s="25">
        <f>'MASTER STOCK'!I256</f>
        <v>15000</v>
      </c>
      <c r="AM259" s="27">
        <f>'MASTER STOCK'!L256</f>
        <v>15000</v>
      </c>
      <c r="AN259" s="26">
        <f t="shared" si="7"/>
        <v>0</v>
      </c>
      <c r="AO259" s="27">
        <f t="shared" si="8"/>
        <v>0</v>
      </c>
      <c r="AP259" s="25">
        <f t="shared" si="9"/>
        <v>0</v>
      </c>
      <c r="AQ259" s="10"/>
    </row>
    <row r="260">
      <c r="A260" s="29" t="str">
        <f>'MASTER STOCK'!F257</f>
        <v>lampu kepala</v>
      </c>
      <c r="B260" s="30">
        <f>'MASTER STOCK'!G257</f>
        <v>4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23">
        <f t="shared" si="3"/>
        <v>0</v>
      </c>
      <c r="AI260" s="31">
        <f t="shared" si="4"/>
        <v>4</v>
      </c>
      <c r="AJ260" s="32">
        <f t="shared" si="5"/>
        <v>4</v>
      </c>
      <c r="AK260" s="32">
        <f t="shared" si="6"/>
        <v>0</v>
      </c>
      <c r="AL260" s="25">
        <f>'MASTER STOCK'!I257</f>
        <v>31500</v>
      </c>
      <c r="AM260" s="27">
        <f>'MASTER STOCK'!L257</f>
        <v>31500</v>
      </c>
      <c r="AN260" s="26">
        <f t="shared" si="7"/>
        <v>0</v>
      </c>
      <c r="AO260" s="27">
        <f t="shared" si="8"/>
        <v>0</v>
      </c>
      <c r="AP260" s="25">
        <f t="shared" si="9"/>
        <v>0</v>
      </c>
      <c r="AQ260" s="10"/>
    </row>
    <row r="261">
      <c r="A261" s="29" t="str">
        <f>'MASTER STOCK'!F258</f>
        <v>lampu led muxindo 25 watt</v>
      </c>
      <c r="B261" s="30">
        <f>'MASTER STOCK'!G258</f>
        <v>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23">
        <f t="shared" si="3"/>
        <v>0</v>
      </c>
      <c r="AI261" s="31">
        <f t="shared" si="4"/>
        <v>1</v>
      </c>
      <c r="AJ261" s="32">
        <f t="shared" si="5"/>
        <v>1</v>
      </c>
      <c r="AK261" s="32">
        <f t="shared" si="6"/>
        <v>0</v>
      </c>
      <c r="AL261" s="25">
        <f>'MASTER STOCK'!I258</f>
        <v>25000</v>
      </c>
      <c r="AM261" s="27">
        <f>'MASTER STOCK'!L258</f>
        <v>25000</v>
      </c>
      <c r="AN261" s="26">
        <f t="shared" si="7"/>
        <v>0</v>
      </c>
      <c r="AO261" s="27">
        <f t="shared" si="8"/>
        <v>0</v>
      </c>
      <c r="AP261" s="25">
        <f t="shared" si="9"/>
        <v>0</v>
      </c>
      <c r="AQ261" s="10"/>
    </row>
    <row r="262">
      <c r="A262" s="29" t="str">
        <f>'MASTER STOCK'!F259</f>
        <v>lampu hemat  5 watt</v>
      </c>
      <c r="B262" s="30">
        <f>'MASTER STOCK'!G259</f>
        <v>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23">
        <f t="shared" si="3"/>
        <v>0</v>
      </c>
      <c r="AI262" s="31">
        <f t="shared" si="4"/>
        <v>4</v>
      </c>
      <c r="AJ262" s="32">
        <f t="shared" si="5"/>
        <v>4</v>
      </c>
      <c r="AK262" s="32">
        <f t="shared" si="6"/>
        <v>0</v>
      </c>
      <c r="AL262" s="25">
        <f>'MASTER STOCK'!I259</f>
        <v>6000</v>
      </c>
      <c r="AM262" s="27">
        <f>'MASTER STOCK'!L259</f>
        <v>7000</v>
      </c>
      <c r="AN262" s="26">
        <f t="shared" si="7"/>
        <v>0</v>
      </c>
      <c r="AO262" s="27">
        <f t="shared" si="8"/>
        <v>0</v>
      </c>
      <c r="AP262" s="25">
        <f t="shared" si="9"/>
        <v>0</v>
      </c>
      <c r="AQ262" s="10"/>
    </row>
    <row r="263">
      <c r="A263" s="29" t="str">
        <f>'MASTER STOCK'!F260</f>
        <v>skrup atap  sedang</v>
      </c>
      <c r="B263" s="30">
        <f>'MASTER STOCK'!G260</f>
        <v>20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23">
        <f t="shared" si="3"/>
        <v>0</v>
      </c>
      <c r="AI263" s="31">
        <f t="shared" si="4"/>
        <v>20</v>
      </c>
      <c r="AJ263" s="32">
        <f t="shared" si="5"/>
        <v>20</v>
      </c>
      <c r="AK263" s="32">
        <f t="shared" si="6"/>
        <v>0</v>
      </c>
      <c r="AL263" s="25">
        <f>'MASTER STOCK'!I260</f>
        <v>0</v>
      </c>
      <c r="AM263" s="27">
        <f>'MASTER STOCK'!L260</f>
        <v>0</v>
      </c>
      <c r="AN263" s="26">
        <f t="shared" si="7"/>
        <v>0</v>
      </c>
      <c r="AO263" s="27">
        <f t="shared" si="8"/>
        <v>0</v>
      </c>
      <c r="AP263" s="25">
        <f t="shared" si="9"/>
        <v>0</v>
      </c>
      <c r="AQ263" s="10"/>
    </row>
    <row r="264">
      <c r="A264" s="29" t="str">
        <f>'MASTER STOCK'!F261</f>
        <v>waseo led panel 3+3w</v>
      </c>
      <c r="B264" s="30">
        <f>'MASTER STOCK'!G261</f>
        <v>2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23">
        <f t="shared" si="3"/>
        <v>0</v>
      </c>
      <c r="AI264" s="31">
        <f t="shared" si="4"/>
        <v>2</v>
      </c>
      <c r="AJ264" s="32">
        <f t="shared" si="5"/>
        <v>2</v>
      </c>
      <c r="AK264" s="32">
        <f t="shared" si="6"/>
        <v>0</v>
      </c>
      <c r="AL264" s="25">
        <f>'MASTER STOCK'!I261</f>
        <v>23000</v>
      </c>
      <c r="AM264" s="27">
        <f>'MASTER STOCK'!L261</f>
        <v>23000</v>
      </c>
      <c r="AN264" s="26">
        <f t="shared" si="7"/>
        <v>0</v>
      </c>
      <c r="AO264" s="27">
        <f t="shared" si="8"/>
        <v>0</v>
      </c>
      <c r="AP264" s="25">
        <f t="shared" si="9"/>
        <v>0</v>
      </c>
      <c r="AQ264" s="10"/>
    </row>
    <row r="265">
      <c r="A265" s="29" t="str">
        <f>'MASTER STOCK'!F262</f>
        <v>distribution box</v>
      </c>
      <c r="B265" s="30">
        <f>'MASTER STOCK'!G262</f>
        <v>2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23">
        <f t="shared" si="3"/>
        <v>0</v>
      </c>
      <c r="AI265" s="31">
        <f t="shared" si="4"/>
        <v>2</v>
      </c>
      <c r="AJ265" s="32">
        <f t="shared" si="5"/>
        <v>2</v>
      </c>
      <c r="AK265" s="32">
        <f t="shared" si="6"/>
        <v>0</v>
      </c>
      <c r="AL265" s="25">
        <f>'MASTER STOCK'!I262</f>
        <v>15000</v>
      </c>
      <c r="AM265" s="27">
        <f>'MASTER STOCK'!L262</f>
        <v>15000</v>
      </c>
      <c r="AN265" s="26">
        <f t="shared" si="7"/>
        <v>0</v>
      </c>
      <c r="AO265" s="27">
        <f t="shared" si="8"/>
        <v>0</v>
      </c>
      <c r="AP265" s="25">
        <f t="shared" si="9"/>
        <v>0</v>
      </c>
      <c r="AQ265" s="10"/>
    </row>
    <row r="266">
      <c r="A266" s="29" t="str">
        <f>'MASTER STOCK'!F263</f>
        <v>skrup kecil</v>
      </c>
      <c r="B266" s="30">
        <f>'MASTER STOCK'!G263</f>
        <v>10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23">
        <f t="shared" si="3"/>
        <v>0</v>
      </c>
      <c r="AI266" s="31">
        <f t="shared" si="4"/>
        <v>10</v>
      </c>
      <c r="AJ266" s="32">
        <f t="shared" si="5"/>
        <v>10</v>
      </c>
      <c r="AK266" s="32">
        <f t="shared" si="6"/>
        <v>0</v>
      </c>
      <c r="AL266" s="25">
        <f>'MASTER STOCK'!I263</f>
        <v>0</v>
      </c>
      <c r="AM266" s="27">
        <f>'MASTER STOCK'!L263</f>
        <v>0</v>
      </c>
      <c r="AN266" s="26">
        <f t="shared" si="7"/>
        <v>0</v>
      </c>
      <c r="AO266" s="27">
        <f t="shared" si="8"/>
        <v>0</v>
      </c>
      <c r="AP266" s="25">
        <f t="shared" si="9"/>
        <v>0</v>
      </c>
      <c r="AQ266" s="10"/>
    </row>
    <row r="267">
      <c r="A267" s="29" t="str">
        <f>'MASTER STOCK'!F264</f>
        <v>skrup besar</v>
      </c>
      <c r="B267" s="30">
        <f>'MASTER STOCK'!G264</f>
        <v>41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23">
        <f t="shared" si="3"/>
        <v>0</v>
      </c>
      <c r="AI267" s="31">
        <f t="shared" si="4"/>
        <v>41</v>
      </c>
      <c r="AJ267" s="32">
        <f t="shared" si="5"/>
        <v>41</v>
      </c>
      <c r="AK267" s="32">
        <f t="shared" si="6"/>
        <v>0</v>
      </c>
      <c r="AL267" s="25">
        <f>'MASTER STOCK'!I264</f>
        <v>0</v>
      </c>
      <c r="AM267" s="27">
        <f>'MASTER STOCK'!L264</f>
        <v>0</v>
      </c>
      <c r="AN267" s="26">
        <f t="shared" si="7"/>
        <v>0</v>
      </c>
      <c r="AO267" s="27">
        <f t="shared" si="8"/>
        <v>0</v>
      </c>
      <c r="AP267" s="25">
        <f t="shared" si="9"/>
        <v>0</v>
      </c>
      <c r="AQ267" s="10"/>
    </row>
    <row r="268">
      <c r="A268" s="29" t="str">
        <f>'MASTER STOCK'!F265</f>
        <v>floor stainer plastik</v>
      </c>
      <c r="B268" s="30">
        <f>'MASTER STOCK'!G265</f>
        <v>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23">
        <f t="shared" si="3"/>
        <v>0</v>
      </c>
      <c r="AI268" s="31">
        <f t="shared" si="4"/>
        <v>1</v>
      </c>
      <c r="AJ268" s="32">
        <f t="shared" si="5"/>
        <v>1</v>
      </c>
      <c r="AK268" s="32">
        <f t="shared" si="6"/>
        <v>0</v>
      </c>
      <c r="AL268" s="25">
        <f>'MASTER STOCK'!I265</f>
        <v>24000</v>
      </c>
      <c r="AM268" s="27">
        <f>'MASTER STOCK'!L265</f>
        <v>24000</v>
      </c>
      <c r="AN268" s="26">
        <f t="shared" si="7"/>
        <v>0</v>
      </c>
      <c r="AO268" s="27">
        <f t="shared" si="8"/>
        <v>0</v>
      </c>
      <c r="AP268" s="25">
        <f t="shared" si="9"/>
        <v>0</v>
      </c>
      <c r="AQ268" s="10"/>
    </row>
    <row r="269">
      <c r="A269" s="29" t="str">
        <f>'MASTER STOCK'!F266</f>
        <v>skrup atap  kecil</v>
      </c>
      <c r="B269" s="30">
        <f>'MASTER STOCK'!G266</f>
        <v>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23">
        <f t="shared" si="3"/>
        <v>0</v>
      </c>
      <c r="AI269" s="31">
        <f t="shared" si="4"/>
        <v>1</v>
      </c>
      <c r="AJ269" s="32">
        <f t="shared" si="5"/>
        <v>1</v>
      </c>
      <c r="AK269" s="32">
        <f t="shared" si="6"/>
        <v>0</v>
      </c>
      <c r="AL269" s="25">
        <f>'MASTER STOCK'!I266</f>
        <v>0</v>
      </c>
      <c r="AM269" s="27">
        <f>'MASTER STOCK'!L266</f>
        <v>0</v>
      </c>
      <c r="AN269" s="26">
        <f t="shared" si="7"/>
        <v>0</v>
      </c>
      <c r="AO269" s="27">
        <f t="shared" si="8"/>
        <v>0</v>
      </c>
      <c r="AP269" s="25">
        <f t="shared" si="9"/>
        <v>0</v>
      </c>
      <c r="AQ269" s="10"/>
    </row>
    <row r="270">
      <c r="A270" s="29" t="str">
        <f>'MASTER STOCK'!F267</f>
        <v>lampu led</v>
      </c>
      <c r="B270" s="30">
        <f>'MASTER STOCK'!G267</f>
        <v>10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23">
        <f t="shared" si="3"/>
        <v>0</v>
      </c>
      <c r="AI270" s="31">
        <f t="shared" si="4"/>
        <v>10</v>
      </c>
      <c r="AJ270" s="32">
        <f t="shared" si="5"/>
        <v>10</v>
      </c>
      <c r="AK270" s="32">
        <f t="shared" si="6"/>
        <v>0</v>
      </c>
      <c r="AL270" s="25">
        <f>'MASTER STOCK'!I267</f>
        <v>11000</v>
      </c>
      <c r="AM270" s="27">
        <f>'MASTER STOCK'!L267</f>
        <v>11000</v>
      </c>
      <c r="AN270" s="26">
        <f t="shared" si="7"/>
        <v>0</v>
      </c>
      <c r="AO270" s="27">
        <f t="shared" si="8"/>
        <v>0</v>
      </c>
      <c r="AP270" s="25">
        <f t="shared" si="9"/>
        <v>0</v>
      </c>
      <c r="AQ270" s="10"/>
    </row>
    <row r="271">
      <c r="A271" s="29" t="str">
        <f>'MASTER STOCK'!F268</f>
        <v>waterpres magnet (alat ukur)</v>
      </c>
      <c r="B271" s="30">
        <f>'MASTER STOCK'!G268</f>
        <v>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23">
        <f t="shared" si="3"/>
        <v>0</v>
      </c>
      <c r="AI271" s="31">
        <f t="shared" si="4"/>
        <v>1</v>
      </c>
      <c r="AJ271" s="32">
        <f t="shared" si="5"/>
        <v>1</v>
      </c>
      <c r="AK271" s="32">
        <f t="shared" si="6"/>
        <v>0</v>
      </c>
      <c r="AL271" s="25">
        <f>'MASTER STOCK'!I268</f>
        <v>33000</v>
      </c>
      <c r="AM271" s="27">
        <f>'MASTER STOCK'!L268</f>
        <v>33000</v>
      </c>
      <c r="AN271" s="26">
        <f t="shared" si="7"/>
        <v>0</v>
      </c>
      <c r="AO271" s="27">
        <f t="shared" si="8"/>
        <v>0</v>
      </c>
      <c r="AP271" s="25">
        <f t="shared" si="9"/>
        <v>0</v>
      </c>
      <c r="AQ271" s="10"/>
    </row>
    <row r="272">
      <c r="A272" s="29" t="str">
        <f>'MASTER STOCK'!F269</f>
        <v>round kabel klip 6 mm</v>
      </c>
      <c r="B272" s="30">
        <f>'MASTER STOCK'!G269</f>
        <v>15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23">
        <f t="shared" si="3"/>
        <v>0</v>
      </c>
      <c r="AI272" s="31">
        <f t="shared" si="4"/>
        <v>15</v>
      </c>
      <c r="AJ272" s="32">
        <f t="shared" si="5"/>
        <v>15</v>
      </c>
      <c r="AK272" s="32">
        <f t="shared" si="6"/>
        <v>0</v>
      </c>
      <c r="AL272" s="25">
        <f>'MASTER STOCK'!I269</f>
        <v>2000</v>
      </c>
      <c r="AM272" s="27">
        <f>'MASTER STOCK'!L269</f>
        <v>2000</v>
      </c>
      <c r="AN272" s="26">
        <f t="shared" si="7"/>
        <v>0</v>
      </c>
      <c r="AO272" s="27">
        <f t="shared" si="8"/>
        <v>0</v>
      </c>
      <c r="AP272" s="25">
        <f t="shared" si="9"/>
        <v>0</v>
      </c>
      <c r="AQ272" s="10"/>
    </row>
    <row r="273">
      <c r="A273" s="29" t="str">
        <f>'MASTER STOCK'!F270</f>
        <v>round kabel klip 7 mm</v>
      </c>
      <c r="B273" s="30">
        <f>'MASTER STOCK'!G270</f>
        <v>6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23">
        <f t="shared" si="3"/>
        <v>0</v>
      </c>
      <c r="AI273" s="31">
        <f t="shared" si="4"/>
        <v>6</v>
      </c>
      <c r="AJ273" s="32">
        <f t="shared" si="5"/>
        <v>6</v>
      </c>
      <c r="AK273" s="32">
        <f t="shared" si="6"/>
        <v>0</v>
      </c>
      <c r="AL273" s="25">
        <f>'MASTER STOCK'!I270</f>
        <v>2000</v>
      </c>
      <c r="AM273" s="27">
        <f>'MASTER STOCK'!L270</f>
        <v>2000</v>
      </c>
      <c r="AN273" s="26">
        <f t="shared" si="7"/>
        <v>0</v>
      </c>
      <c r="AO273" s="27">
        <f t="shared" si="8"/>
        <v>0</v>
      </c>
      <c r="AP273" s="25">
        <f t="shared" si="9"/>
        <v>0</v>
      </c>
      <c r="AQ273" s="10"/>
    </row>
    <row r="274">
      <c r="A274" s="29" t="str">
        <f>'MASTER STOCK'!F271</f>
        <v>round kabel klip 9 mm</v>
      </c>
      <c r="B274" s="30">
        <f>'MASTER STOCK'!G271</f>
        <v>12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23">
        <f t="shared" si="3"/>
        <v>0</v>
      </c>
      <c r="AI274" s="31">
        <f t="shared" si="4"/>
        <v>12</v>
      </c>
      <c r="AJ274" s="32">
        <f t="shared" si="5"/>
        <v>12</v>
      </c>
      <c r="AK274" s="32">
        <f t="shared" si="6"/>
        <v>0</v>
      </c>
      <c r="AL274" s="25">
        <f>'MASTER STOCK'!I271</f>
        <v>2500</v>
      </c>
      <c r="AM274" s="27">
        <f>'MASTER STOCK'!L271</f>
        <v>2500</v>
      </c>
      <c r="AN274" s="26">
        <f t="shared" si="7"/>
        <v>0</v>
      </c>
      <c r="AO274" s="27">
        <f t="shared" si="8"/>
        <v>0</v>
      </c>
      <c r="AP274" s="25">
        <f t="shared" si="9"/>
        <v>0</v>
      </c>
      <c r="AQ274" s="10"/>
    </row>
    <row r="275">
      <c r="A275" s="29" t="str">
        <f>'MASTER STOCK'!F272</f>
        <v>round kabel klip 10 mm</v>
      </c>
      <c r="B275" s="30">
        <f>'MASTER STOCK'!G272</f>
        <v>16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23">
        <f t="shared" si="3"/>
        <v>0</v>
      </c>
      <c r="AI275" s="31">
        <f t="shared" si="4"/>
        <v>16</v>
      </c>
      <c r="AJ275" s="32">
        <f t="shared" si="5"/>
        <v>16</v>
      </c>
      <c r="AK275" s="32">
        <f t="shared" si="6"/>
        <v>0</v>
      </c>
      <c r="AL275" s="25">
        <f>'MASTER STOCK'!I272</f>
        <v>2500</v>
      </c>
      <c r="AM275" s="27">
        <f>'MASTER STOCK'!L272</f>
        <v>2500</v>
      </c>
      <c r="AN275" s="26">
        <f t="shared" si="7"/>
        <v>0</v>
      </c>
      <c r="AO275" s="27">
        <f t="shared" si="8"/>
        <v>0</v>
      </c>
      <c r="AP275" s="25">
        <f t="shared" si="9"/>
        <v>0</v>
      </c>
      <c r="AQ275" s="10"/>
    </row>
    <row r="276">
      <c r="A276" s="29" t="str">
        <f>'MASTER STOCK'!F273</f>
        <v>floor stainer stainless</v>
      </c>
      <c r="B276" s="30">
        <f>'MASTER STOCK'!G273</f>
        <v>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23">
        <f t="shared" si="3"/>
        <v>0</v>
      </c>
      <c r="AI276" s="31">
        <f t="shared" si="4"/>
        <v>1</v>
      </c>
      <c r="AJ276" s="32">
        <f t="shared" si="5"/>
        <v>1</v>
      </c>
      <c r="AK276" s="32">
        <f t="shared" si="6"/>
        <v>0</v>
      </c>
      <c r="AL276" s="25">
        <f>'MASTER STOCK'!I273</f>
        <v>24000</v>
      </c>
      <c r="AM276" s="27">
        <f>'MASTER STOCK'!L273</f>
        <v>24000</v>
      </c>
      <c r="AN276" s="26">
        <f t="shared" si="7"/>
        <v>0</v>
      </c>
      <c r="AO276" s="27">
        <f t="shared" si="8"/>
        <v>0</v>
      </c>
      <c r="AP276" s="25">
        <f t="shared" si="9"/>
        <v>0</v>
      </c>
      <c r="AQ276" s="10"/>
    </row>
    <row r="277">
      <c r="A277" s="29" t="str">
        <f>'MASTER STOCK'!F274</f>
        <v>amplass bunder</v>
      </c>
      <c r="B277" s="30">
        <f>'MASTER STOCK'!G274</f>
        <v>8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23">
        <f t="shared" si="3"/>
        <v>0</v>
      </c>
      <c r="AI277" s="31">
        <f t="shared" si="4"/>
        <v>8</v>
      </c>
      <c r="AJ277" s="32">
        <f t="shared" si="5"/>
        <v>8</v>
      </c>
      <c r="AK277" s="32">
        <f t="shared" si="6"/>
        <v>0</v>
      </c>
      <c r="AL277" s="25">
        <f>'MASTER STOCK'!I274</f>
        <v>2500</v>
      </c>
      <c r="AM277" s="27">
        <f>'MASTER STOCK'!L274</f>
        <v>2500</v>
      </c>
      <c r="AN277" s="26">
        <f t="shared" si="7"/>
        <v>0</v>
      </c>
      <c r="AO277" s="27">
        <f t="shared" si="8"/>
        <v>0</v>
      </c>
      <c r="AP277" s="25">
        <f t="shared" si="9"/>
        <v>0</v>
      </c>
      <c r="AQ277" s="10"/>
    </row>
    <row r="278">
      <c r="A278" s="29" t="str">
        <f>'MASTER STOCK'!F275</f>
        <v>paku beton 1 1/2</v>
      </c>
      <c r="B278" s="30">
        <f>'MASTER STOCK'!G275</f>
        <v>2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23">
        <f t="shared" si="3"/>
        <v>0</v>
      </c>
      <c r="AI278" s="31">
        <f t="shared" si="4"/>
        <v>2</v>
      </c>
      <c r="AJ278" s="32">
        <f t="shared" si="5"/>
        <v>2</v>
      </c>
      <c r="AK278" s="32">
        <f t="shared" si="6"/>
        <v>0</v>
      </c>
      <c r="AL278" s="25">
        <f>'MASTER STOCK'!I275</f>
        <v>14000</v>
      </c>
      <c r="AM278" s="27">
        <f>'MASTER STOCK'!L275</f>
        <v>14000</v>
      </c>
      <c r="AN278" s="26">
        <f t="shared" si="7"/>
        <v>0</v>
      </c>
      <c r="AO278" s="27">
        <f t="shared" si="8"/>
        <v>0</v>
      </c>
      <c r="AP278" s="25">
        <f t="shared" si="9"/>
        <v>0</v>
      </c>
      <c r="AQ278" s="10"/>
    </row>
    <row r="279">
      <c r="A279" s="29" t="str">
        <f>'MASTER STOCK'!F276</f>
        <v>tusen klep air</v>
      </c>
      <c r="B279" s="30">
        <f>'MASTER STOCK'!G276</f>
        <v>4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23">
        <f t="shared" si="3"/>
        <v>0</v>
      </c>
      <c r="AI279" s="31">
        <f t="shared" si="4"/>
        <v>4</v>
      </c>
      <c r="AJ279" s="32">
        <f t="shared" si="5"/>
        <v>4</v>
      </c>
      <c r="AK279" s="32">
        <f t="shared" si="6"/>
        <v>0</v>
      </c>
      <c r="AL279" s="25">
        <f>'MASTER STOCK'!I276</f>
        <v>0</v>
      </c>
      <c r="AM279" s="27">
        <f>'MASTER STOCK'!L276</f>
        <v>0</v>
      </c>
      <c r="AN279" s="26">
        <f t="shared" si="7"/>
        <v>0</v>
      </c>
      <c r="AO279" s="27">
        <f t="shared" si="8"/>
        <v>0</v>
      </c>
      <c r="AP279" s="25">
        <f t="shared" si="9"/>
        <v>0</v>
      </c>
      <c r="AQ279" s="10"/>
    </row>
    <row r="280">
      <c r="A280" s="29" t="str">
        <f>'MASTER STOCK'!F277</f>
        <v>saringan plastik biasa</v>
      </c>
      <c r="B280" s="30">
        <f>'MASTER STOCK'!G277</f>
        <v>3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23">
        <f t="shared" si="3"/>
        <v>0</v>
      </c>
      <c r="AI280" s="31">
        <f t="shared" si="4"/>
        <v>3</v>
      </c>
      <c r="AJ280" s="32">
        <f t="shared" si="5"/>
        <v>3</v>
      </c>
      <c r="AK280" s="32">
        <f t="shared" si="6"/>
        <v>0</v>
      </c>
      <c r="AL280" s="25">
        <f>'MASTER STOCK'!I277</f>
        <v>12000</v>
      </c>
      <c r="AM280" s="27">
        <f>'MASTER STOCK'!L277</f>
        <v>12000</v>
      </c>
      <c r="AN280" s="26">
        <f t="shared" si="7"/>
        <v>0</v>
      </c>
      <c r="AO280" s="27">
        <f t="shared" si="8"/>
        <v>0</v>
      </c>
      <c r="AP280" s="25">
        <f t="shared" si="9"/>
        <v>0</v>
      </c>
      <c r="AQ280" s="10"/>
    </row>
    <row r="281">
      <c r="A281" s="29" t="str">
        <f>'MASTER STOCK'!F278</f>
        <v>kuas  2</v>
      </c>
      <c r="B281" s="30">
        <f>'MASTER STOCK'!G278</f>
        <v>2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23">
        <f t="shared" si="3"/>
        <v>0</v>
      </c>
      <c r="AI281" s="31">
        <f t="shared" si="4"/>
        <v>2</v>
      </c>
      <c r="AJ281" s="32">
        <f t="shared" si="5"/>
        <v>2</v>
      </c>
      <c r="AK281" s="32">
        <f t="shared" si="6"/>
        <v>0</v>
      </c>
      <c r="AL281" s="25">
        <f>'MASTER STOCK'!I278</f>
        <v>8000</v>
      </c>
      <c r="AM281" s="27">
        <f>'MASTER STOCK'!L278</f>
        <v>8000</v>
      </c>
      <c r="AN281" s="26">
        <f t="shared" si="7"/>
        <v>0</v>
      </c>
      <c r="AO281" s="27">
        <f t="shared" si="8"/>
        <v>0</v>
      </c>
      <c r="AP281" s="25">
        <f t="shared" si="9"/>
        <v>0</v>
      </c>
      <c r="AQ281" s="10"/>
    </row>
    <row r="282">
      <c r="A282" s="29" t="str">
        <f>'MASTER STOCK'!F279</f>
        <v>afur hpp</v>
      </c>
      <c r="B282" s="30">
        <f>'MASTER STOCK'!G279</f>
        <v>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23">
        <f t="shared" si="3"/>
        <v>0</v>
      </c>
      <c r="AI282" s="31">
        <f t="shared" si="4"/>
        <v>1</v>
      </c>
      <c r="AJ282" s="32">
        <f t="shared" si="5"/>
        <v>1</v>
      </c>
      <c r="AK282" s="32">
        <f t="shared" si="6"/>
        <v>0</v>
      </c>
      <c r="AL282" s="25">
        <f>'MASTER STOCK'!I279</f>
        <v>27000</v>
      </c>
      <c r="AM282" s="27">
        <f>'MASTER STOCK'!L279</f>
        <v>27000</v>
      </c>
      <c r="AN282" s="26">
        <f t="shared" si="7"/>
        <v>0</v>
      </c>
      <c r="AO282" s="27">
        <f t="shared" si="8"/>
        <v>0</v>
      </c>
      <c r="AP282" s="25">
        <f t="shared" si="9"/>
        <v>0</v>
      </c>
      <c r="AQ282" s="10"/>
    </row>
    <row r="283">
      <c r="A283" s="29" t="str">
        <f>'MASTER STOCK'!F280</f>
        <v>afur klasik</v>
      </c>
      <c r="B283" s="30">
        <f>'MASTER STOCK'!G280</f>
        <v>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23">
        <f t="shared" si="3"/>
        <v>0</v>
      </c>
      <c r="AI283" s="31">
        <f t="shared" si="4"/>
        <v>1</v>
      </c>
      <c r="AJ283" s="32">
        <f t="shared" si="5"/>
        <v>1</v>
      </c>
      <c r="AK283" s="32">
        <f t="shared" si="6"/>
        <v>0</v>
      </c>
      <c r="AL283" s="25">
        <f>'MASTER STOCK'!I280</f>
        <v>32000</v>
      </c>
      <c r="AM283" s="27">
        <f>'MASTER STOCK'!L280</f>
        <v>32000</v>
      </c>
      <c r="AN283" s="26">
        <f t="shared" si="7"/>
        <v>0</v>
      </c>
      <c r="AO283" s="27">
        <f t="shared" si="8"/>
        <v>0</v>
      </c>
      <c r="AP283" s="25">
        <f t="shared" si="9"/>
        <v>0</v>
      </c>
      <c r="AQ283" s="10"/>
    </row>
    <row r="284">
      <c r="A284" s="29" t="str">
        <f>'MASTER STOCK'!F281</f>
        <v>kuas cat garis</v>
      </c>
      <c r="B284" s="30">
        <f>'MASTER STOCK'!G281</f>
        <v>4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23">
        <f t="shared" si="3"/>
        <v>0</v>
      </c>
      <c r="AI284" s="31">
        <f t="shared" si="4"/>
        <v>4</v>
      </c>
      <c r="AJ284" s="32">
        <f t="shared" si="5"/>
        <v>4</v>
      </c>
      <c r="AK284" s="32">
        <f t="shared" si="6"/>
        <v>0</v>
      </c>
      <c r="AL284" s="25">
        <f>'MASTER STOCK'!I281</f>
        <v>9000</v>
      </c>
      <c r="AM284" s="27">
        <f>'MASTER STOCK'!L281</f>
        <v>9000</v>
      </c>
      <c r="AN284" s="26">
        <f t="shared" si="7"/>
        <v>0</v>
      </c>
      <c r="AO284" s="27">
        <f t="shared" si="8"/>
        <v>0</v>
      </c>
      <c r="AP284" s="25">
        <f t="shared" si="9"/>
        <v>0</v>
      </c>
      <c r="AQ284" s="10"/>
    </row>
    <row r="285">
      <c r="A285" s="29" t="str">
        <f>'MASTER STOCK'!F282</f>
        <v>pilox</v>
      </c>
      <c r="B285" s="30">
        <f>'MASTER STOCK'!G282</f>
        <v>4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23">
        <f t="shared" si="3"/>
        <v>0</v>
      </c>
      <c r="AI285" s="31">
        <f t="shared" si="4"/>
        <v>4</v>
      </c>
      <c r="AJ285" s="32">
        <f t="shared" si="5"/>
        <v>4</v>
      </c>
      <c r="AK285" s="32">
        <f t="shared" si="6"/>
        <v>0</v>
      </c>
      <c r="AL285" s="25">
        <f>'MASTER STOCK'!I282</f>
        <v>29000</v>
      </c>
      <c r="AM285" s="27">
        <f>'MASTER STOCK'!L282</f>
        <v>29000</v>
      </c>
      <c r="AN285" s="26">
        <f t="shared" si="7"/>
        <v>0</v>
      </c>
      <c r="AO285" s="27">
        <f t="shared" si="8"/>
        <v>0</v>
      </c>
      <c r="AP285" s="25">
        <f t="shared" si="9"/>
        <v>0</v>
      </c>
      <c r="AQ285" s="10"/>
    </row>
    <row r="286">
      <c r="A286" s="29" t="str">
        <f>'MASTER STOCK'!F283</f>
        <v>sikring</v>
      </c>
      <c r="B286" s="30">
        <f>'MASTER STOCK'!G283</f>
        <v>5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23">
        <f t="shared" si="3"/>
        <v>0</v>
      </c>
      <c r="AI286" s="31">
        <f t="shared" si="4"/>
        <v>5</v>
      </c>
      <c r="AJ286" s="32">
        <f t="shared" si="5"/>
        <v>5</v>
      </c>
      <c r="AK286" s="32">
        <f t="shared" si="6"/>
        <v>0</v>
      </c>
      <c r="AL286" s="25">
        <f>'MASTER STOCK'!I283</f>
        <v>3500</v>
      </c>
      <c r="AM286" s="27">
        <f>'MASTER STOCK'!L283</f>
        <v>3500</v>
      </c>
      <c r="AN286" s="26">
        <f t="shared" si="7"/>
        <v>0</v>
      </c>
      <c r="AO286" s="27">
        <f t="shared" si="8"/>
        <v>0</v>
      </c>
      <c r="AP286" s="25">
        <f t="shared" si="9"/>
        <v>0</v>
      </c>
      <c r="AQ286" s="10"/>
    </row>
    <row r="287">
      <c r="A287" s="29" t="str">
        <f>'MASTER STOCK'!F284</f>
        <v>Tutup  skring</v>
      </c>
      <c r="B287" s="30">
        <f>'MASTER STOCK'!G284</f>
        <v>14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23">
        <f t="shared" si="3"/>
        <v>0</v>
      </c>
      <c r="AI287" s="31">
        <f t="shared" si="4"/>
        <v>14</v>
      </c>
      <c r="AJ287" s="32">
        <f t="shared" si="5"/>
        <v>14</v>
      </c>
      <c r="AK287" s="32">
        <f t="shared" si="6"/>
        <v>0</v>
      </c>
      <c r="AL287" s="25">
        <f>'MASTER STOCK'!I284</f>
        <v>3500</v>
      </c>
      <c r="AM287" s="27">
        <f>'MASTER STOCK'!L284</f>
        <v>3500</v>
      </c>
      <c r="AN287" s="26">
        <f t="shared" si="7"/>
        <v>0</v>
      </c>
      <c r="AO287" s="27">
        <f t="shared" si="8"/>
        <v>0</v>
      </c>
      <c r="AP287" s="25">
        <f t="shared" si="9"/>
        <v>0</v>
      </c>
      <c r="AQ287" s="10"/>
    </row>
    <row r="288">
      <c r="A288" s="29" t="str">
        <f>'MASTER STOCK'!F285</f>
        <v>kabel serabut 0.75 mm</v>
      </c>
      <c r="B288" s="30">
        <f>'MASTER STOCK'!G285</f>
        <v>0.5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23">
        <f t="shared" si="3"/>
        <v>0</v>
      </c>
      <c r="AI288" s="31">
        <f t="shared" si="4"/>
        <v>0.5</v>
      </c>
      <c r="AJ288" s="32">
        <f t="shared" si="5"/>
        <v>0.5</v>
      </c>
      <c r="AK288" s="32">
        <f t="shared" si="6"/>
        <v>0</v>
      </c>
      <c r="AL288" s="25">
        <f>'MASTER STOCK'!I285</f>
        <v>2000</v>
      </c>
      <c r="AM288" s="27">
        <f>'MASTER STOCK'!L285</f>
        <v>2000</v>
      </c>
      <c r="AN288" s="26">
        <f t="shared" si="7"/>
        <v>0</v>
      </c>
      <c r="AO288" s="27">
        <f t="shared" si="8"/>
        <v>0</v>
      </c>
      <c r="AP288" s="25">
        <f t="shared" si="9"/>
        <v>0</v>
      </c>
      <c r="AQ288" s="10"/>
    </row>
    <row r="289">
      <c r="A289" s="29" t="str">
        <f>'MASTER STOCK'!F286</f>
        <v>Steker Gepeng</v>
      </c>
      <c r="B289" s="30">
        <f>'MASTER STOCK'!G286</f>
        <v>6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23">
        <f t="shared" si="3"/>
        <v>0</v>
      </c>
      <c r="AI289" s="31">
        <f t="shared" si="4"/>
        <v>6</v>
      </c>
      <c r="AJ289" s="32">
        <f t="shared" si="5"/>
        <v>6</v>
      </c>
      <c r="AK289" s="32">
        <f t="shared" si="6"/>
        <v>0</v>
      </c>
      <c r="AL289" s="25">
        <f>'MASTER STOCK'!I286</f>
        <v>4000</v>
      </c>
      <c r="AM289" s="27">
        <f>'MASTER STOCK'!L286</f>
        <v>4000</v>
      </c>
      <c r="AN289" s="26">
        <f t="shared" si="7"/>
        <v>0</v>
      </c>
      <c r="AO289" s="27">
        <f t="shared" si="8"/>
        <v>0</v>
      </c>
      <c r="AP289" s="25">
        <f t="shared" si="9"/>
        <v>0</v>
      </c>
      <c r="AQ289" s="10"/>
    </row>
    <row r="290">
      <c r="A290" s="29" t="str">
        <f>'MASTER STOCK'!F287</f>
        <v>Skalar Tunggal</v>
      </c>
      <c r="B290" s="30">
        <f>'MASTER STOCK'!G287</f>
        <v>3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23">
        <f t="shared" si="3"/>
        <v>0</v>
      </c>
      <c r="AI290" s="31">
        <f t="shared" si="4"/>
        <v>3</v>
      </c>
      <c r="AJ290" s="32">
        <f t="shared" si="5"/>
        <v>3</v>
      </c>
      <c r="AK290" s="32">
        <f t="shared" si="6"/>
        <v>0</v>
      </c>
      <c r="AL290" s="25">
        <f>'MASTER STOCK'!I287</f>
        <v>6500</v>
      </c>
      <c r="AM290" s="27">
        <f>'MASTER STOCK'!L287</f>
        <v>6500</v>
      </c>
      <c r="AN290" s="26">
        <f t="shared" si="7"/>
        <v>0</v>
      </c>
      <c r="AO290" s="27">
        <f t="shared" si="8"/>
        <v>0</v>
      </c>
      <c r="AP290" s="25">
        <f t="shared" si="9"/>
        <v>0</v>
      </c>
      <c r="AQ290" s="10"/>
    </row>
    <row r="291">
      <c r="A291" s="29" t="str">
        <f>'MASTER STOCK'!F288</f>
        <v>Saklar Ganda</v>
      </c>
      <c r="B291" s="30">
        <f>'MASTER STOCK'!G288</f>
        <v>3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23">
        <f t="shared" si="3"/>
        <v>0</v>
      </c>
      <c r="AI291" s="31">
        <f t="shared" si="4"/>
        <v>3</v>
      </c>
      <c r="AJ291" s="32">
        <f t="shared" si="5"/>
        <v>3</v>
      </c>
      <c r="AK291" s="32">
        <f t="shared" si="6"/>
        <v>0</v>
      </c>
      <c r="AL291" s="25">
        <f>'MASTER STOCK'!I288</f>
        <v>8000</v>
      </c>
      <c r="AM291" s="27">
        <f>'MASTER STOCK'!L288</f>
        <v>8000</v>
      </c>
      <c r="AN291" s="26">
        <f t="shared" si="7"/>
        <v>0</v>
      </c>
      <c r="AO291" s="27">
        <f t="shared" si="8"/>
        <v>0</v>
      </c>
      <c r="AP291" s="25">
        <f t="shared" si="9"/>
        <v>0</v>
      </c>
      <c r="AQ291" s="10"/>
    </row>
    <row r="292">
      <c r="A292" s="29" t="str">
        <f>'MASTER STOCK'!F289</f>
        <v>Kabel audio 2 x 1 1/2</v>
      </c>
      <c r="B292" s="30">
        <f>'MASTER STOCK'!G289</f>
        <v>100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23">
        <f t="shared" si="3"/>
        <v>0</v>
      </c>
      <c r="AI292" s="31">
        <f t="shared" si="4"/>
        <v>100</v>
      </c>
      <c r="AJ292" s="32">
        <f t="shared" si="5"/>
        <v>100</v>
      </c>
      <c r="AK292" s="32">
        <f t="shared" si="6"/>
        <v>0</v>
      </c>
      <c r="AL292" s="25">
        <f>'MASTER STOCK'!I289</f>
        <v>3000</v>
      </c>
      <c r="AM292" s="27">
        <f>'MASTER STOCK'!L289</f>
        <v>3000</v>
      </c>
      <c r="AN292" s="26">
        <f t="shared" si="7"/>
        <v>0</v>
      </c>
      <c r="AO292" s="27">
        <f t="shared" si="8"/>
        <v>0</v>
      </c>
      <c r="AP292" s="25">
        <f t="shared" si="9"/>
        <v>0</v>
      </c>
      <c r="AQ292" s="10"/>
    </row>
    <row r="293">
      <c r="A293" s="29" t="str">
        <f>'MASTER STOCK'!F290</f>
        <v>Skalar Triple</v>
      </c>
      <c r="B293" s="30">
        <f>'MASTER STOCK'!G290</f>
        <v>2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23">
        <f t="shared" si="3"/>
        <v>0</v>
      </c>
      <c r="AI293" s="31">
        <f t="shared" si="4"/>
        <v>2</v>
      </c>
      <c r="AJ293" s="32">
        <f t="shared" si="5"/>
        <v>2</v>
      </c>
      <c r="AK293" s="32">
        <f t="shared" si="6"/>
        <v>0</v>
      </c>
      <c r="AL293" s="25">
        <f>'MASTER STOCK'!I290</f>
        <v>35000</v>
      </c>
      <c r="AM293" s="27">
        <f>'MASTER STOCK'!L290</f>
        <v>35000</v>
      </c>
      <c r="AN293" s="26">
        <f t="shared" si="7"/>
        <v>0</v>
      </c>
      <c r="AO293" s="27">
        <f t="shared" si="8"/>
        <v>0</v>
      </c>
      <c r="AP293" s="25">
        <f t="shared" si="9"/>
        <v>0</v>
      </c>
      <c r="AQ293" s="10"/>
    </row>
    <row r="294">
      <c r="A294" s="29" t="str">
        <f>'MASTER STOCK'!F291</f>
        <v>Senter</v>
      </c>
      <c r="B294" s="30">
        <f>'MASTER STOCK'!G291</f>
        <v>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23">
        <f t="shared" si="3"/>
        <v>0</v>
      </c>
      <c r="AI294" s="31">
        <f t="shared" si="4"/>
        <v>1</v>
      </c>
      <c r="AJ294" s="32">
        <f t="shared" si="5"/>
        <v>1</v>
      </c>
      <c r="AK294" s="32">
        <f t="shared" si="6"/>
        <v>0</v>
      </c>
      <c r="AL294" s="25">
        <f>'MASTER STOCK'!I291</f>
        <v>25000</v>
      </c>
      <c r="AM294" s="27">
        <f>'MASTER STOCK'!L291</f>
        <v>25000</v>
      </c>
      <c r="AN294" s="26">
        <f t="shared" si="7"/>
        <v>0</v>
      </c>
      <c r="AO294" s="27">
        <f t="shared" si="8"/>
        <v>0</v>
      </c>
      <c r="AP294" s="25">
        <f t="shared" si="9"/>
        <v>0</v>
      </c>
      <c r="AQ294" s="10"/>
    </row>
    <row r="295">
      <c r="A295" s="29" t="str">
        <f>'MASTER STOCK'!F292</f>
        <v>Fittingan</v>
      </c>
      <c r="B295" s="30">
        <f>'MASTER STOCK'!G292</f>
        <v>7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23">
        <f t="shared" si="3"/>
        <v>0</v>
      </c>
      <c r="AI295" s="31">
        <f t="shared" si="4"/>
        <v>7</v>
      </c>
      <c r="AJ295" s="32">
        <f t="shared" si="5"/>
        <v>7</v>
      </c>
      <c r="AK295" s="32">
        <f t="shared" si="6"/>
        <v>0</v>
      </c>
      <c r="AL295" s="25">
        <f>'MASTER STOCK'!I292</f>
        <v>5000</v>
      </c>
      <c r="AM295" s="27">
        <f>'MASTER STOCK'!L292</f>
        <v>5000</v>
      </c>
      <c r="AN295" s="26">
        <f t="shared" si="7"/>
        <v>0</v>
      </c>
      <c r="AO295" s="27">
        <f t="shared" si="8"/>
        <v>0</v>
      </c>
      <c r="AP295" s="25">
        <f t="shared" si="9"/>
        <v>0</v>
      </c>
      <c r="AQ295" s="10"/>
    </row>
    <row r="296">
      <c r="A296" s="29" t="str">
        <f>'MASTER STOCK'!F293</f>
        <v>Fittingan bagus</v>
      </c>
      <c r="B296" s="30">
        <f>'MASTER STOCK'!G293</f>
        <v>2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23">
        <f t="shared" si="3"/>
        <v>0</v>
      </c>
      <c r="AI296" s="31">
        <f t="shared" si="4"/>
        <v>2</v>
      </c>
      <c r="AJ296" s="32">
        <f t="shared" si="5"/>
        <v>2</v>
      </c>
      <c r="AK296" s="32">
        <f t="shared" si="6"/>
        <v>0</v>
      </c>
      <c r="AL296" s="25">
        <f>'MASTER STOCK'!I293</f>
        <v>9000</v>
      </c>
      <c r="AM296" s="27">
        <f>'MASTER STOCK'!L293</f>
        <v>9000</v>
      </c>
      <c r="AN296" s="26">
        <f t="shared" si="7"/>
        <v>0</v>
      </c>
      <c r="AO296" s="27">
        <f t="shared" si="8"/>
        <v>0</v>
      </c>
      <c r="AP296" s="25">
        <f t="shared" si="9"/>
        <v>0</v>
      </c>
      <c r="AQ296" s="10"/>
    </row>
    <row r="297">
      <c r="A297" s="29" t="str">
        <f>'MASTER STOCK'!F294</f>
        <v>Kassa gibsum</v>
      </c>
      <c r="B297" s="30">
        <f>'MASTER STOCK'!G294</f>
        <v>3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23">
        <f t="shared" si="3"/>
        <v>0</v>
      </c>
      <c r="AI297" s="31">
        <f t="shared" si="4"/>
        <v>3</v>
      </c>
      <c r="AJ297" s="32">
        <f t="shared" si="5"/>
        <v>3</v>
      </c>
      <c r="AK297" s="32">
        <f t="shared" si="6"/>
        <v>0</v>
      </c>
      <c r="AL297" s="25">
        <f>'MASTER STOCK'!I294</f>
        <v>7000</v>
      </c>
      <c r="AM297" s="27">
        <f>'MASTER STOCK'!L294</f>
        <v>7000</v>
      </c>
      <c r="AN297" s="26">
        <f t="shared" si="7"/>
        <v>0</v>
      </c>
      <c r="AO297" s="27">
        <f t="shared" si="8"/>
        <v>0</v>
      </c>
      <c r="AP297" s="25">
        <f t="shared" si="9"/>
        <v>0</v>
      </c>
      <c r="AQ297" s="10"/>
    </row>
    <row r="298">
      <c r="A298" s="29" t="str">
        <f>'MASTER STOCK'!F295</f>
        <v>Lampu Tidur</v>
      </c>
      <c r="B298" s="30">
        <f>'MASTER STOCK'!G295</f>
        <v>2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23">
        <f t="shared" si="3"/>
        <v>0</v>
      </c>
      <c r="AI298" s="31">
        <f t="shared" si="4"/>
        <v>2</v>
      </c>
      <c r="AJ298" s="32">
        <f t="shared" si="5"/>
        <v>2</v>
      </c>
      <c r="AK298" s="32">
        <f t="shared" si="6"/>
        <v>0</v>
      </c>
      <c r="AL298" s="25">
        <f>'MASTER STOCK'!I295</f>
        <v>8000</v>
      </c>
      <c r="AM298" s="27">
        <f>'MASTER STOCK'!L295</f>
        <v>8000</v>
      </c>
      <c r="AN298" s="26">
        <f t="shared" si="7"/>
        <v>0</v>
      </c>
      <c r="AO298" s="27">
        <f t="shared" si="8"/>
        <v>0</v>
      </c>
      <c r="AP298" s="25">
        <f t="shared" si="9"/>
        <v>0</v>
      </c>
      <c r="AQ298" s="10"/>
    </row>
    <row r="299">
      <c r="A299" s="29" t="str">
        <f>'MASTER STOCK'!F296</f>
        <v>Steker Bulat</v>
      </c>
      <c r="B299" s="30">
        <f>'MASTER STOCK'!G296</f>
        <v>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23">
        <f t="shared" si="3"/>
        <v>0</v>
      </c>
      <c r="AI299" s="31">
        <f t="shared" si="4"/>
        <v>1</v>
      </c>
      <c r="AJ299" s="32">
        <f t="shared" si="5"/>
        <v>1</v>
      </c>
      <c r="AK299" s="32">
        <f t="shared" si="6"/>
        <v>0</v>
      </c>
      <c r="AL299" s="25">
        <f>'MASTER STOCK'!I296</f>
        <v>6000</v>
      </c>
      <c r="AM299" s="27">
        <f>'MASTER STOCK'!L296</f>
        <v>6000</v>
      </c>
      <c r="AN299" s="26">
        <f t="shared" si="7"/>
        <v>0</v>
      </c>
      <c r="AO299" s="27">
        <f t="shared" si="8"/>
        <v>0</v>
      </c>
      <c r="AP299" s="25">
        <f t="shared" si="9"/>
        <v>0</v>
      </c>
      <c r="AQ299" s="10"/>
    </row>
    <row r="300">
      <c r="A300" s="29" t="str">
        <f>'MASTER STOCK'!F297</f>
        <v>Soket Lampu</v>
      </c>
      <c r="B300" s="30">
        <f>'MASTER STOCK'!G297</f>
        <v>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23">
        <f t="shared" si="3"/>
        <v>0</v>
      </c>
      <c r="AI300" s="31">
        <f t="shared" si="4"/>
        <v>1</v>
      </c>
      <c r="AJ300" s="32">
        <f t="shared" si="5"/>
        <v>1</v>
      </c>
      <c r="AK300" s="32">
        <f t="shared" si="6"/>
        <v>0</v>
      </c>
      <c r="AL300" s="25">
        <f>'MASTER STOCK'!I297</f>
        <v>11000</v>
      </c>
      <c r="AM300" s="27">
        <f>'MASTER STOCK'!L297</f>
        <v>11000</v>
      </c>
      <c r="AN300" s="26">
        <f t="shared" si="7"/>
        <v>0</v>
      </c>
      <c r="AO300" s="27">
        <f t="shared" si="8"/>
        <v>0</v>
      </c>
      <c r="AP300" s="25">
        <f t="shared" si="9"/>
        <v>0</v>
      </c>
      <c r="AQ300" s="10"/>
    </row>
    <row r="301">
      <c r="A301" s="29" t="str">
        <f>'MASTER STOCK'!F298</f>
        <v>Sarung tangan kain</v>
      </c>
      <c r="B301" s="30">
        <f>'MASTER STOCK'!G298</f>
        <v>16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23">
        <f t="shared" si="3"/>
        <v>0</v>
      </c>
      <c r="AI301" s="31">
        <f t="shared" si="4"/>
        <v>16</v>
      </c>
      <c r="AJ301" s="32">
        <f t="shared" si="5"/>
        <v>16</v>
      </c>
      <c r="AK301" s="32">
        <f t="shared" si="6"/>
        <v>0</v>
      </c>
      <c r="AL301" s="25">
        <f>'MASTER STOCK'!I298</f>
        <v>6000</v>
      </c>
      <c r="AM301" s="27">
        <f>'MASTER STOCK'!L298</f>
        <v>6000</v>
      </c>
      <c r="AN301" s="26">
        <f t="shared" si="7"/>
        <v>0</v>
      </c>
      <c r="AO301" s="27">
        <f t="shared" si="8"/>
        <v>0</v>
      </c>
      <c r="AP301" s="25">
        <f t="shared" si="9"/>
        <v>0</v>
      </c>
      <c r="AQ301" s="10"/>
    </row>
    <row r="302">
      <c r="A302" s="29" t="str">
        <f>'MASTER STOCK'!F299</f>
        <v>Grendel Double</v>
      </c>
      <c r="B302" s="30">
        <f>'MASTER STOCK'!G299</f>
        <v>2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23">
        <f t="shared" si="3"/>
        <v>0</v>
      </c>
      <c r="AI302" s="31">
        <f t="shared" si="4"/>
        <v>2</v>
      </c>
      <c r="AJ302" s="32">
        <f t="shared" si="5"/>
        <v>2</v>
      </c>
      <c r="AK302" s="32">
        <f t="shared" si="6"/>
        <v>0</v>
      </c>
      <c r="AL302" s="25">
        <f>'MASTER STOCK'!I299</f>
        <v>0</v>
      </c>
      <c r="AM302" s="27">
        <f>'MASTER STOCK'!L299</f>
        <v>0</v>
      </c>
      <c r="AN302" s="26">
        <f t="shared" si="7"/>
        <v>0</v>
      </c>
      <c r="AO302" s="27">
        <f t="shared" si="8"/>
        <v>0</v>
      </c>
      <c r="AP302" s="25">
        <f t="shared" si="9"/>
        <v>0</v>
      </c>
      <c r="AQ302" s="10"/>
    </row>
    <row r="303">
      <c r="A303" s="29" t="str">
        <f>'MASTER STOCK'!F300</f>
        <v>Kunci Oval pintu</v>
      </c>
      <c r="B303" s="30">
        <f>'MASTER STOCK'!G300</f>
        <v>2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23">
        <f t="shared" si="3"/>
        <v>0</v>
      </c>
      <c r="AI303" s="31">
        <f t="shared" si="4"/>
        <v>2</v>
      </c>
      <c r="AJ303" s="32">
        <f t="shared" si="5"/>
        <v>2</v>
      </c>
      <c r="AK303" s="32">
        <f t="shared" si="6"/>
        <v>0</v>
      </c>
      <c r="AL303" s="25">
        <f>'MASTER STOCK'!I300</f>
        <v>0</v>
      </c>
      <c r="AM303" s="27">
        <f>'MASTER STOCK'!L300</f>
        <v>0</v>
      </c>
      <c r="AN303" s="26">
        <f t="shared" si="7"/>
        <v>0</v>
      </c>
      <c r="AO303" s="27">
        <f t="shared" si="8"/>
        <v>0</v>
      </c>
      <c r="AP303" s="25">
        <f t="shared" si="9"/>
        <v>0</v>
      </c>
      <c r="AQ303" s="10"/>
    </row>
    <row r="304">
      <c r="A304" s="29" t="str">
        <f>'MASTER STOCK'!F301</f>
        <v>Benang ris  sedang</v>
      </c>
      <c r="B304" s="30">
        <f>'MASTER STOCK'!G301</f>
        <v>4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23">
        <f t="shared" si="3"/>
        <v>0</v>
      </c>
      <c r="AI304" s="31">
        <f t="shared" si="4"/>
        <v>4</v>
      </c>
      <c r="AJ304" s="32">
        <f t="shared" si="5"/>
        <v>4</v>
      </c>
      <c r="AK304" s="32">
        <f t="shared" si="6"/>
        <v>0</v>
      </c>
      <c r="AL304" s="25">
        <f>'MASTER STOCK'!I301</f>
        <v>5000</v>
      </c>
      <c r="AM304" s="27">
        <f>'MASTER STOCK'!L301</f>
        <v>5000</v>
      </c>
      <c r="AN304" s="26">
        <f t="shared" si="7"/>
        <v>0</v>
      </c>
      <c r="AO304" s="27">
        <f t="shared" si="8"/>
        <v>0</v>
      </c>
      <c r="AP304" s="25">
        <f t="shared" si="9"/>
        <v>0</v>
      </c>
      <c r="AQ304" s="10"/>
    </row>
    <row r="305">
      <c r="A305" s="29" t="str">
        <f>'MASTER STOCK'!F302</f>
        <v>Jepitan Udang grendel</v>
      </c>
      <c r="B305" s="30">
        <f>'MASTER STOCK'!G302</f>
        <v>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23">
        <f t="shared" si="3"/>
        <v>0</v>
      </c>
      <c r="AI305" s="31">
        <f t="shared" si="4"/>
        <v>1</v>
      </c>
      <c r="AJ305" s="32">
        <f t="shared" si="5"/>
        <v>1</v>
      </c>
      <c r="AK305" s="32">
        <f t="shared" si="6"/>
        <v>0</v>
      </c>
      <c r="AL305" s="25">
        <f>'MASTER STOCK'!I302</f>
        <v>0</v>
      </c>
      <c r="AM305" s="27">
        <f>'MASTER STOCK'!L302</f>
        <v>0</v>
      </c>
      <c r="AN305" s="26">
        <f t="shared" si="7"/>
        <v>0</v>
      </c>
      <c r="AO305" s="27">
        <f t="shared" si="8"/>
        <v>0</v>
      </c>
      <c r="AP305" s="25">
        <f t="shared" si="9"/>
        <v>0</v>
      </c>
      <c r="AQ305" s="10"/>
    </row>
    <row r="306">
      <c r="A306" s="29" t="str">
        <f>'MASTER STOCK'!F303</f>
        <v>Cengkal jendela panjang lurus</v>
      </c>
      <c r="B306" s="30">
        <f>'MASTER STOCK'!G303</f>
        <v>4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23">
        <f t="shared" si="3"/>
        <v>0</v>
      </c>
      <c r="AI306" s="31">
        <f t="shared" si="4"/>
        <v>4</v>
      </c>
      <c r="AJ306" s="32">
        <f t="shared" si="5"/>
        <v>4</v>
      </c>
      <c r="AK306" s="32">
        <f t="shared" si="6"/>
        <v>0</v>
      </c>
      <c r="AL306" s="25">
        <f>'MASTER STOCK'!I303</f>
        <v>11000</v>
      </c>
      <c r="AM306" s="27">
        <f>'MASTER STOCK'!L303</f>
        <v>11000</v>
      </c>
      <c r="AN306" s="26">
        <f t="shared" si="7"/>
        <v>0</v>
      </c>
      <c r="AO306" s="27">
        <f t="shared" si="8"/>
        <v>0</v>
      </c>
      <c r="AP306" s="25">
        <f t="shared" si="9"/>
        <v>0</v>
      </c>
      <c r="AQ306" s="10"/>
    </row>
    <row r="307">
      <c r="A307" s="29" t="str">
        <f>'MASTER STOCK'!F304</f>
        <v>Gagang Pintu</v>
      </c>
      <c r="B307" s="30">
        <f>'MASTER STOCK'!G304</f>
        <v>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23">
        <f t="shared" si="3"/>
        <v>0</v>
      </c>
      <c r="AI307" s="31">
        <f t="shared" si="4"/>
        <v>1</v>
      </c>
      <c r="AJ307" s="32">
        <f t="shared" si="5"/>
        <v>1</v>
      </c>
      <c r="AK307" s="32">
        <f t="shared" si="6"/>
        <v>0</v>
      </c>
      <c r="AL307" s="25">
        <f>'MASTER STOCK'!I304</f>
        <v>18000</v>
      </c>
      <c r="AM307" s="27">
        <f>'MASTER STOCK'!L304</f>
        <v>18000</v>
      </c>
      <c r="AN307" s="26">
        <f t="shared" si="7"/>
        <v>0</v>
      </c>
      <c r="AO307" s="27">
        <f t="shared" si="8"/>
        <v>0</v>
      </c>
      <c r="AP307" s="25">
        <f t="shared" si="9"/>
        <v>0</v>
      </c>
      <c r="AQ307" s="10"/>
    </row>
    <row r="308">
      <c r="A308" s="29" t="str">
        <f>'MASTER STOCK'!F305</f>
        <v>Sekrup  3cm</v>
      </c>
      <c r="B308" s="30">
        <f>'MASTER STOCK'!G305</f>
        <v>20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23">
        <f t="shared" si="3"/>
        <v>0</v>
      </c>
      <c r="AI308" s="31">
        <f t="shared" si="4"/>
        <v>20</v>
      </c>
      <c r="AJ308" s="32">
        <f t="shared" si="5"/>
        <v>20</v>
      </c>
      <c r="AK308" s="32">
        <f t="shared" si="6"/>
        <v>0</v>
      </c>
      <c r="AL308" s="25">
        <f>'MASTER STOCK'!I305</f>
        <v>0</v>
      </c>
      <c r="AM308" s="27">
        <f>'MASTER STOCK'!L305</f>
        <v>0</v>
      </c>
      <c r="AN308" s="26">
        <f t="shared" si="7"/>
        <v>0</v>
      </c>
      <c r="AO308" s="27">
        <f t="shared" si="8"/>
        <v>0</v>
      </c>
      <c r="AP308" s="25">
        <f t="shared" si="9"/>
        <v>0</v>
      </c>
      <c r="AQ308" s="10"/>
    </row>
    <row r="309">
      <c r="A309" s="29" t="str">
        <f>'MASTER STOCK'!F306</f>
        <v>Sekrup  2.5</v>
      </c>
      <c r="B309" s="30">
        <f>'MASTER STOCK'!G306</f>
        <v>10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23">
        <f t="shared" si="3"/>
        <v>0</v>
      </c>
      <c r="AI309" s="31">
        <f t="shared" si="4"/>
        <v>10</v>
      </c>
      <c r="AJ309" s="32">
        <f t="shared" si="5"/>
        <v>10</v>
      </c>
      <c r="AK309" s="32">
        <f t="shared" si="6"/>
        <v>0</v>
      </c>
      <c r="AL309" s="25">
        <f>'MASTER STOCK'!I306</f>
        <v>0</v>
      </c>
      <c r="AM309" s="27">
        <f>'MASTER STOCK'!L306</f>
        <v>0</v>
      </c>
      <c r="AN309" s="26">
        <f t="shared" si="7"/>
        <v>0</v>
      </c>
      <c r="AO309" s="27">
        <f t="shared" si="8"/>
        <v>0</v>
      </c>
      <c r="AP309" s="25">
        <f t="shared" si="9"/>
        <v>0</v>
      </c>
      <c r="AQ309" s="10"/>
    </row>
    <row r="310">
      <c r="A310" s="29" t="str">
        <f>'MASTER STOCK'!F307</f>
        <v>Roda etalase</v>
      </c>
      <c r="B310" s="30">
        <f>'MASTER STOCK'!G307</f>
        <v>4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23">
        <f t="shared" si="3"/>
        <v>0</v>
      </c>
      <c r="AI310" s="31">
        <f t="shared" si="4"/>
        <v>4</v>
      </c>
      <c r="AJ310" s="32">
        <f t="shared" si="5"/>
        <v>4</v>
      </c>
      <c r="AK310" s="32">
        <f t="shared" si="6"/>
        <v>0</v>
      </c>
      <c r="AL310" s="25">
        <f>'MASTER STOCK'!I307</f>
        <v>35000</v>
      </c>
      <c r="AM310" s="27">
        <f>'MASTER STOCK'!L307</f>
        <v>35000</v>
      </c>
      <c r="AN310" s="26">
        <f t="shared" si="7"/>
        <v>0</v>
      </c>
      <c r="AO310" s="27">
        <f t="shared" si="8"/>
        <v>0</v>
      </c>
      <c r="AP310" s="25">
        <f t="shared" si="9"/>
        <v>0</v>
      </c>
      <c r="AQ310" s="10"/>
    </row>
    <row r="311">
      <c r="A311" s="29" t="str">
        <f>'MASTER STOCK'!F308</f>
        <v>Gagang pintu besi  besar</v>
      </c>
      <c r="B311" s="30">
        <f>'MASTER STOCK'!G308</f>
        <v>7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23">
        <f t="shared" si="3"/>
        <v>0</v>
      </c>
      <c r="AI311" s="31">
        <f t="shared" si="4"/>
        <v>7</v>
      </c>
      <c r="AJ311" s="32">
        <f t="shared" si="5"/>
        <v>7</v>
      </c>
      <c r="AK311" s="32">
        <f t="shared" si="6"/>
        <v>0</v>
      </c>
      <c r="AL311" s="25">
        <f>'MASTER STOCK'!I308</f>
        <v>4500</v>
      </c>
      <c r="AM311" s="27">
        <f>'MASTER STOCK'!L308</f>
        <v>4500</v>
      </c>
      <c r="AN311" s="26">
        <f t="shared" si="7"/>
        <v>0</v>
      </c>
      <c r="AO311" s="27">
        <f t="shared" si="8"/>
        <v>0</v>
      </c>
      <c r="AP311" s="25">
        <f t="shared" si="9"/>
        <v>0</v>
      </c>
      <c r="AQ311" s="10"/>
    </row>
    <row r="312">
      <c r="A312" s="29" t="str">
        <f>'MASTER STOCK'!F309</f>
        <v>Gagang pintu besi  Kecil</v>
      </c>
      <c r="B312" s="30">
        <f>'MASTER STOCK'!G309</f>
        <v>2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23">
        <f t="shared" si="3"/>
        <v>0</v>
      </c>
      <c r="AI312" s="31">
        <f t="shared" si="4"/>
        <v>2</v>
      </c>
      <c r="AJ312" s="32">
        <f t="shared" si="5"/>
        <v>2</v>
      </c>
      <c r="AK312" s="32">
        <f t="shared" si="6"/>
        <v>0</v>
      </c>
      <c r="AL312" s="25">
        <f>'MASTER STOCK'!I309</f>
        <v>2000</v>
      </c>
      <c r="AM312" s="27">
        <f>'MASTER STOCK'!L309</f>
        <v>2000</v>
      </c>
      <c r="AN312" s="26">
        <f t="shared" si="7"/>
        <v>0</v>
      </c>
      <c r="AO312" s="27">
        <f t="shared" si="8"/>
        <v>0</v>
      </c>
      <c r="AP312" s="25">
        <f t="shared" si="9"/>
        <v>0</v>
      </c>
      <c r="AQ312" s="10"/>
    </row>
    <row r="313">
      <c r="A313" s="29" t="str">
        <f>'MASTER STOCK'!F310</f>
        <v>Sekrup  6 x 1</v>
      </c>
      <c r="B313" s="30">
        <f>'MASTER STOCK'!G310</f>
        <v>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23">
        <f t="shared" si="3"/>
        <v>0</v>
      </c>
      <c r="AI313" s="31">
        <f t="shared" si="4"/>
        <v>1</v>
      </c>
      <c r="AJ313" s="32">
        <f t="shared" si="5"/>
        <v>1</v>
      </c>
      <c r="AK313" s="32">
        <f t="shared" si="6"/>
        <v>0</v>
      </c>
      <c r="AL313" s="25">
        <f>'MASTER STOCK'!I310</f>
        <v>0</v>
      </c>
      <c r="AM313" s="27">
        <f>'MASTER STOCK'!L310</f>
        <v>0</v>
      </c>
      <c r="AN313" s="26">
        <f t="shared" si="7"/>
        <v>0</v>
      </c>
      <c r="AO313" s="27">
        <f t="shared" si="8"/>
        <v>0</v>
      </c>
      <c r="AP313" s="25">
        <f t="shared" si="9"/>
        <v>0</v>
      </c>
      <c r="AQ313" s="10"/>
    </row>
    <row r="314">
      <c r="A314" s="29" t="str">
        <f>'MASTER STOCK'!F311</f>
        <v>Klem kabel  8 mm</v>
      </c>
      <c r="B314" s="30">
        <f>'MASTER STOCK'!G311</f>
        <v>4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23">
        <f t="shared" si="3"/>
        <v>0</v>
      </c>
      <c r="AI314" s="31">
        <f t="shared" si="4"/>
        <v>4</v>
      </c>
      <c r="AJ314" s="32">
        <f t="shared" si="5"/>
        <v>4</v>
      </c>
      <c r="AK314" s="32">
        <f t="shared" si="6"/>
        <v>0</v>
      </c>
      <c r="AL314" s="25">
        <f>'MASTER STOCK'!I311</f>
        <v>14000</v>
      </c>
      <c r="AM314" s="27">
        <f>'MASTER STOCK'!L311</f>
        <v>14000</v>
      </c>
      <c r="AN314" s="26">
        <f t="shared" si="7"/>
        <v>0</v>
      </c>
      <c r="AO314" s="27">
        <f t="shared" si="8"/>
        <v>0</v>
      </c>
      <c r="AP314" s="25">
        <f t="shared" si="9"/>
        <v>0</v>
      </c>
      <c r="AQ314" s="10"/>
    </row>
    <row r="315">
      <c r="A315" s="29" t="str">
        <f>'MASTER STOCK'!F312</f>
        <v>Klem kabel  9 mm</v>
      </c>
      <c r="B315" s="30">
        <f>'MASTER STOCK'!G312</f>
        <v>2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23">
        <f t="shared" si="3"/>
        <v>0</v>
      </c>
      <c r="AI315" s="31">
        <f t="shared" si="4"/>
        <v>2</v>
      </c>
      <c r="AJ315" s="32">
        <f t="shared" si="5"/>
        <v>2</v>
      </c>
      <c r="AK315" s="32">
        <f t="shared" si="6"/>
        <v>0</v>
      </c>
      <c r="AL315" s="25">
        <f>'MASTER STOCK'!I312</f>
        <v>14000</v>
      </c>
      <c r="AM315" s="27">
        <f>'MASTER STOCK'!L312</f>
        <v>14000</v>
      </c>
      <c r="AN315" s="26">
        <f t="shared" si="7"/>
        <v>0</v>
      </c>
      <c r="AO315" s="27">
        <f t="shared" si="8"/>
        <v>0</v>
      </c>
      <c r="AP315" s="25">
        <f t="shared" si="9"/>
        <v>0</v>
      </c>
      <c r="AQ315" s="10"/>
    </row>
    <row r="316">
      <c r="A316" s="29" t="str">
        <f>'MASTER STOCK'!F313</f>
        <v>Fishcer 8 mm</v>
      </c>
      <c r="B316" s="30">
        <f>'MASTER STOCK'!G313</f>
        <v>4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23">
        <f t="shared" si="3"/>
        <v>0</v>
      </c>
      <c r="AI316" s="31">
        <f t="shared" si="4"/>
        <v>4</v>
      </c>
      <c r="AJ316" s="32">
        <f t="shared" si="5"/>
        <v>4</v>
      </c>
      <c r="AK316" s="32">
        <f t="shared" si="6"/>
        <v>0</v>
      </c>
      <c r="AL316" s="25">
        <f>'MASTER STOCK'!I313</f>
        <v>15000</v>
      </c>
      <c r="AM316" s="27">
        <f>'MASTER STOCK'!L313</f>
        <v>15000</v>
      </c>
      <c r="AN316" s="26">
        <f t="shared" si="7"/>
        <v>0</v>
      </c>
      <c r="AO316" s="27">
        <f t="shared" si="8"/>
        <v>0</v>
      </c>
      <c r="AP316" s="25">
        <f t="shared" si="9"/>
        <v>0</v>
      </c>
      <c r="AQ316" s="10"/>
    </row>
    <row r="317">
      <c r="A317" s="29" t="str">
        <f>'MASTER STOCK'!F314</f>
        <v>Fishcer 5 mm</v>
      </c>
      <c r="B317" s="30">
        <f>'MASTER STOCK'!G314</f>
        <v>3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23">
        <f t="shared" si="3"/>
        <v>0</v>
      </c>
      <c r="AI317" s="31">
        <f t="shared" si="4"/>
        <v>3</v>
      </c>
      <c r="AJ317" s="32">
        <f t="shared" si="5"/>
        <v>3</v>
      </c>
      <c r="AK317" s="32">
        <f t="shared" si="6"/>
        <v>0</v>
      </c>
      <c r="AL317" s="25">
        <f>'MASTER STOCK'!I314</f>
        <v>10000</v>
      </c>
      <c r="AM317" s="27">
        <f>'MASTER STOCK'!L314</f>
        <v>10000</v>
      </c>
      <c r="AN317" s="26">
        <f t="shared" si="7"/>
        <v>0</v>
      </c>
      <c r="AO317" s="27">
        <f t="shared" si="8"/>
        <v>0</v>
      </c>
      <c r="AP317" s="25">
        <f t="shared" si="9"/>
        <v>0</v>
      </c>
      <c r="AQ317" s="10"/>
    </row>
    <row r="318">
      <c r="A318" s="29" t="str">
        <f>'MASTER STOCK'!F315</f>
        <v>Kran besi 3/4</v>
      </c>
      <c r="B318" s="30">
        <f>'MASTER STOCK'!G315</f>
        <v>2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23">
        <f t="shared" si="3"/>
        <v>0</v>
      </c>
      <c r="AI318" s="31">
        <f t="shared" si="4"/>
        <v>2</v>
      </c>
      <c r="AJ318" s="32">
        <f t="shared" si="5"/>
        <v>2</v>
      </c>
      <c r="AK318" s="32">
        <f t="shared" si="6"/>
        <v>0</v>
      </c>
      <c r="AL318" s="25">
        <f>'MASTER STOCK'!I315</f>
        <v>27500</v>
      </c>
      <c r="AM318" s="27">
        <f>'MASTER STOCK'!L315</f>
        <v>27500</v>
      </c>
      <c r="AN318" s="26">
        <f t="shared" si="7"/>
        <v>0</v>
      </c>
      <c r="AO318" s="27">
        <f t="shared" si="8"/>
        <v>0</v>
      </c>
      <c r="AP318" s="25">
        <f t="shared" si="9"/>
        <v>0</v>
      </c>
      <c r="AQ318" s="10"/>
    </row>
    <row r="319">
      <c r="A319" s="29" t="str">
        <f>'MASTER STOCK'!F316</f>
        <v>Gunting tanggung</v>
      </c>
      <c r="B319" s="30">
        <f>'MASTER STOCK'!G316</f>
        <v>2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23">
        <f t="shared" si="3"/>
        <v>0</v>
      </c>
      <c r="AI319" s="31">
        <f t="shared" si="4"/>
        <v>2</v>
      </c>
      <c r="AJ319" s="32">
        <f t="shared" si="5"/>
        <v>2</v>
      </c>
      <c r="AK319" s="32">
        <f t="shared" si="6"/>
        <v>0</v>
      </c>
      <c r="AL319" s="25">
        <f>'MASTER STOCK'!I316</f>
        <v>10000</v>
      </c>
      <c r="AM319" s="27">
        <f>'MASTER STOCK'!L316</f>
        <v>10000</v>
      </c>
      <c r="AN319" s="26">
        <f t="shared" si="7"/>
        <v>0</v>
      </c>
      <c r="AO319" s="27">
        <f t="shared" si="8"/>
        <v>0</v>
      </c>
      <c r="AP319" s="25">
        <f t="shared" si="9"/>
        <v>0</v>
      </c>
      <c r="AQ319" s="10"/>
    </row>
    <row r="320">
      <c r="A320" s="29" t="str">
        <f>'MASTER STOCK'!F317</f>
        <v>Stop kran PVC onda 3/4</v>
      </c>
      <c r="B320" s="30">
        <f>'MASTER STOCK'!G317</f>
        <v>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23">
        <f t="shared" si="3"/>
        <v>0</v>
      </c>
      <c r="AI320" s="31">
        <f t="shared" si="4"/>
        <v>1</v>
      </c>
      <c r="AJ320" s="32">
        <f t="shared" si="5"/>
        <v>1</v>
      </c>
      <c r="AK320" s="32">
        <f t="shared" si="6"/>
        <v>0</v>
      </c>
      <c r="AL320" s="25">
        <f>'MASTER STOCK'!I317</f>
        <v>31000</v>
      </c>
      <c r="AM320" s="27">
        <f>'MASTER STOCK'!L317</f>
        <v>31000</v>
      </c>
      <c r="AN320" s="26">
        <f t="shared" si="7"/>
        <v>0</v>
      </c>
      <c r="AO320" s="27">
        <f t="shared" si="8"/>
        <v>0</v>
      </c>
      <c r="AP320" s="25">
        <f t="shared" si="9"/>
        <v>0</v>
      </c>
      <c r="AQ320" s="10"/>
    </row>
    <row r="321">
      <c r="A321" s="29" t="str">
        <f>'MASTER STOCK'!F318</f>
        <v>Stop kran PVC move 1/2</v>
      </c>
      <c r="B321" s="30">
        <f>'MASTER STOCK'!G318</f>
        <v>3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23">
        <f t="shared" si="3"/>
        <v>0</v>
      </c>
      <c r="AI321" s="31">
        <f t="shared" si="4"/>
        <v>3</v>
      </c>
      <c r="AJ321" s="32">
        <f t="shared" si="5"/>
        <v>3</v>
      </c>
      <c r="AK321" s="32">
        <f t="shared" si="6"/>
        <v>0</v>
      </c>
      <c r="AL321" s="25">
        <f>'MASTER STOCK'!I318</f>
        <v>21000</v>
      </c>
      <c r="AM321" s="27">
        <f>'MASTER STOCK'!L318</f>
        <v>21000</v>
      </c>
      <c r="AN321" s="26">
        <f t="shared" si="7"/>
        <v>0</v>
      </c>
      <c r="AO321" s="27">
        <f t="shared" si="8"/>
        <v>0</v>
      </c>
      <c r="AP321" s="25">
        <f t="shared" si="9"/>
        <v>0</v>
      </c>
      <c r="AQ321" s="10"/>
    </row>
    <row r="322">
      <c r="A322" s="29" t="str">
        <f>'MASTER STOCK'!F319</f>
        <v>Ungkal</v>
      </c>
      <c r="B322" s="30">
        <f>'MASTER STOCK'!G319</f>
        <v>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23">
        <f t="shared" si="3"/>
        <v>0</v>
      </c>
      <c r="AI322" s="31">
        <f t="shared" si="4"/>
        <v>1</v>
      </c>
      <c r="AJ322" s="32">
        <f t="shared" si="5"/>
        <v>1</v>
      </c>
      <c r="AK322" s="32">
        <f t="shared" si="6"/>
        <v>0</v>
      </c>
      <c r="AL322" s="25">
        <f>'MASTER STOCK'!I319</f>
        <v>22500</v>
      </c>
      <c r="AM322" s="27">
        <f>'MASTER STOCK'!L319</f>
        <v>22500</v>
      </c>
      <c r="AN322" s="26">
        <f t="shared" si="7"/>
        <v>0</v>
      </c>
      <c r="AO322" s="27">
        <f t="shared" si="8"/>
        <v>0</v>
      </c>
      <c r="AP322" s="25">
        <f t="shared" si="9"/>
        <v>0</v>
      </c>
      <c r="AQ322" s="10"/>
    </row>
    <row r="323">
      <c r="A323" s="29" t="str">
        <f>'MASTER STOCK'!F320</f>
        <v>Stop kran PVC jia rong 1</v>
      </c>
      <c r="B323" s="30">
        <f>'MASTER STOCK'!G320</f>
        <v>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23">
        <f t="shared" si="3"/>
        <v>0</v>
      </c>
      <c r="AI323" s="31">
        <f t="shared" si="4"/>
        <v>1</v>
      </c>
      <c r="AJ323" s="32">
        <f t="shared" si="5"/>
        <v>1</v>
      </c>
      <c r="AK323" s="32">
        <f t="shared" si="6"/>
        <v>0</v>
      </c>
      <c r="AL323" s="25">
        <f>'MASTER STOCK'!I320</f>
        <v>28500</v>
      </c>
      <c r="AM323" s="27">
        <f>'MASTER STOCK'!L320</f>
        <v>28500</v>
      </c>
      <c r="AN323" s="26">
        <f t="shared" si="7"/>
        <v>0</v>
      </c>
      <c r="AO323" s="27">
        <f t="shared" si="8"/>
        <v>0</v>
      </c>
      <c r="AP323" s="25">
        <f t="shared" si="9"/>
        <v>0</v>
      </c>
      <c r="AQ323" s="10"/>
    </row>
    <row r="324">
      <c r="A324" s="29" t="str">
        <f>'MASTER STOCK'!F321</f>
        <v>Stop kran move 1</v>
      </c>
      <c r="B324" s="30">
        <f>'MASTER STOCK'!G321</f>
        <v>2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23">
        <f t="shared" si="3"/>
        <v>0</v>
      </c>
      <c r="AI324" s="31">
        <f t="shared" si="4"/>
        <v>2</v>
      </c>
      <c r="AJ324" s="32">
        <f t="shared" si="5"/>
        <v>2</v>
      </c>
      <c r="AK324" s="32">
        <f t="shared" si="6"/>
        <v>0</v>
      </c>
      <c r="AL324" s="25">
        <f>'MASTER STOCK'!I321</f>
        <v>21000</v>
      </c>
      <c r="AM324" s="27">
        <f>'MASTER STOCK'!L321</f>
        <v>21000</v>
      </c>
      <c r="AN324" s="26">
        <f t="shared" si="7"/>
        <v>0</v>
      </c>
      <c r="AO324" s="27">
        <f t="shared" si="8"/>
        <v>0</v>
      </c>
      <c r="AP324" s="25">
        <f t="shared" si="9"/>
        <v>0</v>
      </c>
      <c r="AQ324" s="10"/>
    </row>
    <row r="325">
      <c r="A325" s="29" t="str">
        <f>'MASTER STOCK'!F322</f>
        <v>Pegangan laci/ lemari  3</v>
      </c>
      <c r="B325" s="30">
        <f>'MASTER STOCK'!G322</f>
        <v>21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23">
        <f t="shared" si="3"/>
        <v>0</v>
      </c>
      <c r="AI325" s="31">
        <f t="shared" si="4"/>
        <v>21</v>
      </c>
      <c r="AJ325" s="32">
        <f t="shared" si="5"/>
        <v>21</v>
      </c>
      <c r="AK325" s="32">
        <f t="shared" si="6"/>
        <v>0</v>
      </c>
      <c r="AL325" s="25">
        <f>'MASTER STOCK'!I322</f>
        <v>1500</v>
      </c>
      <c r="AM325" s="27">
        <f>'MASTER STOCK'!L322</f>
        <v>1500</v>
      </c>
      <c r="AN325" s="26">
        <f t="shared" si="7"/>
        <v>0</v>
      </c>
      <c r="AO325" s="27">
        <f t="shared" si="8"/>
        <v>0</v>
      </c>
      <c r="AP325" s="25">
        <f t="shared" si="9"/>
        <v>0</v>
      </c>
      <c r="AQ325" s="10"/>
    </row>
    <row r="326">
      <c r="A326" s="29" t="str">
        <f>'MASTER STOCK'!F323</f>
        <v>Pegangan laci/ lemari  4</v>
      </c>
      <c r="B326" s="30">
        <f>'MASTER STOCK'!G323</f>
        <v>5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23">
        <f t="shared" si="3"/>
        <v>0</v>
      </c>
      <c r="AI326" s="31">
        <f t="shared" si="4"/>
        <v>5</v>
      </c>
      <c r="AJ326" s="32">
        <f t="shared" si="5"/>
        <v>5</v>
      </c>
      <c r="AK326" s="32">
        <f t="shared" si="6"/>
        <v>0</v>
      </c>
      <c r="AL326" s="25">
        <f>'MASTER STOCK'!I323</f>
        <v>2000</v>
      </c>
      <c r="AM326" s="27">
        <f>'MASTER STOCK'!L323</f>
        <v>2000</v>
      </c>
      <c r="AN326" s="26">
        <f t="shared" si="7"/>
        <v>0</v>
      </c>
      <c r="AO326" s="27">
        <f t="shared" si="8"/>
        <v>0</v>
      </c>
      <c r="AP326" s="25">
        <f t="shared" si="9"/>
        <v>0</v>
      </c>
      <c r="AQ326" s="10"/>
    </row>
    <row r="327">
      <c r="A327" s="29" t="str">
        <f>'MASTER STOCK'!F324</f>
        <v>cutter besar</v>
      </c>
      <c r="B327" s="30">
        <f>'MASTER STOCK'!G324</f>
        <v>3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23">
        <f t="shared" si="3"/>
        <v>0</v>
      </c>
      <c r="AI327" s="31">
        <f t="shared" si="4"/>
        <v>3</v>
      </c>
      <c r="AJ327" s="32">
        <f t="shared" si="5"/>
        <v>3</v>
      </c>
      <c r="AK327" s="32">
        <f t="shared" si="6"/>
        <v>0</v>
      </c>
      <c r="AL327" s="25">
        <f>'MASTER STOCK'!I324</f>
        <v>5000</v>
      </c>
      <c r="AM327" s="27">
        <f>'MASTER STOCK'!L324</f>
        <v>5000</v>
      </c>
      <c r="AN327" s="26">
        <f t="shared" si="7"/>
        <v>0</v>
      </c>
      <c r="AO327" s="27">
        <f t="shared" si="8"/>
        <v>0</v>
      </c>
      <c r="AP327" s="25">
        <f t="shared" si="9"/>
        <v>0</v>
      </c>
      <c r="AQ327" s="10"/>
    </row>
    <row r="328">
      <c r="A328" s="29" t="str">
        <f>'MASTER STOCK'!F325</f>
        <v>Paku beton 1</v>
      </c>
      <c r="B328" s="30">
        <f>'MASTER STOCK'!G325</f>
        <v>2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23">
        <f t="shared" si="3"/>
        <v>0</v>
      </c>
      <c r="AI328" s="31">
        <f t="shared" si="4"/>
        <v>2</v>
      </c>
      <c r="AJ328" s="32">
        <f t="shared" si="5"/>
        <v>2</v>
      </c>
      <c r="AK328" s="32">
        <f t="shared" si="6"/>
        <v>0</v>
      </c>
      <c r="AL328" s="25">
        <f>'MASTER STOCK'!I325</f>
        <v>14000</v>
      </c>
      <c r="AM328" s="27">
        <f>'MASTER STOCK'!L325</f>
        <v>14000</v>
      </c>
      <c r="AN328" s="26">
        <f t="shared" si="7"/>
        <v>0</v>
      </c>
      <c r="AO328" s="27">
        <f t="shared" si="8"/>
        <v>0</v>
      </c>
      <c r="AP328" s="25">
        <f t="shared" si="9"/>
        <v>0</v>
      </c>
      <c r="AQ328" s="10"/>
    </row>
    <row r="329">
      <c r="A329" s="29" t="str">
        <f>'MASTER STOCK'!F326</f>
        <v>Footklem PVC 1 royal 3/4</v>
      </c>
      <c r="B329" s="30">
        <f>'MASTER STOCK'!G326</f>
        <v>2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23">
        <f t="shared" si="3"/>
        <v>0</v>
      </c>
      <c r="AI329" s="31">
        <f t="shared" si="4"/>
        <v>2</v>
      </c>
      <c r="AJ329" s="32">
        <f t="shared" si="5"/>
        <v>2</v>
      </c>
      <c r="AK329" s="32">
        <f t="shared" si="6"/>
        <v>0</v>
      </c>
      <c r="AL329" s="25">
        <f>'MASTER STOCK'!I326</f>
        <v>16500</v>
      </c>
      <c r="AM329" s="27">
        <f>'MASTER STOCK'!L326</f>
        <v>16500</v>
      </c>
      <c r="AN329" s="26">
        <f t="shared" si="7"/>
        <v>0</v>
      </c>
      <c r="AO329" s="27">
        <f t="shared" si="8"/>
        <v>0</v>
      </c>
      <c r="AP329" s="25">
        <f t="shared" si="9"/>
        <v>0</v>
      </c>
      <c r="AQ329" s="10"/>
    </row>
    <row r="330">
      <c r="A330" s="29" t="str">
        <f>'MASTER STOCK'!F327</f>
        <v>Footklem PVC 1 royal 1</v>
      </c>
      <c r="B330" s="30">
        <f>'MASTER STOCK'!G327</f>
        <v>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23">
        <f t="shared" si="3"/>
        <v>0</v>
      </c>
      <c r="AI330" s="31">
        <f t="shared" si="4"/>
        <v>1</v>
      </c>
      <c r="AJ330" s="32">
        <f t="shared" si="5"/>
        <v>1</v>
      </c>
      <c r="AK330" s="32">
        <f t="shared" si="6"/>
        <v>0</v>
      </c>
      <c r="AL330" s="25">
        <f>'MASTER STOCK'!I327</f>
        <v>17000</v>
      </c>
      <c r="AM330" s="27">
        <f>'MASTER STOCK'!L327</f>
        <v>17000</v>
      </c>
      <c r="AN330" s="26">
        <f t="shared" si="7"/>
        <v>0</v>
      </c>
      <c r="AO330" s="27">
        <f t="shared" si="8"/>
        <v>0</v>
      </c>
      <c r="AP330" s="25">
        <f t="shared" si="9"/>
        <v>0</v>
      </c>
      <c r="AQ330" s="10"/>
    </row>
    <row r="331">
      <c r="A331" s="29" t="str">
        <f>'MASTER STOCK'!F328</f>
        <v>Tinner 1/2liter</v>
      </c>
      <c r="B331" s="30">
        <f>'MASTER STOCK'!G328</f>
        <v>3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23">
        <f t="shared" si="3"/>
        <v>0</v>
      </c>
      <c r="AI331" s="31">
        <f t="shared" si="4"/>
        <v>3</v>
      </c>
      <c r="AJ331" s="32">
        <f t="shared" si="5"/>
        <v>3</v>
      </c>
      <c r="AK331" s="32">
        <f t="shared" si="6"/>
        <v>0</v>
      </c>
      <c r="AL331" s="25">
        <f>'MASTER STOCK'!I328</f>
        <v>20000</v>
      </c>
      <c r="AM331" s="27">
        <f>'MASTER STOCK'!L328</f>
        <v>20000</v>
      </c>
      <c r="AN331" s="26">
        <f t="shared" si="7"/>
        <v>0</v>
      </c>
      <c r="AO331" s="27">
        <f t="shared" si="8"/>
        <v>0</v>
      </c>
      <c r="AP331" s="25">
        <f t="shared" si="9"/>
        <v>0</v>
      </c>
      <c r="AQ331" s="10"/>
    </row>
    <row r="332">
      <c r="A332" s="29" t="str">
        <f>'MASTER STOCK'!F329</f>
        <v>Cat emco</v>
      </c>
      <c r="B332" s="30">
        <f>'MASTER STOCK'!G329</f>
        <v>3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23">
        <f t="shared" si="3"/>
        <v>0</v>
      </c>
      <c r="AI332" s="31">
        <f t="shared" si="4"/>
        <v>3</v>
      </c>
      <c r="AJ332" s="32">
        <f t="shared" si="5"/>
        <v>3</v>
      </c>
      <c r="AK332" s="32">
        <f t="shared" si="6"/>
        <v>0</v>
      </c>
      <c r="AL332" s="25">
        <f>'MASTER STOCK'!I329</f>
        <v>22000</v>
      </c>
      <c r="AM332" s="27">
        <f>'MASTER STOCK'!L329</f>
        <v>22000</v>
      </c>
      <c r="AN332" s="26">
        <f t="shared" si="7"/>
        <v>0</v>
      </c>
      <c r="AO332" s="27">
        <f t="shared" si="8"/>
        <v>0</v>
      </c>
      <c r="AP332" s="25">
        <f t="shared" si="9"/>
        <v>0</v>
      </c>
      <c r="AQ332" s="10"/>
    </row>
    <row r="333">
      <c r="A333" s="29" t="str">
        <f>'MASTER STOCK'!F330</f>
        <v>Cat kayu avian 25cc</v>
      </c>
      <c r="B333" s="30">
        <f>'MASTER STOCK'!G330</f>
        <v>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23">
        <f t="shared" si="3"/>
        <v>0</v>
      </c>
      <c r="AI333" s="31">
        <f t="shared" si="4"/>
        <v>1</v>
      </c>
      <c r="AJ333" s="32">
        <f t="shared" si="5"/>
        <v>1</v>
      </c>
      <c r="AK333" s="32">
        <f t="shared" si="6"/>
        <v>0</v>
      </c>
      <c r="AL333" s="25">
        <f>'MASTER STOCK'!I330</f>
        <v>5500</v>
      </c>
      <c r="AM333" s="27">
        <f>'MASTER STOCK'!L330</f>
        <v>5500</v>
      </c>
      <c r="AN333" s="26">
        <f t="shared" si="7"/>
        <v>0</v>
      </c>
      <c r="AO333" s="27">
        <f t="shared" si="8"/>
        <v>0</v>
      </c>
      <c r="AP333" s="25">
        <f t="shared" si="9"/>
        <v>0</v>
      </c>
      <c r="AQ333" s="10"/>
    </row>
    <row r="334">
      <c r="A334" s="29" t="str">
        <f>'MASTER STOCK'!F331</f>
        <v>Engsel Pintu</v>
      </c>
      <c r="B334" s="30">
        <f>'MASTER STOCK'!G331</f>
        <v>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23">
        <f t="shared" si="3"/>
        <v>0</v>
      </c>
      <c r="AI334" s="31">
        <f t="shared" si="4"/>
        <v>1</v>
      </c>
      <c r="AJ334" s="32">
        <f t="shared" si="5"/>
        <v>1</v>
      </c>
      <c r="AK334" s="32">
        <f t="shared" si="6"/>
        <v>0</v>
      </c>
      <c r="AL334" s="25">
        <f>'MASTER STOCK'!I331</f>
        <v>23000</v>
      </c>
      <c r="AM334" s="27">
        <f>'MASTER STOCK'!L331</f>
        <v>23000</v>
      </c>
      <c r="AN334" s="26">
        <f t="shared" si="7"/>
        <v>0</v>
      </c>
      <c r="AO334" s="27">
        <f t="shared" si="8"/>
        <v>0</v>
      </c>
      <c r="AP334" s="25">
        <f t="shared" si="9"/>
        <v>0</v>
      </c>
      <c r="AQ334" s="10"/>
    </row>
    <row r="335">
      <c r="A335" s="29" t="str">
        <f>'MASTER STOCK'!F332</f>
        <v>Lem tikus</v>
      </c>
      <c r="B335" s="30">
        <f>'MASTER STOCK'!G332</f>
        <v>2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23">
        <f t="shared" si="3"/>
        <v>0</v>
      </c>
      <c r="AI335" s="31">
        <f t="shared" si="4"/>
        <v>2</v>
      </c>
      <c r="AJ335" s="32">
        <f t="shared" si="5"/>
        <v>2</v>
      </c>
      <c r="AK335" s="32">
        <f t="shared" si="6"/>
        <v>0</v>
      </c>
      <c r="AL335" s="25">
        <f>'MASTER STOCK'!I332</f>
        <v>21000</v>
      </c>
      <c r="AM335" s="27">
        <f>'MASTER STOCK'!L332</f>
        <v>21000</v>
      </c>
      <c r="AN335" s="26">
        <f t="shared" si="7"/>
        <v>0</v>
      </c>
      <c r="AO335" s="27">
        <f t="shared" si="8"/>
        <v>0</v>
      </c>
      <c r="AP335" s="25">
        <f t="shared" si="9"/>
        <v>0</v>
      </c>
      <c r="AQ335" s="10"/>
    </row>
    <row r="336">
      <c r="A336" s="29" t="str">
        <f>'MASTER STOCK'!F333</f>
        <v>Catut 6"</v>
      </c>
      <c r="B336" s="30">
        <f>'MASTER STOCK'!G333</f>
        <v>6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23">
        <f t="shared" si="3"/>
        <v>0</v>
      </c>
      <c r="AI336" s="31">
        <f t="shared" si="4"/>
        <v>6</v>
      </c>
      <c r="AJ336" s="32">
        <f t="shared" si="5"/>
        <v>6</v>
      </c>
      <c r="AK336" s="32">
        <f t="shared" si="6"/>
        <v>0</v>
      </c>
      <c r="AL336" s="25">
        <f>'MASTER STOCK'!I333</f>
        <v>15000</v>
      </c>
      <c r="AM336" s="27">
        <f>'MASTER STOCK'!L333</f>
        <v>15000</v>
      </c>
      <c r="AN336" s="26">
        <f t="shared" si="7"/>
        <v>0</v>
      </c>
      <c r="AO336" s="27">
        <f t="shared" si="8"/>
        <v>0</v>
      </c>
      <c r="AP336" s="25">
        <f t="shared" si="9"/>
        <v>0</v>
      </c>
      <c r="AQ336" s="10"/>
    </row>
    <row r="337">
      <c r="A337" s="29" t="str">
        <f>'MASTER STOCK'!F334</f>
        <v>Catut 9"</v>
      </c>
      <c r="B337" s="30">
        <f>'MASTER STOCK'!G334</f>
        <v>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23">
        <f t="shared" si="3"/>
        <v>0</v>
      </c>
      <c r="AI337" s="31">
        <f t="shared" si="4"/>
        <v>1</v>
      </c>
      <c r="AJ337" s="32">
        <f t="shared" si="5"/>
        <v>1</v>
      </c>
      <c r="AK337" s="32">
        <f t="shared" si="6"/>
        <v>0</v>
      </c>
      <c r="AL337" s="25">
        <f>'MASTER STOCK'!I334</f>
        <v>17000</v>
      </c>
      <c r="AM337" s="27">
        <f>'MASTER STOCK'!L334</f>
        <v>17000</v>
      </c>
      <c r="AN337" s="26">
        <f t="shared" si="7"/>
        <v>0</v>
      </c>
      <c r="AO337" s="27">
        <f t="shared" si="8"/>
        <v>0</v>
      </c>
      <c r="AP337" s="25">
        <f t="shared" si="9"/>
        <v>0</v>
      </c>
      <c r="AQ337" s="10"/>
    </row>
    <row r="338">
      <c r="A338" s="29" t="str">
        <f>'MASTER STOCK'!F335</f>
        <v>Kunci  lemari/laci</v>
      </c>
      <c r="B338" s="30">
        <f>'MASTER STOCK'!G335</f>
        <v>10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23">
        <f t="shared" si="3"/>
        <v>0</v>
      </c>
      <c r="AI338" s="31">
        <f t="shared" si="4"/>
        <v>10</v>
      </c>
      <c r="AJ338" s="32">
        <f t="shared" si="5"/>
        <v>10</v>
      </c>
      <c r="AK338" s="32">
        <f t="shared" si="6"/>
        <v>0</v>
      </c>
      <c r="AL338" s="25">
        <f>'MASTER STOCK'!I335</f>
        <v>20000</v>
      </c>
      <c r="AM338" s="27">
        <f>'MASTER STOCK'!L335</f>
        <v>20000</v>
      </c>
      <c r="AN338" s="26">
        <f t="shared" si="7"/>
        <v>0</v>
      </c>
      <c r="AO338" s="27">
        <f t="shared" si="8"/>
        <v>0</v>
      </c>
      <c r="AP338" s="25">
        <f t="shared" si="9"/>
        <v>0</v>
      </c>
      <c r="AQ338" s="10"/>
    </row>
    <row r="339">
      <c r="A339" s="29" t="str">
        <f>'MASTER STOCK'!F336</f>
        <v>Microphone</v>
      </c>
      <c r="B339" s="30">
        <f>'MASTER STOCK'!G336</f>
        <v>3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23">
        <f t="shared" si="3"/>
        <v>0</v>
      </c>
      <c r="AI339" s="31">
        <f t="shared" si="4"/>
        <v>3</v>
      </c>
      <c r="AJ339" s="32">
        <f t="shared" si="5"/>
        <v>3</v>
      </c>
      <c r="AK339" s="32">
        <f t="shared" si="6"/>
        <v>0</v>
      </c>
      <c r="AL339" s="25">
        <f>'MASTER STOCK'!I336</f>
        <v>75000</v>
      </c>
      <c r="AM339" s="27">
        <f>'MASTER STOCK'!L336</f>
        <v>75000</v>
      </c>
      <c r="AN339" s="26">
        <f t="shared" si="7"/>
        <v>0</v>
      </c>
      <c r="AO339" s="27">
        <f t="shared" si="8"/>
        <v>0</v>
      </c>
      <c r="AP339" s="25">
        <f t="shared" si="9"/>
        <v>0</v>
      </c>
      <c r="AQ339" s="10"/>
    </row>
    <row r="340">
      <c r="A340" s="29" t="str">
        <f>'MASTER STOCK'!F337</f>
        <v>Isolasi kecil</v>
      </c>
      <c r="B340" s="30">
        <f>'MASTER STOCK'!G337</f>
        <v>2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23">
        <f t="shared" si="3"/>
        <v>0</v>
      </c>
      <c r="AI340" s="31">
        <f t="shared" si="4"/>
        <v>2</v>
      </c>
      <c r="AJ340" s="32">
        <f t="shared" si="5"/>
        <v>2</v>
      </c>
      <c r="AK340" s="32">
        <f t="shared" si="6"/>
        <v>0</v>
      </c>
      <c r="AL340" s="25">
        <f>'MASTER STOCK'!I337</f>
        <v>3000</v>
      </c>
      <c r="AM340" s="27">
        <f>'MASTER STOCK'!L337</f>
        <v>3000</v>
      </c>
      <c r="AN340" s="26">
        <f t="shared" si="7"/>
        <v>0</v>
      </c>
      <c r="AO340" s="27">
        <f t="shared" si="8"/>
        <v>0</v>
      </c>
      <c r="AP340" s="25">
        <f t="shared" si="9"/>
        <v>0</v>
      </c>
      <c r="AQ340" s="10"/>
    </row>
    <row r="341">
      <c r="A341" s="29" t="str">
        <f>'MASTER STOCK'!F338</f>
        <v>Lakban coklat</v>
      </c>
      <c r="B341" s="30">
        <f>'MASTER STOCK'!G338</f>
        <v>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23">
        <f t="shared" si="3"/>
        <v>0</v>
      </c>
      <c r="AI341" s="31">
        <f t="shared" si="4"/>
        <v>1</v>
      </c>
      <c r="AJ341" s="32">
        <f t="shared" si="5"/>
        <v>1</v>
      </c>
      <c r="AK341" s="32">
        <f t="shared" si="6"/>
        <v>0</v>
      </c>
      <c r="AL341" s="25">
        <f>'MASTER STOCK'!I338</f>
        <v>15000</v>
      </c>
      <c r="AM341" s="27">
        <f>'MASTER STOCK'!L338</f>
        <v>15000</v>
      </c>
      <c r="AN341" s="26">
        <f t="shared" si="7"/>
        <v>0</v>
      </c>
      <c r="AO341" s="27">
        <f t="shared" si="8"/>
        <v>0</v>
      </c>
      <c r="AP341" s="25">
        <f t="shared" si="9"/>
        <v>0</v>
      </c>
      <c r="AQ341" s="10"/>
    </row>
    <row r="342">
      <c r="A342" s="29" t="str">
        <f>'MASTER STOCK'!F339</f>
        <v>Fiberglass tape</v>
      </c>
      <c r="B342" s="30">
        <f>'MASTER STOCK'!G339</f>
        <v>5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23">
        <f t="shared" si="3"/>
        <v>0</v>
      </c>
      <c r="AI342" s="31">
        <f t="shared" si="4"/>
        <v>5</v>
      </c>
      <c r="AJ342" s="32">
        <f t="shared" si="5"/>
        <v>5</v>
      </c>
      <c r="AK342" s="32">
        <f t="shared" si="6"/>
        <v>0</v>
      </c>
      <c r="AL342" s="25">
        <f>'MASTER STOCK'!I339</f>
        <v>10000</v>
      </c>
      <c r="AM342" s="27">
        <f>'MASTER STOCK'!L339</f>
        <v>10000</v>
      </c>
      <c r="AN342" s="26">
        <f t="shared" si="7"/>
        <v>0</v>
      </c>
      <c r="AO342" s="27">
        <f t="shared" si="8"/>
        <v>0</v>
      </c>
      <c r="AP342" s="25">
        <f t="shared" si="9"/>
        <v>0</v>
      </c>
      <c r="AQ342" s="10"/>
    </row>
    <row r="343">
      <c r="A343" s="29" t="str">
        <f>'MASTER STOCK'!F340</f>
        <v>Gembok 40m</v>
      </c>
      <c r="B343" s="30">
        <f>'MASTER STOCK'!G340</f>
        <v>4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23">
        <f t="shared" si="3"/>
        <v>0</v>
      </c>
      <c r="AI343" s="31">
        <f t="shared" si="4"/>
        <v>4</v>
      </c>
      <c r="AJ343" s="32">
        <f t="shared" si="5"/>
        <v>4</v>
      </c>
      <c r="AK343" s="32">
        <f t="shared" si="6"/>
        <v>0</v>
      </c>
      <c r="AL343" s="25">
        <f>'MASTER STOCK'!I340</f>
        <v>18000</v>
      </c>
      <c r="AM343" s="27">
        <f>'MASTER STOCK'!L340</f>
        <v>18000</v>
      </c>
      <c r="AN343" s="26">
        <f t="shared" si="7"/>
        <v>0</v>
      </c>
      <c r="AO343" s="27">
        <f t="shared" si="8"/>
        <v>0</v>
      </c>
      <c r="AP343" s="25">
        <f t="shared" si="9"/>
        <v>0</v>
      </c>
      <c r="AQ343" s="10"/>
    </row>
    <row r="344">
      <c r="A344" s="29" t="str">
        <f>'MASTER STOCK'!F341</f>
        <v>Gembok 35 m</v>
      </c>
      <c r="B344" s="30">
        <f>'MASTER STOCK'!G341</f>
        <v>2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23">
        <f t="shared" si="3"/>
        <v>0</v>
      </c>
      <c r="AI344" s="31">
        <f t="shared" si="4"/>
        <v>2</v>
      </c>
      <c r="AJ344" s="32">
        <f t="shared" si="5"/>
        <v>2</v>
      </c>
      <c r="AK344" s="32">
        <f t="shared" si="6"/>
        <v>0</v>
      </c>
      <c r="AL344" s="25">
        <f>'MASTER STOCK'!I341</f>
        <v>15000</v>
      </c>
      <c r="AM344" s="27">
        <f>'MASTER STOCK'!L341</f>
        <v>15000</v>
      </c>
      <c r="AN344" s="26">
        <f t="shared" si="7"/>
        <v>0</v>
      </c>
      <c r="AO344" s="27">
        <f t="shared" si="8"/>
        <v>0</v>
      </c>
      <c r="AP344" s="25">
        <f t="shared" si="9"/>
        <v>0</v>
      </c>
      <c r="AQ344" s="10"/>
    </row>
    <row r="345">
      <c r="A345" s="29" t="str">
        <f>'MASTER STOCK'!F342</f>
        <v>Gembok 25mm</v>
      </c>
      <c r="B345" s="30">
        <f>'MASTER STOCK'!G342</f>
        <v>3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23">
        <f t="shared" si="3"/>
        <v>0</v>
      </c>
      <c r="AI345" s="31">
        <f t="shared" si="4"/>
        <v>3</v>
      </c>
      <c r="AJ345" s="32">
        <f t="shared" si="5"/>
        <v>3</v>
      </c>
      <c r="AK345" s="32">
        <f t="shared" si="6"/>
        <v>0</v>
      </c>
      <c r="AL345" s="25">
        <f>'MASTER STOCK'!I342</f>
        <v>13000</v>
      </c>
      <c r="AM345" s="27">
        <f>'MASTER STOCK'!L342</f>
        <v>13000</v>
      </c>
      <c r="AN345" s="26">
        <f t="shared" si="7"/>
        <v>0</v>
      </c>
      <c r="AO345" s="27">
        <f t="shared" si="8"/>
        <v>0</v>
      </c>
      <c r="AP345" s="25">
        <f t="shared" si="9"/>
        <v>0</v>
      </c>
      <c r="AQ345" s="10"/>
    </row>
    <row r="346">
      <c r="A346" s="29" t="str">
        <f>'MASTER STOCK'!F343</f>
        <v>Microphone mini clip</v>
      </c>
      <c r="B346" s="30">
        <f>'MASTER STOCK'!G343</f>
        <v>2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23">
        <f t="shared" si="3"/>
        <v>0</v>
      </c>
      <c r="AI346" s="31">
        <f t="shared" si="4"/>
        <v>2</v>
      </c>
      <c r="AJ346" s="32">
        <f t="shared" si="5"/>
        <v>2</v>
      </c>
      <c r="AK346" s="32">
        <f t="shared" si="6"/>
        <v>0</v>
      </c>
      <c r="AL346" s="25">
        <f>'MASTER STOCK'!I343</f>
        <v>135000</v>
      </c>
      <c r="AM346" s="27">
        <f>'MASTER STOCK'!L343</f>
        <v>135000</v>
      </c>
      <c r="AN346" s="26">
        <f t="shared" si="7"/>
        <v>0</v>
      </c>
      <c r="AO346" s="27">
        <f t="shared" si="8"/>
        <v>0</v>
      </c>
      <c r="AP346" s="25">
        <f t="shared" si="9"/>
        <v>0</v>
      </c>
      <c r="AQ346" s="10"/>
    </row>
    <row r="347">
      <c r="A347" s="29" t="str">
        <f>'MASTER STOCK'!F344</f>
        <v>Double tip foam hitam</v>
      </c>
      <c r="B347" s="30">
        <f>'MASTER STOCK'!G344</f>
        <v>3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23">
        <f t="shared" si="3"/>
        <v>0</v>
      </c>
      <c r="AI347" s="31">
        <f t="shared" si="4"/>
        <v>3</v>
      </c>
      <c r="AJ347" s="32">
        <f t="shared" si="5"/>
        <v>3</v>
      </c>
      <c r="AK347" s="32">
        <f t="shared" si="6"/>
        <v>0</v>
      </c>
      <c r="AL347" s="25">
        <f>'MASTER STOCK'!I344</f>
        <v>6000</v>
      </c>
      <c r="AM347" s="27">
        <f>'MASTER STOCK'!L344</f>
        <v>6000</v>
      </c>
      <c r="AN347" s="26">
        <f t="shared" si="7"/>
        <v>0</v>
      </c>
      <c r="AO347" s="27">
        <f t="shared" si="8"/>
        <v>0</v>
      </c>
      <c r="AP347" s="25">
        <f t="shared" si="9"/>
        <v>0</v>
      </c>
      <c r="AQ347" s="10"/>
    </row>
    <row r="348">
      <c r="A348" s="29" t="str">
        <f>'MASTER STOCK'!F345</f>
        <v>amplass</v>
      </c>
      <c r="B348" s="30">
        <f>'MASTER STOCK'!G345</f>
        <v>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23">
        <f t="shared" si="3"/>
        <v>0</v>
      </c>
      <c r="AI348" s="31">
        <f t="shared" si="4"/>
        <v>1</v>
      </c>
      <c r="AJ348" s="32">
        <f t="shared" si="5"/>
        <v>1</v>
      </c>
      <c r="AK348" s="32">
        <f t="shared" si="6"/>
        <v>0</v>
      </c>
      <c r="AL348" s="25">
        <f>'MASTER STOCK'!I345</f>
        <v>7000</v>
      </c>
      <c r="AM348" s="27">
        <f>'MASTER STOCK'!L345</f>
        <v>7000</v>
      </c>
      <c r="AN348" s="26">
        <f t="shared" si="7"/>
        <v>0</v>
      </c>
      <c r="AO348" s="27">
        <f t="shared" si="8"/>
        <v>0</v>
      </c>
      <c r="AP348" s="25">
        <f t="shared" si="9"/>
        <v>0</v>
      </c>
      <c r="AQ348" s="10"/>
    </row>
    <row r="349">
      <c r="A349" s="29" t="str">
        <f>'MASTER STOCK'!F346</f>
        <v>Tie clip microphone</v>
      </c>
      <c r="B349" s="30">
        <f>'MASTER STOCK'!G346</f>
        <v>2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23">
        <f t="shared" si="3"/>
        <v>0</v>
      </c>
      <c r="AI349" s="31">
        <f t="shared" si="4"/>
        <v>2</v>
      </c>
      <c r="AJ349" s="32">
        <f t="shared" si="5"/>
        <v>2</v>
      </c>
      <c r="AK349" s="32">
        <f t="shared" si="6"/>
        <v>0</v>
      </c>
      <c r="AL349" s="25">
        <f>'MASTER STOCK'!I346</f>
        <v>125000</v>
      </c>
      <c r="AM349" s="27">
        <f>'MASTER STOCK'!L346</f>
        <v>125000</v>
      </c>
      <c r="AN349" s="26">
        <f t="shared" si="7"/>
        <v>0</v>
      </c>
      <c r="AO349" s="27">
        <f t="shared" si="8"/>
        <v>0</v>
      </c>
      <c r="AP349" s="25">
        <f t="shared" si="9"/>
        <v>0</v>
      </c>
      <c r="AQ349" s="10"/>
    </row>
    <row r="350">
      <c r="A350" s="29" t="str">
        <f>'MASTER STOCK'!F347</f>
        <v>Selot besar / grendel 3"</v>
      </c>
      <c r="B350" s="30">
        <f>'MASTER STOCK'!G347</f>
        <v>3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23">
        <f t="shared" si="3"/>
        <v>0</v>
      </c>
      <c r="AI350" s="31">
        <f t="shared" si="4"/>
        <v>3</v>
      </c>
      <c r="AJ350" s="32">
        <f t="shared" si="5"/>
        <v>3</v>
      </c>
      <c r="AK350" s="32">
        <f t="shared" si="6"/>
        <v>0</v>
      </c>
      <c r="AL350" s="25">
        <f>'MASTER STOCK'!I347</f>
        <v>11000</v>
      </c>
      <c r="AM350" s="27">
        <f>'MASTER STOCK'!L347</f>
        <v>11000</v>
      </c>
      <c r="AN350" s="26">
        <f t="shared" si="7"/>
        <v>0</v>
      </c>
      <c r="AO350" s="27">
        <f t="shared" si="8"/>
        <v>0</v>
      </c>
      <c r="AP350" s="25">
        <f t="shared" si="9"/>
        <v>0</v>
      </c>
      <c r="AQ350" s="10"/>
    </row>
    <row r="351">
      <c r="A351" s="29" t="str">
        <f>'MASTER STOCK'!F348</f>
        <v>Tee dos</v>
      </c>
      <c r="B351" s="30">
        <f>'MASTER STOCK'!G348</f>
        <v>8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23">
        <f t="shared" si="3"/>
        <v>0</v>
      </c>
      <c r="AI351" s="31">
        <f t="shared" si="4"/>
        <v>8</v>
      </c>
      <c r="AJ351" s="32">
        <f t="shared" si="5"/>
        <v>8</v>
      </c>
      <c r="AK351" s="32">
        <f t="shared" si="6"/>
        <v>0</v>
      </c>
      <c r="AL351" s="25">
        <f>'MASTER STOCK'!I348</f>
        <v>3000</v>
      </c>
      <c r="AM351" s="27">
        <f>'MASTER STOCK'!L348</f>
        <v>3000</v>
      </c>
      <c r="AN351" s="26">
        <f t="shared" si="7"/>
        <v>0</v>
      </c>
      <c r="AO351" s="27">
        <f t="shared" si="8"/>
        <v>0</v>
      </c>
      <c r="AP351" s="25">
        <f t="shared" si="9"/>
        <v>0</v>
      </c>
      <c r="AQ351" s="10"/>
    </row>
    <row r="352">
      <c r="A352" s="29" t="str">
        <f>'MASTER STOCK'!F349</f>
        <v>Double tip foam putih</v>
      </c>
      <c r="B352" s="30">
        <f>'MASTER STOCK'!G349</f>
        <v>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23">
        <f t="shared" si="3"/>
        <v>0</v>
      </c>
      <c r="AI352" s="31">
        <f t="shared" si="4"/>
        <v>1</v>
      </c>
      <c r="AJ352" s="32">
        <f t="shared" si="5"/>
        <v>1</v>
      </c>
      <c r="AK352" s="32">
        <f t="shared" si="6"/>
        <v>0</v>
      </c>
      <c r="AL352" s="25">
        <f>'MASTER STOCK'!I349</f>
        <v>2500</v>
      </c>
      <c r="AM352" s="27">
        <f>'MASTER STOCK'!L349</f>
        <v>2500</v>
      </c>
      <c r="AN352" s="26">
        <f t="shared" si="7"/>
        <v>0</v>
      </c>
      <c r="AO352" s="27">
        <f t="shared" si="8"/>
        <v>0</v>
      </c>
      <c r="AP352" s="25">
        <f t="shared" si="9"/>
        <v>0</v>
      </c>
      <c r="AQ352" s="10"/>
    </row>
    <row r="353">
      <c r="A353" s="29" t="str">
        <f>'MASTER STOCK'!F350</f>
        <v>pegangan pintu putih </v>
      </c>
      <c r="B353" s="30">
        <f>'MASTER STOCK'!G350</f>
        <v>2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23">
        <f t="shared" si="3"/>
        <v>0</v>
      </c>
      <c r="AI353" s="31">
        <f t="shared" si="4"/>
        <v>2</v>
      </c>
      <c r="AJ353" s="32">
        <f t="shared" si="5"/>
        <v>2</v>
      </c>
      <c r="AK353" s="32">
        <f t="shared" si="6"/>
        <v>0</v>
      </c>
      <c r="AL353" s="25">
        <f>'MASTER STOCK'!I350</f>
        <v>16000</v>
      </c>
      <c r="AM353" s="27">
        <f>'MASTER STOCK'!L350</f>
        <v>16000</v>
      </c>
      <c r="AN353" s="26">
        <f t="shared" si="7"/>
        <v>0</v>
      </c>
      <c r="AO353" s="27">
        <f t="shared" si="8"/>
        <v>0</v>
      </c>
      <c r="AP353" s="25">
        <f t="shared" si="9"/>
        <v>0</v>
      </c>
      <c r="AQ353" s="10"/>
    </row>
    <row r="354">
      <c r="A354" s="20" t="str">
        <f>'MASTER STOCK'!F351</f>
        <v>INBOW DUS</v>
      </c>
      <c r="B354" s="21">
        <f>'MASTER STOCK'!G351</f>
        <v>20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23">
        <f t="shared" si="3"/>
        <v>0</v>
      </c>
      <c r="AI354" s="24">
        <f t="shared" si="4"/>
        <v>20</v>
      </c>
      <c r="AJ354" s="23">
        <f t="shared" si="5"/>
        <v>20</v>
      </c>
      <c r="AK354" s="23">
        <f t="shared" si="6"/>
        <v>0</v>
      </c>
      <c r="AL354" s="25">
        <f>'MASTER STOCK'!I351</f>
        <v>500</v>
      </c>
      <c r="AM354" s="27">
        <f>'MASTER STOCK'!L351</f>
        <v>1000</v>
      </c>
      <c r="AN354" s="26">
        <f t="shared" si="7"/>
        <v>0</v>
      </c>
      <c r="AO354" s="27">
        <f t="shared" si="8"/>
        <v>0</v>
      </c>
      <c r="AP354" s="25">
        <f t="shared" si="9"/>
        <v>0</v>
      </c>
      <c r="AQ354" s="10"/>
    </row>
    <row r="355">
      <c r="A355" s="20" t="str">
        <f>'MASTER STOCK'!F352</f>
        <v>TEE DOS</v>
      </c>
      <c r="B355" s="21">
        <f>'MASTER STOCK'!G352</f>
        <v>20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23">
        <f t="shared" si="3"/>
        <v>0</v>
      </c>
      <c r="AI355" s="24">
        <f t="shared" si="4"/>
        <v>20</v>
      </c>
      <c r="AJ355" s="23">
        <f t="shared" si="5"/>
        <v>20</v>
      </c>
      <c r="AK355" s="23">
        <f t="shared" si="6"/>
        <v>0</v>
      </c>
      <c r="AL355" s="25">
        <f>'MASTER STOCK'!I352</f>
        <v>500</v>
      </c>
      <c r="AM355" s="27">
        <f>'MASTER STOCK'!L352</f>
        <v>1500</v>
      </c>
      <c r="AN355" s="26">
        <f t="shared" si="7"/>
        <v>0</v>
      </c>
      <c r="AO355" s="27">
        <f t="shared" si="8"/>
        <v>0</v>
      </c>
      <c r="AP355" s="25">
        <f t="shared" si="9"/>
        <v>0</v>
      </c>
      <c r="AQ355" s="10"/>
    </row>
    <row r="356">
      <c r="A356" s="20" t="str">
        <f>'MASTER STOCK'!F353</f>
        <v>LEM TEMBAK</v>
      </c>
      <c r="B356" s="21">
        <f>'MASTER STOCK'!G353</f>
        <v>74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23">
        <f t="shared" si="3"/>
        <v>0</v>
      </c>
      <c r="AI356" s="24">
        <f t="shared" si="4"/>
        <v>74</v>
      </c>
      <c r="AJ356" s="23">
        <f t="shared" si="5"/>
        <v>74</v>
      </c>
      <c r="AK356" s="23">
        <f t="shared" si="6"/>
        <v>0</v>
      </c>
      <c r="AL356" s="25">
        <f>'MASTER STOCK'!I353</f>
        <v>700</v>
      </c>
      <c r="AM356" s="27">
        <f>'MASTER STOCK'!L353</f>
        <v>1500</v>
      </c>
      <c r="AN356" s="26">
        <f t="shared" si="7"/>
        <v>0</v>
      </c>
      <c r="AO356" s="27">
        <f t="shared" si="8"/>
        <v>0</v>
      </c>
      <c r="AP356" s="25">
        <f t="shared" si="9"/>
        <v>0</v>
      </c>
      <c r="AQ356" s="10"/>
    </row>
    <row r="357">
      <c r="A357" s="20" t="str">
        <f>'MASTER STOCK'!F354</f>
        <v>STOP KONTAK BROCO TANAM</v>
      </c>
      <c r="B357" s="21">
        <f>'MASTER STOCK'!G354</f>
        <v>3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23">
        <f t="shared" si="3"/>
        <v>0</v>
      </c>
      <c r="AI357" s="24">
        <f t="shared" si="4"/>
        <v>3</v>
      </c>
      <c r="AJ357" s="23">
        <f t="shared" si="5"/>
        <v>3</v>
      </c>
      <c r="AK357" s="23">
        <f t="shared" si="6"/>
        <v>0</v>
      </c>
      <c r="AL357" s="25">
        <f>'MASTER STOCK'!I354</f>
        <v>13500</v>
      </c>
      <c r="AM357" s="27">
        <f>'MASTER STOCK'!L354</f>
        <v>16000</v>
      </c>
      <c r="AN357" s="26">
        <f t="shared" si="7"/>
        <v>0</v>
      </c>
      <c r="AO357" s="27">
        <f t="shared" si="8"/>
        <v>0</v>
      </c>
      <c r="AP357" s="25">
        <f t="shared" si="9"/>
        <v>0</v>
      </c>
      <c r="AQ357" s="10"/>
    </row>
    <row r="358">
      <c r="A358" s="20" t="str">
        <f>'MASTER STOCK'!F355</f>
        <v>STOP KONTAK TANAM PANASONIC</v>
      </c>
      <c r="B358" s="21">
        <f>'MASTER STOCK'!G355</f>
        <v>3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23">
        <f t="shared" si="3"/>
        <v>0</v>
      </c>
      <c r="AI358" s="24">
        <f t="shared" si="4"/>
        <v>3</v>
      </c>
      <c r="AJ358" s="23">
        <f t="shared" si="5"/>
        <v>3</v>
      </c>
      <c r="AK358" s="23">
        <f t="shared" si="6"/>
        <v>0</v>
      </c>
      <c r="AL358" s="25">
        <f>'MASTER STOCK'!I355</f>
        <v>15000</v>
      </c>
      <c r="AM358" s="27">
        <f>'MASTER STOCK'!L355</f>
        <v>18000</v>
      </c>
      <c r="AN358" s="26">
        <f t="shared" si="7"/>
        <v>0</v>
      </c>
      <c r="AO358" s="27">
        <f t="shared" si="8"/>
        <v>0</v>
      </c>
      <c r="AP358" s="25">
        <f t="shared" si="9"/>
        <v>0</v>
      </c>
      <c r="AQ358" s="10"/>
    </row>
    <row r="359">
      <c r="A359" s="20" t="str">
        <f>'MASTER STOCK'!F356</f>
        <v>STOP KONTAK INBOW TANAM</v>
      </c>
      <c r="B359" s="21">
        <f>'MASTER STOCK'!G356</f>
        <v>5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23">
        <f t="shared" si="3"/>
        <v>0</v>
      </c>
      <c r="AI359" s="24">
        <f t="shared" si="4"/>
        <v>5</v>
      </c>
      <c r="AJ359" s="23">
        <f t="shared" si="5"/>
        <v>5</v>
      </c>
      <c r="AK359" s="23">
        <f t="shared" si="6"/>
        <v>0</v>
      </c>
      <c r="AL359" s="25">
        <f>'MASTER STOCK'!I356</f>
        <v>6400</v>
      </c>
      <c r="AM359" s="27">
        <f>'MASTER STOCK'!L356</f>
        <v>11000</v>
      </c>
      <c r="AN359" s="26">
        <f t="shared" si="7"/>
        <v>0</v>
      </c>
      <c r="AO359" s="27">
        <f t="shared" si="8"/>
        <v>0</v>
      </c>
      <c r="AP359" s="25">
        <f t="shared" si="9"/>
        <v>0</v>
      </c>
      <c r="AQ359" s="10"/>
    </row>
    <row r="360">
      <c r="A360" s="20" t="str">
        <f>'MASTER STOCK'!F357</f>
        <v>SAKLAR3 CABANG (TEE)</v>
      </c>
      <c r="B360" s="21">
        <f>'MASTER STOCK'!G357</f>
        <v>2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23">
        <f t="shared" si="3"/>
        <v>0</v>
      </c>
      <c r="AI360" s="24">
        <f t="shared" si="4"/>
        <v>2</v>
      </c>
      <c r="AJ360" s="23">
        <f t="shared" si="5"/>
        <v>2</v>
      </c>
      <c r="AK360" s="23">
        <f t="shared" si="6"/>
        <v>0</v>
      </c>
      <c r="AL360" s="25">
        <f>'MASTER STOCK'!I357</f>
        <v>17500</v>
      </c>
      <c r="AM360" s="27">
        <f>'MASTER STOCK'!L357</f>
        <v>18000</v>
      </c>
      <c r="AN360" s="26">
        <f t="shared" si="7"/>
        <v>0</v>
      </c>
      <c r="AO360" s="27">
        <f t="shared" si="8"/>
        <v>0</v>
      </c>
      <c r="AP360" s="25">
        <f t="shared" si="9"/>
        <v>0</v>
      </c>
      <c r="AQ360" s="10"/>
    </row>
    <row r="361">
      <c r="A361" s="20" t="str">
        <f>'MASTER STOCK'!F358</f>
        <v>SAKLAR HOKSUN 3 LUBANG</v>
      </c>
      <c r="B361" s="21">
        <f>'MASTER STOCK'!G358</f>
        <v>2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23">
        <f t="shared" si="3"/>
        <v>0</v>
      </c>
      <c r="AI361" s="24">
        <f t="shared" si="4"/>
        <v>2</v>
      </c>
      <c r="AJ361" s="23">
        <f t="shared" si="5"/>
        <v>2</v>
      </c>
      <c r="AK361" s="23">
        <f t="shared" si="6"/>
        <v>0</v>
      </c>
      <c r="AL361" s="25">
        <f>'MASTER STOCK'!I358</f>
        <v>15750</v>
      </c>
      <c r="AM361" s="27">
        <f>'MASTER STOCK'!L358</f>
        <v>22000</v>
      </c>
      <c r="AN361" s="26">
        <f t="shared" si="7"/>
        <v>0</v>
      </c>
      <c r="AO361" s="27">
        <f t="shared" si="8"/>
        <v>0</v>
      </c>
      <c r="AP361" s="25">
        <f t="shared" si="9"/>
        <v>0</v>
      </c>
      <c r="AQ361" s="10"/>
    </row>
    <row r="362">
      <c r="A362" s="20" t="str">
        <f>'MASTER STOCK'!F359</f>
        <v>SAKLAR TRM 4 LUBANG</v>
      </c>
      <c r="B362" s="21">
        <f>'MASTER STOCK'!G359</f>
        <v>2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23">
        <f t="shared" si="3"/>
        <v>0</v>
      </c>
      <c r="AI362" s="24">
        <f t="shared" si="4"/>
        <v>2</v>
      </c>
      <c r="AJ362" s="23">
        <f t="shared" si="5"/>
        <v>2</v>
      </c>
      <c r="AK362" s="23">
        <f t="shared" si="6"/>
        <v>0</v>
      </c>
      <c r="AL362" s="25">
        <f>'MASTER STOCK'!I359</f>
        <v>19750</v>
      </c>
      <c r="AM362" s="27">
        <f>'MASTER STOCK'!L359</f>
        <v>26000</v>
      </c>
      <c r="AN362" s="26">
        <f t="shared" si="7"/>
        <v>0</v>
      </c>
      <c r="AO362" s="27">
        <f t="shared" si="8"/>
        <v>0</v>
      </c>
      <c r="AP362" s="25">
        <f t="shared" si="9"/>
        <v>0</v>
      </c>
      <c r="AQ362" s="10"/>
    </row>
    <row r="363">
      <c r="A363" s="20" t="str">
        <f>'MASTER STOCK'!F360</f>
        <v>SEMEN MERAH PUTIH</v>
      </c>
      <c r="B363" s="21">
        <f>'MASTER STOCK'!G360</f>
        <v>5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23">
        <f t="shared" si="3"/>
        <v>0</v>
      </c>
      <c r="AI363" s="24">
        <f t="shared" si="4"/>
        <v>5</v>
      </c>
      <c r="AJ363" s="23">
        <f t="shared" si="5"/>
        <v>5</v>
      </c>
      <c r="AK363" s="23">
        <f t="shared" si="6"/>
        <v>0</v>
      </c>
      <c r="AL363" s="25">
        <f>'MASTER STOCK'!I360</f>
        <v>41000</v>
      </c>
      <c r="AM363" s="27">
        <f>'MASTER STOCK'!L360</f>
        <v>42000</v>
      </c>
      <c r="AN363" s="26">
        <f t="shared" si="7"/>
        <v>0</v>
      </c>
      <c r="AO363" s="27">
        <f t="shared" si="8"/>
        <v>0</v>
      </c>
      <c r="AP363" s="25">
        <f t="shared" si="9"/>
        <v>0</v>
      </c>
      <c r="AQ363" s="10"/>
    </row>
    <row r="364">
      <c r="A364" s="20" t="str">
        <f>'MASTER STOCK'!F361</f>
        <v>SEMEN SINGA MERAH</v>
      </c>
      <c r="B364" s="21">
        <f>'MASTER STOCK'!G361</f>
        <v>5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23">
        <f t="shared" si="3"/>
        <v>0</v>
      </c>
      <c r="AI364" s="24">
        <f t="shared" si="4"/>
        <v>5</v>
      </c>
      <c r="AJ364" s="23">
        <f t="shared" si="5"/>
        <v>5</v>
      </c>
      <c r="AK364" s="23">
        <f t="shared" si="6"/>
        <v>0</v>
      </c>
      <c r="AL364" s="25">
        <f>'MASTER STOCK'!I361</f>
        <v>43000</v>
      </c>
      <c r="AM364" s="27">
        <f>'MASTER STOCK'!L361</f>
        <v>44000</v>
      </c>
      <c r="AN364" s="26">
        <f t="shared" si="7"/>
        <v>0</v>
      </c>
      <c r="AO364" s="27">
        <f t="shared" si="8"/>
        <v>0</v>
      </c>
      <c r="AP364" s="25">
        <f t="shared" si="9"/>
        <v>0</v>
      </c>
      <c r="AQ364" s="10"/>
    </row>
    <row r="365">
      <c r="A365" s="20" t="str">
        <f>'MASTER STOCK'!F362</f>
        <v>WATERMUR 3/4</v>
      </c>
      <c r="B365" s="21">
        <f>'MASTER STOCK'!G362</f>
        <v>5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23">
        <f t="shared" si="3"/>
        <v>0</v>
      </c>
      <c r="AI365" s="24">
        <f t="shared" si="4"/>
        <v>5</v>
      </c>
      <c r="AJ365" s="23">
        <f t="shared" si="5"/>
        <v>5</v>
      </c>
      <c r="AK365" s="23">
        <f t="shared" si="6"/>
        <v>0</v>
      </c>
      <c r="AL365" s="25">
        <f>'MASTER STOCK'!I362</f>
        <v>4700</v>
      </c>
      <c r="AM365" s="27">
        <f>'MASTER STOCK'!L362</f>
        <v>7000</v>
      </c>
      <c r="AN365" s="26">
        <f t="shared" si="7"/>
        <v>0</v>
      </c>
      <c r="AO365" s="27">
        <f t="shared" si="8"/>
        <v>0</v>
      </c>
      <c r="AP365" s="25">
        <f t="shared" si="9"/>
        <v>0</v>
      </c>
      <c r="AQ365" s="10"/>
    </row>
    <row r="366">
      <c r="A366" s="20" t="str">
        <f>'MASTER STOCK'!F363</f>
        <v>SOLDER GAGANG KAYU 40W</v>
      </c>
      <c r="B366" s="21">
        <f>'MASTER STOCK'!G363</f>
        <v>5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23">
        <f t="shared" si="3"/>
        <v>0</v>
      </c>
      <c r="AI366" s="24">
        <f t="shared" si="4"/>
        <v>5</v>
      </c>
      <c r="AJ366" s="23">
        <f t="shared" si="5"/>
        <v>5</v>
      </c>
      <c r="AK366" s="23">
        <f t="shared" si="6"/>
        <v>0</v>
      </c>
      <c r="AL366" s="25">
        <f>'MASTER STOCK'!I363</f>
        <v>9000</v>
      </c>
      <c r="AM366" s="27">
        <f>'MASTER STOCK'!L363</f>
        <v>12000</v>
      </c>
      <c r="AN366" s="26">
        <f t="shared" si="7"/>
        <v>0</v>
      </c>
      <c r="AO366" s="27">
        <f t="shared" si="8"/>
        <v>0</v>
      </c>
      <c r="AP366" s="25">
        <f t="shared" si="9"/>
        <v>0</v>
      </c>
      <c r="AQ366" s="10"/>
    </row>
    <row r="367">
      <c r="A367" s="20" t="str">
        <f>'MASTER STOCK'!F364</f>
        <v>KUAS GRT 3"</v>
      </c>
      <c r="B367" s="21">
        <f>'MASTER STOCK'!G364</f>
        <v>12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23">
        <f t="shared" si="3"/>
        <v>0</v>
      </c>
      <c r="AI367" s="24">
        <f t="shared" si="4"/>
        <v>12</v>
      </c>
      <c r="AJ367" s="23">
        <f t="shared" si="5"/>
        <v>12</v>
      </c>
      <c r="AK367" s="23">
        <f t="shared" si="6"/>
        <v>0</v>
      </c>
      <c r="AL367" s="25">
        <f>'MASTER STOCK'!I364</f>
        <v>4000</v>
      </c>
      <c r="AM367" s="27">
        <f>'MASTER STOCK'!L364</f>
        <v>7500</v>
      </c>
      <c r="AN367" s="26">
        <f t="shared" si="7"/>
        <v>0</v>
      </c>
      <c r="AO367" s="27">
        <f t="shared" si="8"/>
        <v>0</v>
      </c>
      <c r="AP367" s="25">
        <f t="shared" si="9"/>
        <v>0</v>
      </c>
      <c r="AQ367" s="10"/>
    </row>
    <row r="368">
      <c r="A368" s="20" t="str">
        <f>'MASTER STOCK'!F365</f>
        <v>PENGAMAN REGULATOR</v>
      </c>
      <c r="B368" s="21">
        <f>'MASTER STOCK'!G365</f>
        <v>3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23">
        <f t="shared" si="3"/>
        <v>0</v>
      </c>
      <c r="AI368" s="24">
        <f t="shared" si="4"/>
        <v>3</v>
      </c>
      <c r="AJ368" s="23">
        <f t="shared" si="5"/>
        <v>3</v>
      </c>
      <c r="AK368" s="23">
        <f t="shared" si="6"/>
        <v>0</v>
      </c>
      <c r="AL368" s="25">
        <f>'MASTER STOCK'!I365</f>
        <v>7500</v>
      </c>
      <c r="AM368" s="27">
        <f>'MASTER STOCK'!L365</f>
        <v>12000</v>
      </c>
      <c r="AN368" s="26">
        <f t="shared" si="7"/>
        <v>0</v>
      </c>
      <c r="AO368" s="27">
        <f t="shared" si="8"/>
        <v>0</v>
      </c>
      <c r="AP368" s="25">
        <f t="shared" si="9"/>
        <v>0</v>
      </c>
      <c r="AQ368" s="10"/>
    </row>
    <row r="369">
      <c r="A369" s="20" t="str">
        <f>'MASTER STOCK'!F366</f>
        <v>KLEM REGULATOR</v>
      </c>
      <c r="B369" s="21">
        <f>'MASTER STOCK'!G366</f>
        <v>20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23">
        <f t="shared" si="3"/>
        <v>0</v>
      </c>
      <c r="AI369" s="24">
        <f t="shared" si="4"/>
        <v>20</v>
      </c>
      <c r="AJ369" s="23">
        <f t="shared" si="5"/>
        <v>20</v>
      </c>
      <c r="AK369" s="23">
        <f t="shared" si="6"/>
        <v>0</v>
      </c>
      <c r="AL369" s="25">
        <f>'MASTER STOCK'!I366</f>
        <v>1200</v>
      </c>
      <c r="AM369" s="27">
        <f>'MASTER STOCK'!L366</f>
        <v>2500</v>
      </c>
      <c r="AN369" s="26">
        <f t="shared" si="7"/>
        <v>0</v>
      </c>
      <c r="AO369" s="27">
        <f t="shared" si="8"/>
        <v>0</v>
      </c>
      <c r="AP369" s="25">
        <f t="shared" si="9"/>
        <v>0</v>
      </c>
      <c r="AQ369" s="10"/>
    </row>
    <row r="370">
      <c r="A370" s="20" t="str">
        <f>'MASTER STOCK'!F367</f>
        <v>TIMBA STANDART</v>
      </c>
      <c r="B370" s="21">
        <f>'MASTER STOCK'!G367</f>
        <v>10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23">
        <f t="shared" si="3"/>
        <v>0</v>
      </c>
      <c r="AI370" s="24">
        <f t="shared" si="4"/>
        <v>10</v>
      </c>
      <c r="AJ370" s="23">
        <f t="shared" si="5"/>
        <v>10</v>
      </c>
      <c r="AK370" s="23">
        <f t="shared" si="6"/>
        <v>0</v>
      </c>
      <c r="AL370" s="25">
        <f>'MASTER STOCK'!I367</f>
        <v>5000</v>
      </c>
      <c r="AM370" s="27">
        <f>'MASTER STOCK'!L367</f>
        <v>8000</v>
      </c>
      <c r="AN370" s="26">
        <f t="shared" si="7"/>
        <v>0</v>
      </c>
      <c r="AO370" s="27">
        <f t="shared" si="8"/>
        <v>0</v>
      </c>
      <c r="AP370" s="25">
        <f t="shared" si="9"/>
        <v>0</v>
      </c>
      <c r="AQ370" s="10"/>
    </row>
    <row r="371">
      <c r="A371" s="20" t="str">
        <f>'MASTER STOCK'!F368</f>
        <v>KNEE DRAT DALAM 1/2 DIM</v>
      </c>
      <c r="B371" s="21">
        <f>'MASTER STOCK'!G368</f>
        <v>15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23">
        <f t="shared" si="3"/>
        <v>0</v>
      </c>
      <c r="AI371" s="24">
        <f t="shared" si="4"/>
        <v>15</v>
      </c>
      <c r="AJ371" s="23">
        <f t="shared" si="5"/>
        <v>15</v>
      </c>
      <c r="AK371" s="23">
        <f t="shared" si="6"/>
        <v>0</v>
      </c>
      <c r="AL371" s="25">
        <f>'MASTER STOCK'!I368</f>
        <v>1400</v>
      </c>
      <c r="AM371" s="27">
        <f>'MASTER STOCK'!L368</f>
        <v>3500</v>
      </c>
      <c r="AN371" s="10"/>
      <c r="AO371" s="28"/>
      <c r="AP371" s="25">
        <f t="shared" si="9"/>
        <v>0</v>
      </c>
      <c r="AQ371" s="10"/>
    </row>
    <row r="372">
      <c r="A372" s="20" t="str">
        <f>'MASTER STOCK'!F369</f>
        <v>AMPLAS UK 60 </v>
      </c>
      <c r="B372" s="21">
        <f>'MASTER STOCK'!G369</f>
        <v>10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23">
        <f t="shared" si="3"/>
        <v>0</v>
      </c>
      <c r="AI372" s="24">
        <f t="shared" si="4"/>
        <v>10</v>
      </c>
      <c r="AJ372" s="23">
        <f t="shared" si="5"/>
        <v>10</v>
      </c>
      <c r="AK372" s="23">
        <f t="shared" si="6"/>
        <v>0</v>
      </c>
      <c r="AL372" s="25">
        <f>'MASTER STOCK'!I369</f>
        <v>4500</v>
      </c>
      <c r="AM372" s="27">
        <f>'MASTER STOCK'!L369</f>
        <v>7000</v>
      </c>
      <c r="AN372" s="10"/>
      <c r="AO372" s="28"/>
      <c r="AP372" s="25">
        <f t="shared" si="9"/>
        <v>0</v>
      </c>
      <c r="AQ372" s="10"/>
    </row>
    <row r="373">
      <c r="A373" s="20" t="str">
        <f>'MASTER STOCK'!F370</f>
        <v>AMPLAS UK 150</v>
      </c>
      <c r="B373" s="21">
        <f>'MASTER STOCK'!G370</f>
        <v>10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23">
        <f t="shared" si="3"/>
        <v>0</v>
      </c>
      <c r="AI373" s="24">
        <f t="shared" si="4"/>
        <v>10</v>
      </c>
      <c r="AJ373" s="23">
        <f t="shared" si="5"/>
        <v>10</v>
      </c>
      <c r="AK373" s="23">
        <f t="shared" si="6"/>
        <v>0</v>
      </c>
      <c r="AL373" s="25">
        <f>'MASTER STOCK'!I370</f>
        <v>4500</v>
      </c>
      <c r="AM373" s="27">
        <f>'MASTER STOCK'!L370</f>
        <v>7000</v>
      </c>
      <c r="AN373" s="10"/>
      <c r="AO373" s="28"/>
      <c r="AP373" s="25">
        <f t="shared" si="9"/>
        <v>0</v>
      </c>
      <c r="AQ373" s="10"/>
    </row>
    <row r="374">
      <c r="A374" s="20" t="str">
        <f>'MASTER STOCK'!F371</f>
        <v>AMPLAS UK 240</v>
      </c>
      <c r="B374" s="21">
        <f>'MASTER STOCK'!G371</f>
        <v>10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23">
        <f t="shared" si="3"/>
        <v>0</v>
      </c>
      <c r="AI374" s="24">
        <f t="shared" si="4"/>
        <v>10</v>
      </c>
      <c r="AJ374" s="23">
        <f t="shared" si="5"/>
        <v>10</v>
      </c>
      <c r="AK374" s="23">
        <f t="shared" si="6"/>
        <v>0</v>
      </c>
      <c r="AL374" s="25">
        <f>'MASTER STOCK'!I371</f>
        <v>4500</v>
      </c>
      <c r="AM374" s="27">
        <f>'MASTER STOCK'!L371</f>
        <v>7000</v>
      </c>
      <c r="AN374" s="10"/>
      <c r="AO374" s="28"/>
      <c r="AP374" s="25">
        <f t="shared" si="9"/>
        <v>0</v>
      </c>
      <c r="AQ374" s="10"/>
    </row>
    <row r="375">
      <c r="A375" s="20" t="str">
        <f>'MASTER STOCK'!F372</f>
        <v>WATERMUR DD 3/4</v>
      </c>
      <c r="B375" s="21">
        <f>'MASTER STOCK'!G372</f>
        <v>5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23">
        <f t="shared" si="3"/>
        <v>0</v>
      </c>
      <c r="AI375" s="24">
        <f t="shared" si="4"/>
        <v>5</v>
      </c>
      <c r="AJ375" s="23">
        <f t="shared" si="5"/>
        <v>5</v>
      </c>
      <c r="AK375" s="23">
        <f t="shared" si="6"/>
        <v>0</v>
      </c>
      <c r="AL375" s="25">
        <f>'MASTER STOCK'!I372</f>
        <v>6000</v>
      </c>
      <c r="AM375" s="27">
        <f>'MASTER STOCK'!L372</f>
        <v>8000</v>
      </c>
      <c r="AN375" s="10"/>
      <c r="AO375" s="28"/>
      <c r="AP375" s="25">
        <f t="shared" si="9"/>
        <v>0</v>
      </c>
      <c r="AQ375" s="10"/>
    </row>
    <row r="376">
      <c r="A376" s="20" t="str">
        <f>'MASTER STOCK'!F373</f>
        <v>BENDRAT 5KG</v>
      </c>
      <c r="B376" s="21">
        <f>'MASTER STOCK'!G373</f>
        <v>5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23">
        <f t="shared" si="3"/>
        <v>0</v>
      </c>
      <c r="AI376" s="24">
        <f t="shared" si="4"/>
        <v>5</v>
      </c>
      <c r="AJ376" s="23">
        <f t="shared" si="5"/>
        <v>5</v>
      </c>
      <c r="AK376" s="23">
        <f t="shared" si="6"/>
        <v>0</v>
      </c>
      <c r="AL376" s="25">
        <f>'MASTER STOCK'!I373</f>
        <v>19000</v>
      </c>
      <c r="AM376" s="27">
        <f>'MASTER STOCK'!L373</f>
        <v>25000</v>
      </c>
      <c r="AN376" s="10"/>
      <c r="AO376" s="28"/>
      <c r="AP376" s="25">
        <f t="shared" si="9"/>
        <v>0</v>
      </c>
      <c r="AQ376" s="10"/>
    </row>
    <row r="377">
      <c r="A377" s="20" t="str">
        <f>'MASTER STOCK'!F374</f>
        <v>S MERDEKA 5</v>
      </c>
      <c r="B377" s="21">
        <f>'MASTER STOCK'!G374</f>
        <v>5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23">
        <f t="shared" si="3"/>
        <v>0</v>
      </c>
      <c r="AI377" s="24">
        <f t="shared" si="4"/>
        <v>5</v>
      </c>
      <c r="AJ377" s="23">
        <f t="shared" si="5"/>
        <v>5</v>
      </c>
      <c r="AK377" s="23">
        <f t="shared" si="6"/>
        <v>0</v>
      </c>
      <c r="AL377" s="25">
        <f>'MASTER STOCK'!I374</f>
        <v>41500</v>
      </c>
      <c r="AM377" s="27">
        <f>'MASTER STOCK'!L374</f>
        <v>4300</v>
      </c>
      <c r="AN377" s="10"/>
      <c r="AO377" s="28"/>
      <c r="AP377" s="25">
        <f t="shared" si="9"/>
        <v>0</v>
      </c>
      <c r="AQ377" s="10"/>
    </row>
    <row r="378">
      <c r="A378" s="20" t="str">
        <f>'MASTER STOCK'!F375</f>
        <v/>
      </c>
      <c r="B378" s="21">
        <f>'MASTER STOCK'!G375</f>
        <v>0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23">
        <f t="shared" si="3"/>
        <v>0</v>
      </c>
      <c r="AI378" s="24">
        <f t="shared" si="4"/>
        <v>0</v>
      </c>
      <c r="AJ378" s="23">
        <f t="shared" si="5"/>
        <v>0</v>
      </c>
      <c r="AK378" s="23">
        <f t="shared" si="6"/>
        <v>0</v>
      </c>
      <c r="AL378" s="25" t="str">
        <f>'MASTER STOCK'!I375</f>
        <v/>
      </c>
      <c r="AM378" s="27" t="str">
        <f>'MASTER STOCK'!L375</f>
        <v/>
      </c>
      <c r="AN378" s="10"/>
      <c r="AO378" s="28"/>
      <c r="AP378" s="25">
        <f t="shared" si="9"/>
        <v>0</v>
      </c>
      <c r="AQ378" s="10"/>
    </row>
    <row r="379">
      <c r="A379" s="20" t="str">
        <f>'MASTER STOCK'!F376</f>
        <v/>
      </c>
      <c r="B379" s="21">
        <f>'MASTER STOCK'!G376</f>
        <v>0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23">
        <f t="shared" si="3"/>
        <v>0</v>
      </c>
      <c r="AI379" s="10"/>
      <c r="AJ379" s="10"/>
      <c r="AK379" s="10"/>
      <c r="AL379" s="25" t="str">
        <f>'MASTER STOCK'!I376</f>
        <v/>
      </c>
      <c r="AM379" s="27" t="str">
        <f>'MASTER STOCK'!L376</f>
        <v/>
      </c>
      <c r="AN379" s="10"/>
      <c r="AO379" s="28"/>
      <c r="AP379" s="25">
        <f t="shared" si="9"/>
        <v>0</v>
      </c>
      <c r="AQ379" s="10"/>
    </row>
    <row r="380">
      <c r="A380" s="20" t="str">
        <f>'MASTER STOCK'!F377</f>
        <v/>
      </c>
      <c r="B380" s="21">
        <f>'MASTER STOCK'!G377</f>
        <v>0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23">
        <f t="shared" si="3"/>
        <v>0</v>
      </c>
      <c r="AI380" s="10"/>
      <c r="AJ380" s="10"/>
      <c r="AK380" s="10"/>
      <c r="AL380" s="25" t="str">
        <f>'MASTER STOCK'!I377</f>
        <v/>
      </c>
      <c r="AM380" s="27" t="str">
        <f>'MASTER STOCK'!L377</f>
        <v/>
      </c>
      <c r="AN380" s="10"/>
      <c r="AO380" s="28"/>
      <c r="AP380" s="25">
        <f t="shared" si="9"/>
        <v>0</v>
      </c>
      <c r="AQ380" s="10"/>
    </row>
    <row r="381">
      <c r="A381" s="20" t="str">
        <f>'MASTER STOCK'!F378</f>
        <v/>
      </c>
      <c r="B381" s="21">
        <f>'MASTER STOCK'!G378</f>
        <v>0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23">
        <f t="shared" si="3"/>
        <v>0</v>
      </c>
      <c r="AI381" s="10"/>
      <c r="AJ381" s="10"/>
      <c r="AK381" s="10"/>
      <c r="AL381" s="25" t="str">
        <f>'MASTER STOCK'!I378</f>
        <v/>
      </c>
      <c r="AM381" s="27" t="str">
        <f>'MASTER STOCK'!L378</f>
        <v/>
      </c>
      <c r="AN381" s="10"/>
      <c r="AO381" s="28"/>
      <c r="AP381" s="25">
        <f t="shared" si="9"/>
        <v>0</v>
      </c>
      <c r="AQ381" s="10"/>
    </row>
    <row r="382">
      <c r="A382" s="20" t="str">
        <f>'MASTER STOCK'!F379</f>
        <v/>
      </c>
      <c r="B382" s="21">
        <f>'MASTER STOCK'!G379</f>
        <v>0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23">
        <f t="shared" si="3"/>
        <v>0</v>
      </c>
      <c r="AI382" s="10"/>
      <c r="AJ382" s="10"/>
      <c r="AK382" s="10"/>
      <c r="AL382" s="25" t="str">
        <f>'MASTER STOCK'!I379</f>
        <v/>
      </c>
      <c r="AM382" s="27" t="str">
        <f>'MASTER STOCK'!L379</f>
        <v/>
      </c>
      <c r="AN382" s="10"/>
      <c r="AO382" s="28"/>
      <c r="AP382" s="25">
        <f t="shared" si="9"/>
        <v>0</v>
      </c>
      <c r="AQ382" s="10"/>
    </row>
    <row r="383">
      <c r="A383" s="20" t="str">
        <f>'MASTER STOCK'!F380</f>
        <v/>
      </c>
      <c r="B383" s="21">
        <f>'MASTER STOCK'!G380</f>
        <v>0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23">
        <f t="shared" si="3"/>
        <v>0</v>
      </c>
      <c r="AI383" s="10"/>
      <c r="AJ383" s="10"/>
      <c r="AK383" s="10"/>
      <c r="AL383" s="25" t="str">
        <f>'MASTER STOCK'!I380</f>
        <v/>
      </c>
      <c r="AM383" s="27" t="str">
        <f>'MASTER STOCK'!L380</f>
        <v/>
      </c>
      <c r="AN383" s="10"/>
      <c r="AO383" s="28"/>
      <c r="AP383" s="25">
        <f t="shared" si="9"/>
        <v>0</v>
      </c>
      <c r="AQ383" s="10"/>
    </row>
    <row r="384">
      <c r="A384" s="20" t="str">
        <f>'MASTER STOCK'!F381</f>
        <v/>
      </c>
      <c r="B384" s="21">
        <f>'MASTER STOCK'!G381</f>
        <v>0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23">
        <f t="shared" si="3"/>
        <v>0</v>
      </c>
      <c r="AI384" s="10"/>
      <c r="AJ384" s="10"/>
      <c r="AK384" s="10"/>
      <c r="AL384" s="25" t="str">
        <f>'MASTER STOCK'!I381</f>
        <v/>
      </c>
      <c r="AM384" s="27" t="str">
        <f>'MASTER STOCK'!L381</f>
        <v/>
      </c>
      <c r="AN384" s="10"/>
      <c r="AO384" s="28"/>
      <c r="AP384" s="25">
        <f t="shared" si="9"/>
        <v>0</v>
      </c>
      <c r="AQ384" s="10"/>
    </row>
    <row r="385">
      <c r="A385" s="20" t="str">
        <f>'MASTER STOCK'!F382</f>
        <v/>
      </c>
      <c r="B385" s="21">
        <f>'MASTER STOCK'!G382</f>
        <v>0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25" t="str">
        <f>'MASTER STOCK'!I382</f>
        <v/>
      </c>
      <c r="AM385" s="27" t="str">
        <f>'MASTER STOCK'!L382</f>
        <v/>
      </c>
      <c r="AN385" s="10"/>
      <c r="AO385" s="28"/>
      <c r="AP385" s="25">
        <f t="shared" si="9"/>
        <v>0</v>
      </c>
      <c r="AQ385" s="10"/>
    </row>
    <row r="386">
      <c r="A386" s="20" t="str">
        <f>'MASTER STOCK'!F383</f>
        <v/>
      </c>
      <c r="B386" s="21">
        <f>'MASTER STOCK'!G383</f>
        <v>0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25" t="str">
        <f>'MASTER STOCK'!I383</f>
        <v/>
      </c>
      <c r="AM386" s="27" t="str">
        <f>'MASTER STOCK'!L383</f>
        <v/>
      </c>
      <c r="AN386" s="10"/>
      <c r="AO386" s="28"/>
      <c r="AP386" s="25">
        <f t="shared" si="9"/>
        <v>0</v>
      </c>
      <c r="AQ386" s="10"/>
    </row>
    <row r="387">
      <c r="A387" s="34" t="str">
        <f>'MASTER STOCK'!F384</f>
        <v/>
      </c>
      <c r="B387" s="35">
        <f>'MASTER STOCK'!G384</f>
        <v>0</v>
      </c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108" t="str">
        <f>'MASTER STOCK'!I384</f>
        <v/>
      </c>
      <c r="AM387" s="109" t="str">
        <f>'MASTER STOCK'!L384</f>
        <v/>
      </c>
      <c r="AN387" s="36"/>
      <c r="AO387" s="110"/>
      <c r="AP387" s="108">
        <f t="shared" si="9"/>
        <v>0</v>
      </c>
      <c r="AQ387" s="36"/>
    </row>
    <row r="388">
      <c r="A388" s="38"/>
      <c r="B388" s="39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111"/>
      <c r="AM388" s="111"/>
      <c r="AN388" s="40"/>
      <c r="AO388" s="111"/>
      <c r="AP388" s="111"/>
      <c r="AQ388" s="40"/>
    </row>
    <row r="389">
      <c r="A389" s="38"/>
      <c r="B389" s="39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111"/>
      <c r="AM389" s="111"/>
      <c r="AN389" s="40"/>
      <c r="AO389" s="111"/>
      <c r="AP389" s="111"/>
      <c r="AQ389" s="40"/>
    </row>
    <row r="390">
      <c r="A390" s="38"/>
      <c r="B390" s="39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111"/>
      <c r="AM390" s="40"/>
      <c r="AN390" s="40"/>
      <c r="AO390" s="111"/>
      <c r="AP390" s="111"/>
      <c r="AQ390" s="40"/>
    </row>
    <row r="391">
      <c r="A391" s="38"/>
      <c r="B391" s="39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111"/>
      <c r="AM391" s="40"/>
      <c r="AN391" s="40"/>
      <c r="AO391" s="111"/>
      <c r="AP391" s="111"/>
      <c r="AQ391" s="40"/>
    </row>
    <row r="392">
      <c r="A392" s="38"/>
      <c r="B392" s="39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111"/>
      <c r="AM392" s="40"/>
      <c r="AN392" s="40"/>
      <c r="AO392" s="111"/>
      <c r="AP392" s="111"/>
      <c r="AQ392" s="40"/>
    </row>
    <row r="393">
      <c r="A393" s="38"/>
      <c r="B393" s="39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111"/>
      <c r="AM393" s="40"/>
      <c r="AN393" s="40"/>
      <c r="AO393" s="111"/>
      <c r="AP393" s="111"/>
      <c r="AQ393" s="40"/>
    </row>
    <row r="394">
      <c r="A394" s="38"/>
      <c r="B394" s="39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111"/>
      <c r="AM394" s="40"/>
      <c r="AN394" s="40"/>
      <c r="AO394" s="111"/>
      <c r="AP394" s="111"/>
      <c r="AQ394" s="40"/>
    </row>
    <row r="395">
      <c r="A395" s="38"/>
      <c r="B395" s="39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111"/>
      <c r="AM395" s="40"/>
      <c r="AN395" s="40"/>
      <c r="AO395" s="111"/>
      <c r="AP395" s="111"/>
      <c r="AQ395" s="40"/>
    </row>
    <row r="396">
      <c r="A396" s="38"/>
      <c r="B396" s="39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111"/>
      <c r="AM396" s="40"/>
      <c r="AN396" s="40"/>
      <c r="AO396" s="111"/>
      <c r="AP396" s="111"/>
      <c r="AQ396" s="40"/>
    </row>
    <row r="397">
      <c r="A397" s="38"/>
      <c r="B397" s="39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111"/>
      <c r="AM397" s="40"/>
      <c r="AN397" s="40"/>
      <c r="AO397" s="111"/>
      <c r="AP397" s="111"/>
      <c r="AQ397" s="40"/>
    </row>
    <row r="398">
      <c r="A398" s="38"/>
      <c r="B398" s="39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111"/>
      <c r="AM398" s="40"/>
      <c r="AN398" s="40"/>
      <c r="AO398" s="111"/>
      <c r="AP398" s="111"/>
      <c r="AQ398" s="40"/>
    </row>
    <row r="399">
      <c r="A399" s="38"/>
      <c r="B399" s="39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111"/>
      <c r="AM399" s="40"/>
      <c r="AN399" s="40"/>
      <c r="AO399" s="111"/>
      <c r="AP399" s="111"/>
      <c r="AQ399" s="40"/>
    </row>
    <row r="400">
      <c r="A400" s="38"/>
      <c r="B400" s="39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111"/>
      <c r="AM400" s="40"/>
      <c r="AN400" s="40"/>
      <c r="AO400" s="111"/>
      <c r="AP400" s="111"/>
      <c r="AQ400" s="40"/>
    </row>
    <row r="401">
      <c r="A401" s="38"/>
      <c r="B401" s="39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111"/>
      <c r="AM401" s="40"/>
      <c r="AN401" s="40"/>
      <c r="AO401" s="111"/>
      <c r="AP401" s="111"/>
      <c r="AQ401" s="40"/>
    </row>
    <row r="402">
      <c r="A402" s="38"/>
      <c r="B402" s="39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111"/>
      <c r="AM402" s="40"/>
      <c r="AN402" s="40"/>
      <c r="AO402" s="41"/>
      <c r="AP402" s="41"/>
      <c r="AQ402" s="40"/>
    </row>
    <row r="403">
      <c r="A403" s="38"/>
      <c r="B403" s="39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111"/>
      <c r="AM403" s="40"/>
      <c r="AN403" s="40"/>
      <c r="AO403" s="41"/>
      <c r="AP403" s="41"/>
      <c r="AQ403" s="40"/>
    </row>
    <row r="404">
      <c r="A404" s="38"/>
      <c r="B404" s="39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111"/>
      <c r="AM404" s="40"/>
      <c r="AN404" s="40"/>
      <c r="AO404" s="41"/>
      <c r="AP404" s="41"/>
      <c r="AQ404" s="40"/>
    </row>
    <row r="405">
      <c r="A405" s="38"/>
      <c r="B405" s="39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111"/>
      <c r="AM405" s="40"/>
      <c r="AN405" s="40"/>
      <c r="AO405" s="41"/>
      <c r="AP405" s="41"/>
      <c r="AQ405" s="40"/>
    </row>
    <row r="406">
      <c r="A406" s="40"/>
      <c r="B406" s="39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111"/>
      <c r="AM406" s="40"/>
      <c r="AN406" s="40"/>
      <c r="AO406" s="41"/>
      <c r="AP406" s="41"/>
      <c r="AQ406" s="40"/>
    </row>
    <row r="407">
      <c r="A407" s="40"/>
      <c r="B407" s="39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111"/>
      <c r="AM407" s="40"/>
      <c r="AN407" s="40"/>
      <c r="AO407" s="41"/>
      <c r="AP407" s="41"/>
      <c r="AQ407" s="40"/>
    </row>
    <row r="408">
      <c r="A408" s="40"/>
      <c r="B408" s="39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111"/>
      <c r="AM408" s="40"/>
      <c r="AN408" s="40"/>
      <c r="AO408" s="41"/>
      <c r="AP408" s="41"/>
      <c r="AQ408" s="40"/>
    </row>
    <row r="409">
      <c r="A409" s="40"/>
      <c r="B409" s="39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111"/>
      <c r="AM409" s="40"/>
      <c r="AN409" s="40"/>
      <c r="AO409" s="41"/>
      <c r="AP409" s="41"/>
      <c r="AQ409" s="40"/>
    </row>
    <row r="410">
      <c r="A410" s="40"/>
      <c r="B410" s="39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111"/>
      <c r="AM410" s="40"/>
      <c r="AN410" s="40"/>
      <c r="AO410" s="41"/>
      <c r="AP410" s="41"/>
      <c r="AQ410" s="40"/>
    </row>
    <row r="411">
      <c r="A411" s="40"/>
      <c r="B411" s="39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111"/>
      <c r="AM411" s="40"/>
      <c r="AN411" s="40"/>
      <c r="AO411" s="41"/>
      <c r="AP411" s="41"/>
      <c r="AQ411" s="40"/>
    </row>
    <row r="412">
      <c r="A412" s="40"/>
      <c r="B412" s="39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111"/>
      <c r="AM412" s="40"/>
      <c r="AN412" s="40"/>
      <c r="AO412" s="41"/>
      <c r="AP412" s="41"/>
      <c r="AQ412" s="40"/>
    </row>
    <row r="413">
      <c r="A413" s="40"/>
      <c r="B413" s="39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111"/>
      <c r="AM413" s="40"/>
      <c r="AN413" s="40"/>
      <c r="AO413" s="41"/>
      <c r="AP413" s="41"/>
      <c r="AQ413" s="40"/>
    </row>
    <row r="414">
      <c r="A414" s="40"/>
      <c r="B414" s="39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111"/>
      <c r="AM414" s="40"/>
      <c r="AN414" s="40"/>
      <c r="AO414" s="41"/>
      <c r="AP414" s="41"/>
      <c r="AQ414" s="40"/>
    </row>
    <row r="415">
      <c r="A415" s="40"/>
      <c r="B415" s="39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111"/>
      <c r="AM415" s="40"/>
      <c r="AN415" s="40"/>
      <c r="AO415" s="41"/>
      <c r="AP415" s="41"/>
      <c r="AQ415" s="40"/>
    </row>
    <row r="416">
      <c r="A416" s="40"/>
      <c r="B416" s="39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1"/>
      <c r="AM416" s="40"/>
      <c r="AN416" s="40"/>
      <c r="AO416" s="41"/>
      <c r="AP416" s="41"/>
      <c r="AQ416" s="40"/>
    </row>
    <row r="417">
      <c r="A417" s="40"/>
      <c r="B417" s="39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1"/>
      <c r="AM417" s="40"/>
      <c r="AN417" s="40"/>
      <c r="AO417" s="41"/>
      <c r="AP417" s="41"/>
      <c r="AQ417" s="40"/>
    </row>
    <row r="418">
      <c r="A418" s="40"/>
      <c r="B418" s="39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1"/>
      <c r="AM418" s="40"/>
      <c r="AN418" s="40"/>
      <c r="AO418" s="41"/>
      <c r="AP418" s="41"/>
      <c r="AQ418" s="40"/>
    </row>
    <row r="419">
      <c r="A419" s="40"/>
      <c r="B419" s="39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1"/>
      <c r="AM419" s="40"/>
      <c r="AN419" s="40"/>
      <c r="AO419" s="41"/>
      <c r="AP419" s="41"/>
      <c r="AQ419" s="40"/>
    </row>
    <row r="420">
      <c r="A420" s="40"/>
      <c r="B420" s="39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1"/>
      <c r="AM420" s="40"/>
      <c r="AN420" s="40"/>
      <c r="AO420" s="41"/>
      <c r="AP420" s="41"/>
      <c r="AQ420" s="40"/>
    </row>
    <row r="421">
      <c r="A421" s="40"/>
      <c r="B421" s="39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1"/>
      <c r="AM421" s="40"/>
      <c r="AN421" s="40"/>
      <c r="AO421" s="41"/>
      <c r="AP421" s="41"/>
      <c r="AQ421" s="40"/>
    </row>
    <row r="422">
      <c r="A422" s="40"/>
      <c r="B422" s="39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1"/>
      <c r="AM422" s="40"/>
      <c r="AN422" s="40"/>
      <c r="AO422" s="41"/>
      <c r="AP422" s="41"/>
      <c r="AQ422" s="40"/>
    </row>
    <row r="423">
      <c r="A423" s="40"/>
      <c r="B423" s="39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1"/>
      <c r="AM423" s="40"/>
      <c r="AN423" s="40"/>
      <c r="AO423" s="41"/>
      <c r="AP423" s="41"/>
      <c r="AQ423" s="40"/>
    </row>
    <row r="424">
      <c r="A424" s="40"/>
      <c r="B424" s="39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1"/>
      <c r="AM424" s="40"/>
      <c r="AN424" s="40"/>
      <c r="AO424" s="41"/>
      <c r="AP424" s="41"/>
      <c r="AQ424" s="40"/>
    </row>
    <row r="425">
      <c r="A425" s="40"/>
      <c r="B425" s="39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1"/>
      <c r="AM425" s="40"/>
      <c r="AN425" s="40"/>
      <c r="AO425" s="41"/>
      <c r="AP425" s="41"/>
      <c r="AQ425" s="40"/>
    </row>
    <row r="426">
      <c r="A426" s="40"/>
      <c r="B426" s="42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1"/>
      <c r="AM426" s="40"/>
      <c r="AN426" s="40"/>
      <c r="AO426" s="41"/>
      <c r="AP426" s="41"/>
      <c r="AQ426" s="40"/>
    </row>
    <row r="427">
      <c r="A427" s="40"/>
      <c r="B427" s="42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1"/>
      <c r="AM427" s="40"/>
      <c r="AN427" s="40"/>
      <c r="AO427" s="41"/>
      <c r="AP427" s="41"/>
      <c r="AQ427" s="40"/>
    </row>
    <row r="428">
      <c r="A428" s="40"/>
      <c r="B428" s="42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1"/>
      <c r="AM428" s="40"/>
      <c r="AN428" s="40"/>
      <c r="AO428" s="41"/>
      <c r="AP428" s="41"/>
      <c r="AQ428" s="40"/>
    </row>
    <row r="429">
      <c r="A429" s="40"/>
      <c r="B429" s="42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1"/>
      <c r="AM429" s="40"/>
      <c r="AN429" s="40"/>
      <c r="AO429" s="41"/>
      <c r="AP429" s="41"/>
      <c r="AQ429" s="40"/>
    </row>
    <row r="430">
      <c r="A430" s="40"/>
      <c r="B430" s="42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1"/>
      <c r="AM430" s="40"/>
      <c r="AN430" s="40"/>
      <c r="AO430" s="41"/>
      <c r="AP430" s="41"/>
      <c r="AQ430" s="40"/>
    </row>
    <row r="431">
      <c r="A431" s="40"/>
      <c r="B431" s="42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1"/>
      <c r="AM431" s="40"/>
      <c r="AN431" s="40"/>
      <c r="AO431" s="41"/>
      <c r="AP431" s="41"/>
      <c r="AQ431" s="40"/>
    </row>
    <row r="432">
      <c r="A432" s="40"/>
      <c r="B432" s="42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1"/>
      <c r="AM432" s="40"/>
      <c r="AN432" s="40"/>
      <c r="AO432" s="41"/>
      <c r="AP432" s="41"/>
      <c r="AQ432" s="40"/>
    </row>
    <row r="433">
      <c r="A433" s="40"/>
      <c r="B433" s="42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1"/>
      <c r="AM433" s="40"/>
      <c r="AN433" s="40"/>
      <c r="AO433" s="41"/>
      <c r="AP433" s="41"/>
      <c r="AQ433" s="40"/>
    </row>
    <row r="434">
      <c r="A434" s="40"/>
      <c r="B434" s="42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1"/>
      <c r="AM434" s="40"/>
      <c r="AN434" s="40"/>
      <c r="AO434" s="41"/>
      <c r="AP434" s="41"/>
      <c r="AQ434" s="40"/>
    </row>
    <row r="435">
      <c r="A435" s="40"/>
      <c r="B435" s="42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1"/>
      <c r="AM435" s="40"/>
      <c r="AN435" s="40"/>
      <c r="AO435" s="41"/>
      <c r="AP435" s="41"/>
      <c r="AQ435" s="40"/>
    </row>
    <row r="436">
      <c r="A436" s="40"/>
      <c r="B436" s="42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1"/>
      <c r="AM436" s="40"/>
      <c r="AN436" s="40"/>
      <c r="AO436" s="41"/>
      <c r="AP436" s="41"/>
      <c r="AQ436" s="40"/>
    </row>
    <row r="437">
      <c r="A437" s="40"/>
      <c r="B437" s="42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1"/>
      <c r="AM437" s="40"/>
      <c r="AN437" s="40"/>
      <c r="AO437" s="41"/>
      <c r="AP437" s="41"/>
      <c r="AQ437" s="40"/>
    </row>
    <row r="438">
      <c r="A438" s="40"/>
      <c r="B438" s="42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1"/>
      <c r="AM438" s="40"/>
      <c r="AN438" s="40"/>
      <c r="AO438" s="41"/>
      <c r="AP438" s="41"/>
      <c r="AQ438" s="40"/>
    </row>
    <row r="439">
      <c r="A439" s="40"/>
      <c r="B439" s="42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1"/>
      <c r="AM439" s="40"/>
      <c r="AN439" s="40"/>
      <c r="AO439" s="41"/>
      <c r="AP439" s="41"/>
      <c r="AQ439" s="40"/>
    </row>
    <row r="440">
      <c r="A440" s="40"/>
      <c r="B440" s="42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1"/>
      <c r="AM440" s="40"/>
      <c r="AN440" s="40"/>
      <c r="AO440" s="41"/>
      <c r="AP440" s="41"/>
      <c r="AQ440" s="40"/>
    </row>
    <row r="441">
      <c r="A441" s="40"/>
      <c r="B441" s="42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1"/>
      <c r="AM441" s="40"/>
      <c r="AN441" s="40"/>
      <c r="AO441" s="41"/>
      <c r="AP441" s="41"/>
      <c r="AQ441" s="40"/>
    </row>
    <row r="442">
      <c r="A442" s="40"/>
      <c r="B442" s="42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1"/>
      <c r="AM442" s="40"/>
      <c r="AN442" s="40"/>
      <c r="AO442" s="41"/>
      <c r="AP442" s="41"/>
      <c r="AQ442" s="40"/>
    </row>
    <row r="443">
      <c r="A443" s="40"/>
      <c r="B443" s="42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1"/>
      <c r="AM443" s="40"/>
      <c r="AN443" s="40"/>
      <c r="AO443" s="41"/>
      <c r="AP443" s="41"/>
      <c r="AQ443" s="40"/>
    </row>
    <row r="444">
      <c r="A444" s="40"/>
      <c r="B444" s="42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1"/>
      <c r="AM444" s="40"/>
      <c r="AN444" s="40"/>
      <c r="AO444" s="41"/>
      <c r="AP444" s="41"/>
      <c r="AQ444" s="40"/>
    </row>
    <row r="445">
      <c r="A445" s="40"/>
      <c r="B445" s="42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1"/>
      <c r="AM445" s="40"/>
      <c r="AN445" s="40"/>
      <c r="AO445" s="41"/>
      <c r="AP445" s="41"/>
      <c r="AQ445" s="40"/>
    </row>
    <row r="446">
      <c r="A446" s="40"/>
      <c r="B446" s="42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1"/>
      <c r="AM446" s="40"/>
      <c r="AN446" s="40"/>
      <c r="AO446" s="41"/>
      <c r="AP446" s="41"/>
      <c r="AQ446" s="40"/>
    </row>
    <row r="447">
      <c r="A447" s="40"/>
      <c r="B447" s="42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1"/>
      <c r="AM447" s="40"/>
      <c r="AN447" s="40"/>
      <c r="AO447" s="41"/>
      <c r="AP447" s="41"/>
      <c r="AQ447" s="40"/>
    </row>
    <row r="448">
      <c r="A448" s="40"/>
      <c r="B448" s="42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1"/>
      <c r="AM448" s="40"/>
      <c r="AN448" s="40"/>
      <c r="AO448" s="41"/>
      <c r="AP448" s="41"/>
      <c r="AQ448" s="40"/>
    </row>
    <row r="449">
      <c r="A449" s="40"/>
      <c r="B449" s="42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1"/>
      <c r="AM449" s="40"/>
      <c r="AN449" s="40"/>
      <c r="AO449" s="41"/>
      <c r="AP449" s="41"/>
      <c r="AQ449" s="40"/>
    </row>
    <row r="450">
      <c r="A450" s="40"/>
      <c r="B450" s="42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1"/>
      <c r="AM450" s="40"/>
      <c r="AN450" s="40"/>
      <c r="AO450" s="41"/>
      <c r="AP450" s="41"/>
      <c r="AQ450" s="40"/>
    </row>
    <row r="451">
      <c r="A451" s="40"/>
      <c r="B451" s="42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1"/>
      <c r="AM451" s="40"/>
      <c r="AN451" s="40"/>
      <c r="AO451" s="41"/>
      <c r="AP451" s="41"/>
      <c r="AQ451" s="40"/>
    </row>
    <row r="452">
      <c r="A452" s="40"/>
      <c r="B452" s="42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1"/>
      <c r="AM452" s="40"/>
      <c r="AN452" s="40"/>
      <c r="AO452" s="41"/>
      <c r="AP452" s="41"/>
      <c r="AQ452" s="40"/>
    </row>
    <row r="453">
      <c r="A453" s="40"/>
      <c r="B453" s="42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1"/>
      <c r="AM453" s="40"/>
      <c r="AN453" s="40"/>
      <c r="AO453" s="41"/>
      <c r="AP453" s="41"/>
      <c r="AQ453" s="40"/>
    </row>
    <row r="454">
      <c r="A454" s="40"/>
      <c r="B454" s="42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1"/>
      <c r="AM454" s="40"/>
      <c r="AN454" s="40"/>
      <c r="AO454" s="41"/>
      <c r="AP454" s="41"/>
      <c r="AQ454" s="40"/>
    </row>
    <row r="455">
      <c r="A455" s="40"/>
      <c r="B455" s="42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1"/>
      <c r="AM455" s="40"/>
      <c r="AN455" s="40"/>
      <c r="AO455" s="41"/>
      <c r="AP455" s="41"/>
      <c r="AQ455" s="40"/>
    </row>
    <row r="456">
      <c r="A456" s="40"/>
      <c r="B456" s="42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1"/>
      <c r="AM456" s="40"/>
      <c r="AN456" s="40"/>
      <c r="AO456" s="41"/>
      <c r="AP456" s="41"/>
      <c r="AQ456" s="40"/>
    </row>
    <row r="457">
      <c r="A457" s="40"/>
      <c r="B457" s="42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1"/>
      <c r="AM457" s="40"/>
      <c r="AN457" s="40"/>
      <c r="AO457" s="41"/>
      <c r="AP457" s="41"/>
      <c r="AQ457" s="40"/>
    </row>
    <row r="458">
      <c r="A458" s="40"/>
      <c r="B458" s="42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1"/>
      <c r="AM458" s="40"/>
      <c r="AN458" s="40"/>
      <c r="AO458" s="41"/>
      <c r="AP458" s="41"/>
      <c r="AQ458" s="40"/>
    </row>
    <row r="459">
      <c r="A459" s="40"/>
      <c r="B459" s="42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1"/>
      <c r="AM459" s="40"/>
      <c r="AN459" s="40"/>
      <c r="AO459" s="41"/>
      <c r="AP459" s="41"/>
      <c r="AQ459" s="40"/>
    </row>
    <row r="460">
      <c r="A460" s="40"/>
      <c r="B460" s="42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1"/>
      <c r="AM460" s="40"/>
      <c r="AN460" s="40"/>
      <c r="AO460" s="41"/>
      <c r="AP460" s="41"/>
      <c r="AQ460" s="40"/>
    </row>
    <row r="461">
      <c r="A461" s="40"/>
      <c r="B461" s="42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1"/>
      <c r="AM461" s="40"/>
      <c r="AN461" s="40"/>
      <c r="AO461" s="41"/>
      <c r="AP461" s="41"/>
      <c r="AQ461" s="40"/>
    </row>
    <row r="462">
      <c r="A462" s="40"/>
      <c r="B462" s="42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1"/>
      <c r="AM462" s="40"/>
      <c r="AN462" s="40"/>
      <c r="AO462" s="41"/>
      <c r="AP462" s="41"/>
      <c r="AQ462" s="40"/>
    </row>
    <row r="463">
      <c r="A463" s="40"/>
      <c r="B463" s="42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1"/>
      <c r="AM463" s="40"/>
      <c r="AN463" s="40"/>
      <c r="AO463" s="41"/>
      <c r="AP463" s="41"/>
      <c r="AQ463" s="40"/>
    </row>
    <row r="464">
      <c r="A464" s="40"/>
      <c r="B464" s="42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1"/>
      <c r="AM464" s="40"/>
      <c r="AN464" s="40"/>
      <c r="AO464" s="41"/>
      <c r="AP464" s="41"/>
      <c r="AQ464" s="40"/>
    </row>
    <row r="465">
      <c r="A465" s="40"/>
      <c r="B465" s="42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1"/>
      <c r="AM465" s="40"/>
      <c r="AN465" s="40"/>
      <c r="AO465" s="41"/>
      <c r="AP465" s="41"/>
      <c r="AQ465" s="40"/>
    </row>
    <row r="466">
      <c r="A466" s="40"/>
      <c r="B466" s="42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1"/>
      <c r="AM466" s="40"/>
      <c r="AN466" s="40"/>
      <c r="AO466" s="41"/>
      <c r="AP466" s="41"/>
      <c r="AQ466" s="40"/>
    </row>
    <row r="467">
      <c r="A467" s="40"/>
      <c r="B467" s="42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1"/>
      <c r="AM467" s="40"/>
      <c r="AN467" s="40"/>
      <c r="AO467" s="41"/>
      <c r="AP467" s="41"/>
      <c r="AQ467" s="40"/>
    </row>
    <row r="468">
      <c r="A468" s="40"/>
      <c r="B468" s="42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1"/>
      <c r="AM468" s="40"/>
      <c r="AN468" s="40"/>
      <c r="AO468" s="41"/>
      <c r="AP468" s="41"/>
      <c r="AQ468" s="40"/>
    </row>
    <row r="469">
      <c r="A469" s="40"/>
      <c r="B469" s="42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1"/>
      <c r="AM469" s="40"/>
      <c r="AN469" s="40"/>
      <c r="AO469" s="41"/>
      <c r="AP469" s="41"/>
      <c r="AQ469" s="40"/>
    </row>
    <row r="470">
      <c r="A470" s="40"/>
      <c r="B470" s="42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1"/>
      <c r="AM470" s="40"/>
      <c r="AN470" s="40"/>
      <c r="AO470" s="41"/>
      <c r="AP470" s="41"/>
      <c r="AQ470" s="40"/>
    </row>
    <row r="471">
      <c r="A471" s="40"/>
      <c r="B471" s="42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1"/>
      <c r="AM471" s="40"/>
      <c r="AN471" s="40"/>
      <c r="AO471" s="41"/>
      <c r="AP471" s="41"/>
      <c r="AQ471" s="40"/>
    </row>
    <row r="472">
      <c r="A472" s="40"/>
      <c r="B472" s="42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1"/>
      <c r="AM472" s="40"/>
      <c r="AN472" s="40"/>
      <c r="AO472" s="41"/>
      <c r="AP472" s="41"/>
      <c r="AQ472" s="40"/>
    </row>
    <row r="473">
      <c r="A473" s="40"/>
      <c r="B473" s="42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1"/>
      <c r="AM473" s="40"/>
      <c r="AN473" s="40"/>
      <c r="AO473" s="41"/>
      <c r="AP473" s="41"/>
      <c r="AQ473" s="40"/>
    </row>
    <row r="474">
      <c r="A474" s="40"/>
      <c r="B474" s="42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1"/>
      <c r="AM474" s="40"/>
      <c r="AN474" s="40"/>
      <c r="AO474" s="41"/>
      <c r="AP474" s="41"/>
      <c r="AQ474" s="40"/>
    </row>
    <row r="475">
      <c r="A475" s="40"/>
      <c r="B475" s="42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1"/>
      <c r="AM475" s="40"/>
      <c r="AN475" s="40"/>
      <c r="AO475" s="41"/>
      <c r="AP475" s="41"/>
      <c r="AQ475" s="40"/>
    </row>
    <row r="476">
      <c r="A476" s="40"/>
      <c r="B476" s="42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1"/>
      <c r="AM476" s="40"/>
      <c r="AN476" s="40"/>
      <c r="AO476" s="41"/>
      <c r="AP476" s="41"/>
      <c r="AQ476" s="40"/>
    </row>
    <row r="477">
      <c r="A477" s="40"/>
      <c r="B477" s="42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1"/>
      <c r="AM477" s="40"/>
      <c r="AN477" s="40"/>
      <c r="AO477" s="41"/>
      <c r="AP477" s="41"/>
      <c r="AQ477" s="40"/>
    </row>
    <row r="478">
      <c r="A478" s="40"/>
      <c r="B478" s="42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1"/>
      <c r="AM478" s="40"/>
      <c r="AN478" s="40"/>
      <c r="AO478" s="41"/>
      <c r="AP478" s="41"/>
      <c r="AQ478" s="40"/>
    </row>
    <row r="479">
      <c r="A479" s="40"/>
      <c r="B479" s="42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1"/>
      <c r="AM479" s="40"/>
      <c r="AN479" s="40"/>
      <c r="AO479" s="41"/>
      <c r="AP479" s="41"/>
      <c r="AQ479" s="40"/>
    </row>
    <row r="480">
      <c r="A480" s="40"/>
      <c r="B480" s="42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1"/>
      <c r="AM480" s="40"/>
      <c r="AN480" s="40"/>
      <c r="AO480" s="41"/>
      <c r="AP480" s="41"/>
      <c r="AQ480" s="40"/>
    </row>
    <row r="481">
      <c r="A481" s="40"/>
      <c r="B481" s="42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1"/>
      <c r="AM481" s="40"/>
      <c r="AN481" s="40"/>
      <c r="AO481" s="41"/>
      <c r="AP481" s="41"/>
      <c r="AQ481" s="40"/>
    </row>
    <row r="482">
      <c r="A482" s="40"/>
      <c r="B482" s="42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1"/>
      <c r="AM482" s="40"/>
      <c r="AN482" s="40"/>
      <c r="AO482" s="41"/>
      <c r="AP482" s="41"/>
      <c r="AQ482" s="40"/>
    </row>
    <row r="483">
      <c r="A483" s="40"/>
      <c r="B483" s="42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1"/>
      <c r="AM483" s="40"/>
      <c r="AN483" s="40"/>
      <c r="AO483" s="41"/>
      <c r="AP483" s="41"/>
      <c r="AQ483" s="40"/>
    </row>
    <row r="484">
      <c r="A484" s="40"/>
      <c r="B484" s="42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1"/>
      <c r="AM484" s="40"/>
      <c r="AN484" s="40"/>
      <c r="AO484" s="41"/>
      <c r="AP484" s="41"/>
      <c r="AQ484" s="40"/>
    </row>
    <row r="485">
      <c r="A485" s="40"/>
      <c r="B485" s="42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1"/>
      <c r="AM485" s="40"/>
      <c r="AN485" s="40"/>
      <c r="AO485" s="41"/>
      <c r="AP485" s="41"/>
      <c r="AQ485" s="40"/>
    </row>
    <row r="486">
      <c r="A486" s="40"/>
      <c r="B486" s="42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1"/>
      <c r="AM486" s="40"/>
      <c r="AN486" s="40"/>
      <c r="AO486" s="41"/>
      <c r="AP486" s="41"/>
      <c r="AQ486" s="40"/>
    </row>
    <row r="487">
      <c r="A487" s="40"/>
      <c r="B487" s="42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1"/>
      <c r="AM487" s="40"/>
      <c r="AN487" s="40"/>
      <c r="AO487" s="41"/>
      <c r="AP487" s="41"/>
      <c r="AQ487" s="40"/>
    </row>
    <row r="488">
      <c r="A488" s="40"/>
      <c r="B488" s="42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1"/>
      <c r="AM488" s="40"/>
      <c r="AN488" s="40"/>
      <c r="AO488" s="41"/>
      <c r="AP488" s="41"/>
      <c r="AQ488" s="40"/>
    </row>
    <row r="489">
      <c r="A489" s="40"/>
      <c r="B489" s="42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1"/>
      <c r="AM489" s="40"/>
      <c r="AN489" s="40"/>
      <c r="AO489" s="41"/>
      <c r="AP489" s="41"/>
      <c r="AQ489" s="40"/>
    </row>
    <row r="490">
      <c r="A490" s="40"/>
      <c r="B490" s="42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1"/>
      <c r="AM490" s="40"/>
      <c r="AN490" s="40"/>
      <c r="AO490" s="41"/>
      <c r="AP490" s="41"/>
      <c r="AQ490" s="40"/>
    </row>
    <row r="491">
      <c r="A491" s="40"/>
      <c r="B491" s="42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1"/>
      <c r="AM491" s="40"/>
      <c r="AN491" s="40"/>
      <c r="AO491" s="41"/>
      <c r="AP491" s="41"/>
      <c r="AQ491" s="40"/>
    </row>
    <row r="492">
      <c r="A492" s="40"/>
      <c r="B492" s="42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1"/>
      <c r="AM492" s="40"/>
      <c r="AN492" s="40"/>
      <c r="AO492" s="41"/>
      <c r="AP492" s="41"/>
      <c r="AQ492" s="40"/>
    </row>
    <row r="493">
      <c r="A493" s="40"/>
      <c r="B493" s="42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1"/>
      <c r="AM493" s="40"/>
      <c r="AN493" s="40"/>
      <c r="AO493" s="41"/>
      <c r="AP493" s="41"/>
      <c r="AQ493" s="40"/>
    </row>
    <row r="494">
      <c r="A494" s="40"/>
      <c r="B494" s="42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1"/>
      <c r="AM494" s="40"/>
      <c r="AN494" s="40"/>
      <c r="AO494" s="41"/>
      <c r="AP494" s="41"/>
      <c r="AQ494" s="40"/>
    </row>
    <row r="495">
      <c r="A495" s="40"/>
      <c r="B495" s="42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1"/>
      <c r="AM495" s="40"/>
      <c r="AN495" s="40"/>
      <c r="AO495" s="41"/>
      <c r="AP495" s="41"/>
      <c r="AQ495" s="40"/>
    </row>
    <row r="496">
      <c r="A496" s="40"/>
      <c r="B496" s="42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1"/>
      <c r="AM496" s="40"/>
      <c r="AN496" s="40"/>
      <c r="AO496" s="41"/>
      <c r="AP496" s="41"/>
      <c r="AQ496" s="40"/>
    </row>
    <row r="497">
      <c r="A497" s="40"/>
      <c r="B497" s="42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1"/>
      <c r="AM497" s="40"/>
      <c r="AN497" s="40"/>
      <c r="AO497" s="41"/>
      <c r="AP497" s="41"/>
      <c r="AQ497" s="40"/>
    </row>
    <row r="498">
      <c r="A498" s="40"/>
      <c r="B498" s="42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1"/>
      <c r="AM498" s="40"/>
      <c r="AN498" s="40"/>
      <c r="AO498" s="41"/>
      <c r="AP498" s="41"/>
      <c r="AQ498" s="40"/>
    </row>
    <row r="499">
      <c r="A499" s="40"/>
      <c r="B499" s="42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1"/>
      <c r="AM499" s="40"/>
      <c r="AN499" s="40"/>
      <c r="AO499" s="41"/>
      <c r="AP499" s="41"/>
      <c r="AQ499" s="40"/>
    </row>
    <row r="500">
      <c r="A500" s="40"/>
      <c r="B500" s="42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1"/>
      <c r="AM500" s="40"/>
      <c r="AN500" s="40"/>
      <c r="AO500" s="41"/>
      <c r="AP500" s="41"/>
      <c r="AQ500" s="40"/>
    </row>
    <row r="501">
      <c r="A501" s="40"/>
      <c r="B501" s="42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1"/>
      <c r="AM501" s="40"/>
      <c r="AN501" s="40"/>
      <c r="AO501" s="41"/>
      <c r="AP501" s="41"/>
      <c r="AQ501" s="40"/>
    </row>
    <row r="502">
      <c r="A502" s="40"/>
      <c r="B502" s="42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1"/>
      <c r="AM502" s="40"/>
      <c r="AN502" s="40"/>
      <c r="AO502" s="41"/>
      <c r="AP502" s="41"/>
      <c r="AQ502" s="40"/>
    </row>
    <row r="503">
      <c r="A503" s="40"/>
      <c r="B503" s="42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1"/>
      <c r="AM503" s="40"/>
      <c r="AN503" s="40"/>
      <c r="AO503" s="41"/>
      <c r="AP503" s="41"/>
      <c r="AQ503" s="40"/>
    </row>
    <row r="504">
      <c r="A504" s="40"/>
      <c r="B504" s="42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1"/>
      <c r="AM504" s="40"/>
      <c r="AN504" s="40"/>
      <c r="AO504" s="41"/>
      <c r="AP504" s="41"/>
      <c r="AQ504" s="40"/>
    </row>
    <row r="505">
      <c r="A505" s="40"/>
      <c r="B505" s="42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1"/>
      <c r="AM505" s="40"/>
      <c r="AN505" s="40"/>
      <c r="AO505" s="41"/>
      <c r="AP505" s="41"/>
      <c r="AQ505" s="40"/>
    </row>
    <row r="506">
      <c r="A506" s="40"/>
      <c r="B506" s="42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1"/>
      <c r="AM506" s="40"/>
      <c r="AN506" s="40"/>
      <c r="AO506" s="41"/>
      <c r="AP506" s="41"/>
      <c r="AQ506" s="40"/>
    </row>
    <row r="507">
      <c r="A507" s="40"/>
      <c r="B507" s="42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1"/>
      <c r="AM507" s="40"/>
      <c r="AN507" s="40"/>
      <c r="AO507" s="41"/>
      <c r="AP507" s="41"/>
      <c r="AQ507" s="40"/>
    </row>
    <row r="508">
      <c r="A508" s="40"/>
      <c r="B508" s="42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1"/>
      <c r="AM508" s="40"/>
      <c r="AN508" s="40"/>
      <c r="AO508" s="41"/>
      <c r="AP508" s="41"/>
      <c r="AQ508" s="40"/>
    </row>
    <row r="509">
      <c r="A509" s="40"/>
      <c r="B509" s="42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1"/>
      <c r="AM509" s="40"/>
      <c r="AN509" s="40"/>
      <c r="AO509" s="41"/>
      <c r="AP509" s="41"/>
      <c r="AQ509" s="40"/>
    </row>
    <row r="510">
      <c r="A510" s="40"/>
      <c r="B510" s="42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1"/>
      <c r="AM510" s="40"/>
      <c r="AN510" s="40"/>
      <c r="AO510" s="41"/>
      <c r="AP510" s="41"/>
      <c r="AQ510" s="40"/>
    </row>
    <row r="511">
      <c r="A511" s="40"/>
      <c r="B511" s="42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1"/>
      <c r="AM511" s="40"/>
      <c r="AN511" s="40"/>
      <c r="AO511" s="41"/>
      <c r="AP511" s="41"/>
      <c r="AQ511" s="40"/>
    </row>
    <row r="512">
      <c r="A512" s="40"/>
      <c r="B512" s="42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1"/>
      <c r="AM512" s="40"/>
      <c r="AN512" s="40"/>
      <c r="AO512" s="41"/>
      <c r="AP512" s="41"/>
      <c r="AQ512" s="40"/>
    </row>
    <row r="513">
      <c r="A513" s="40"/>
      <c r="B513" s="42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1"/>
      <c r="AM513" s="40"/>
      <c r="AN513" s="40"/>
      <c r="AO513" s="41"/>
      <c r="AP513" s="41"/>
      <c r="AQ513" s="40"/>
    </row>
    <row r="514">
      <c r="A514" s="40"/>
      <c r="B514" s="42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1"/>
      <c r="AM514" s="40"/>
      <c r="AN514" s="40"/>
      <c r="AO514" s="41"/>
      <c r="AP514" s="41"/>
      <c r="AQ514" s="40"/>
    </row>
    <row r="515">
      <c r="A515" s="40"/>
      <c r="B515" s="42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1"/>
      <c r="AM515" s="40"/>
      <c r="AN515" s="40"/>
      <c r="AO515" s="41"/>
      <c r="AP515" s="41"/>
      <c r="AQ515" s="40"/>
    </row>
    <row r="516">
      <c r="A516" s="40"/>
      <c r="B516" s="42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1"/>
      <c r="AM516" s="40"/>
      <c r="AN516" s="40"/>
      <c r="AO516" s="41"/>
      <c r="AP516" s="41"/>
      <c r="AQ516" s="40"/>
    </row>
    <row r="517">
      <c r="A517" s="40"/>
      <c r="B517" s="42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1"/>
      <c r="AM517" s="40"/>
      <c r="AN517" s="40"/>
      <c r="AO517" s="41"/>
      <c r="AP517" s="41"/>
      <c r="AQ517" s="40"/>
    </row>
    <row r="518">
      <c r="A518" s="40"/>
      <c r="B518" s="42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1"/>
      <c r="AM518" s="40"/>
      <c r="AN518" s="40"/>
      <c r="AO518" s="41"/>
      <c r="AP518" s="41"/>
      <c r="AQ518" s="40"/>
    </row>
    <row r="519">
      <c r="A519" s="40"/>
      <c r="B519" s="42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1"/>
      <c r="AM519" s="40"/>
      <c r="AN519" s="40"/>
      <c r="AO519" s="41"/>
      <c r="AP519" s="41"/>
      <c r="AQ519" s="40"/>
    </row>
    <row r="520">
      <c r="A520" s="40"/>
      <c r="B520" s="42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1"/>
      <c r="AM520" s="40"/>
      <c r="AN520" s="40"/>
      <c r="AO520" s="41"/>
      <c r="AP520" s="41"/>
      <c r="AQ520" s="40"/>
    </row>
    <row r="521">
      <c r="A521" s="40"/>
      <c r="B521" s="42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1"/>
      <c r="AM521" s="40"/>
      <c r="AN521" s="40"/>
      <c r="AO521" s="41"/>
      <c r="AP521" s="41"/>
      <c r="AQ521" s="40"/>
    </row>
    <row r="522">
      <c r="A522" s="40"/>
      <c r="B522" s="42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1"/>
      <c r="AM522" s="40"/>
      <c r="AN522" s="40"/>
      <c r="AO522" s="41"/>
      <c r="AP522" s="41"/>
      <c r="AQ522" s="40"/>
    </row>
    <row r="523">
      <c r="A523" s="40"/>
      <c r="B523" s="42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1"/>
      <c r="AM523" s="40"/>
      <c r="AN523" s="40"/>
      <c r="AO523" s="41"/>
      <c r="AP523" s="41"/>
      <c r="AQ523" s="40"/>
    </row>
    <row r="524">
      <c r="A524" s="40"/>
      <c r="B524" s="42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1"/>
      <c r="AM524" s="40"/>
      <c r="AN524" s="40"/>
      <c r="AO524" s="41"/>
      <c r="AP524" s="41"/>
      <c r="AQ524" s="40"/>
    </row>
    <row r="525">
      <c r="A525" s="40"/>
      <c r="B525" s="42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1"/>
      <c r="AM525" s="40"/>
      <c r="AN525" s="40"/>
      <c r="AO525" s="41"/>
      <c r="AP525" s="41"/>
      <c r="AQ525" s="40"/>
    </row>
    <row r="526">
      <c r="A526" s="40"/>
      <c r="B526" s="42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1"/>
      <c r="AM526" s="40"/>
      <c r="AN526" s="40"/>
      <c r="AO526" s="41"/>
      <c r="AP526" s="41"/>
      <c r="AQ526" s="40"/>
    </row>
    <row r="527">
      <c r="A527" s="40"/>
      <c r="B527" s="42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1"/>
      <c r="AM527" s="40"/>
      <c r="AN527" s="40"/>
      <c r="AO527" s="41"/>
      <c r="AP527" s="41"/>
      <c r="AQ527" s="40"/>
    </row>
    <row r="528">
      <c r="A528" s="40"/>
      <c r="B528" s="42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1"/>
      <c r="AM528" s="40"/>
      <c r="AN528" s="40"/>
      <c r="AO528" s="41"/>
      <c r="AP528" s="41"/>
      <c r="AQ528" s="40"/>
    </row>
    <row r="529">
      <c r="A529" s="40"/>
      <c r="B529" s="42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1"/>
      <c r="AM529" s="40"/>
      <c r="AN529" s="40"/>
      <c r="AO529" s="41"/>
      <c r="AP529" s="41"/>
      <c r="AQ529" s="40"/>
    </row>
    <row r="530">
      <c r="A530" s="40"/>
      <c r="B530" s="42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1"/>
      <c r="AM530" s="40"/>
      <c r="AN530" s="40"/>
      <c r="AO530" s="41"/>
      <c r="AP530" s="41"/>
      <c r="AQ530" s="40"/>
    </row>
    <row r="531">
      <c r="A531" s="40"/>
      <c r="B531" s="42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1"/>
      <c r="AM531" s="40"/>
      <c r="AN531" s="40"/>
      <c r="AO531" s="41"/>
      <c r="AP531" s="41"/>
      <c r="AQ531" s="40"/>
    </row>
    <row r="532">
      <c r="A532" s="40"/>
      <c r="B532" s="42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1"/>
      <c r="AM532" s="40"/>
      <c r="AN532" s="40"/>
      <c r="AO532" s="41"/>
      <c r="AP532" s="41"/>
      <c r="AQ532" s="40"/>
    </row>
    <row r="533">
      <c r="A533" s="40"/>
      <c r="B533" s="42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1"/>
      <c r="AM533" s="40"/>
      <c r="AN533" s="40"/>
      <c r="AO533" s="41"/>
      <c r="AP533" s="41"/>
      <c r="AQ533" s="40"/>
    </row>
    <row r="534">
      <c r="A534" s="40"/>
      <c r="B534" s="42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1"/>
      <c r="AM534" s="40"/>
      <c r="AN534" s="40"/>
      <c r="AO534" s="41"/>
      <c r="AP534" s="41"/>
      <c r="AQ534" s="40"/>
    </row>
    <row r="535">
      <c r="A535" s="40"/>
      <c r="B535" s="42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1"/>
      <c r="AM535" s="40"/>
      <c r="AN535" s="40"/>
      <c r="AO535" s="41"/>
      <c r="AP535" s="41"/>
      <c r="AQ535" s="40"/>
    </row>
    <row r="536">
      <c r="A536" s="40"/>
      <c r="B536" s="42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1"/>
      <c r="AM536" s="40"/>
      <c r="AN536" s="40"/>
      <c r="AO536" s="41"/>
      <c r="AP536" s="41"/>
      <c r="AQ536" s="40"/>
    </row>
    <row r="537">
      <c r="A537" s="40"/>
      <c r="B537" s="42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1"/>
      <c r="AM537" s="40"/>
      <c r="AN537" s="40"/>
      <c r="AO537" s="41"/>
      <c r="AP537" s="41"/>
      <c r="AQ537" s="40"/>
    </row>
    <row r="538">
      <c r="A538" s="40"/>
      <c r="B538" s="42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1"/>
      <c r="AM538" s="40"/>
      <c r="AN538" s="40"/>
      <c r="AO538" s="41"/>
      <c r="AP538" s="41"/>
      <c r="AQ538" s="40"/>
    </row>
    <row r="539">
      <c r="A539" s="40"/>
      <c r="B539" s="42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1"/>
      <c r="AM539" s="40"/>
      <c r="AN539" s="40"/>
      <c r="AO539" s="41"/>
      <c r="AP539" s="41"/>
      <c r="AQ539" s="40"/>
    </row>
    <row r="540">
      <c r="A540" s="40"/>
      <c r="B540" s="42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1"/>
      <c r="AM540" s="40"/>
      <c r="AN540" s="40"/>
      <c r="AO540" s="41"/>
      <c r="AP540" s="41"/>
      <c r="AQ540" s="40"/>
    </row>
    <row r="541">
      <c r="A541" s="40"/>
      <c r="B541" s="42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1"/>
      <c r="AM541" s="40"/>
      <c r="AN541" s="40"/>
      <c r="AO541" s="41"/>
      <c r="AP541" s="41"/>
      <c r="AQ541" s="40"/>
    </row>
    <row r="542">
      <c r="A542" s="40"/>
      <c r="B542" s="42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1"/>
      <c r="AM542" s="40"/>
      <c r="AN542" s="40"/>
      <c r="AO542" s="41"/>
      <c r="AP542" s="41"/>
      <c r="AQ542" s="40"/>
    </row>
    <row r="543">
      <c r="A543" s="40"/>
      <c r="B543" s="42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1"/>
      <c r="AM543" s="40"/>
      <c r="AN543" s="40"/>
      <c r="AO543" s="41"/>
      <c r="AP543" s="41"/>
      <c r="AQ543" s="40"/>
    </row>
    <row r="544">
      <c r="A544" s="40"/>
      <c r="B544" s="42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1"/>
      <c r="AM544" s="40"/>
      <c r="AN544" s="40"/>
      <c r="AO544" s="41"/>
      <c r="AP544" s="41"/>
      <c r="AQ544" s="40"/>
    </row>
    <row r="545">
      <c r="A545" s="40"/>
      <c r="B545" s="42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1"/>
      <c r="AM545" s="40"/>
      <c r="AN545" s="40"/>
      <c r="AO545" s="41"/>
      <c r="AP545" s="41"/>
      <c r="AQ545" s="40"/>
    </row>
    <row r="546">
      <c r="A546" s="40"/>
      <c r="B546" s="42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1"/>
      <c r="AM546" s="40"/>
      <c r="AN546" s="40"/>
      <c r="AO546" s="41"/>
      <c r="AP546" s="41"/>
      <c r="AQ546" s="40"/>
    </row>
    <row r="547">
      <c r="A547" s="40"/>
      <c r="B547" s="42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1"/>
      <c r="AM547" s="40"/>
      <c r="AN547" s="40"/>
      <c r="AO547" s="41"/>
      <c r="AP547" s="41"/>
      <c r="AQ547" s="40"/>
    </row>
    <row r="548">
      <c r="A548" s="40"/>
      <c r="B548" s="42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1"/>
      <c r="AM548" s="40"/>
      <c r="AN548" s="40"/>
      <c r="AO548" s="41"/>
      <c r="AP548" s="41"/>
      <c r="AQ548" s="40"/>
    </row>
    <row r="549">
      <c r="A549" s="40"/>
      <c r="B549" s="42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1"/>
      <c r="AM549" s="40"/>
      <c r="AN549" s="40"/>
      <c r="AO549" s="41"/>
      <c r="AP549" s="41"/>
      <c r="AQ549" s="40"/>
    </row>
    <row r="550">
      <c r="A550" s="40"/>
      <c r="B550" s="42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1"/>
      <c r="AM550" s="40"/>
      <c r="AN550" s="40"/>
      <c r="AO550" s="41"/>
      <c r="AP550" s="41"/>
      <c r="AQ550" s="40"/>
    </row>
    <row r="551">
      <c r="A551" s="40"/>
      <c r="B551" s="42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1"/>
      <c r="AM551" s="40"/>
      <c r="AN551" s="40"/>
      <c r="AO551" s="41"/>
      <c r="AP551" s="41"/>
      <c r="AQ551" s="40"/>
    </row>
    <row r="552">
      <c r="A552" s="40"/>
      <c r="B552" s="42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1"/>
      <c r="AM552" s="40"/>
      <c r="AN552" s="40"/>
      <c r="AO552" s="41"/>
      <c r="AP552" s="41"/>
      <c r="AQ552" s="40"/>
    </row>
    <row r="553">
      <c r="A553" s="40"/>
      <c r="B553" s="42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1"/>
      <c r="AM553" s="40"/>
      <c r="AN553" s="40"/>
      <c r="AO553" s="41"/>
      <c r="AP553" s="41"/>
      <c r="AQ553" s="40"/>
    </row>
    <row r="554">
      <c r="A554" s="40"/>
      <c r="B554" s="42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1"/>
      <c r="AM554" s="40"/>
      <c r="AN554" s="40"/>
      <c r="AO554" s="41"/>
      <c r="AP554" s="41"/>
      <c r="AQ554" s="40"/>
    </row>
    <row r="555">
      <c r="A555" s="40"/>
      <c r="B555" s="42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1"/>
      <c r="AM555" s="40"/>
      <c r="AN555" s="40"/>
      <c r="AO555" s="41"/>
      <c r="AP555" s="41"/>
      <c r="AQ555" s="40"/>
    </row>
    <row r="556">
      <c r="A556" s="40"/>
      <c r="B556" s="42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1"/>
      <c r="AM556" s="40"/>
      <c r="AN556" s="40"/>
      <c r="AO556" s="41"/>
      <c r="AP556" s="41"/>
      <c r="AQ556" s="40"/>
    </row>
    <row r="557">
      <c r="A557" s="40"/>
      <c r="B557" s="42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1"/>
      <c r="AM557" s="40"/>
      <c r="AN557" s="40"/>
      <c r="AO557" s="41"/>
      <c r="AP557" s="41"/>
      <c r="AQ557" s="40"/>
    </row>
    <row r="558">
      <c r="A558" s="40"/>
      <c r="B558" s="42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1"/>
      <c r="AM558" s="40"/>
      <c r="AN558" s="40"/>
      <c r="AO558" s="41"/>
      <c r="AP558" s="41"/>
      <c r="AQ558" s="40"/>
    </row>
    <row r="559">
      <c r="A559" s="40"/>
      <c r="B559" s="42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1"/>
      <c r="AM559" s="40"/>
      <c r="AN559" s="40"/>
      <c r="AO559" s="41"/>
      <c r="AP559" s="41"/>
      <c r="AQ559" s="40"/>
    </row>
    <row r="560">
      <c r="A560" s="40"/>
      <c r="B560" s="42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1"/>
      <c r="AM560" s="40"/>
      <c r="AN560" s="40"/>
      <c r="AO560" s="41"/>
      <c r="AP560" s="41"/>
      <c r="AQ560" s="40"/>
    </row>
    <row r="561">
      <c r="A561" s="40"/>
      <c r="B561" s="42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1"/>
      <c r="AM561" s="40"/>
      <c r="AN561" s="40"/>
      <c r="AO561" s="41"/>
      <c r="AP561" s="41"/>
      <c r="AQ561" s="40"/>
    </row>
    <row r="562">
      <c r="A562" s="40"/>
      <c r="B562" s="42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1"/>
      <c r="AM562" s="40"/>
      <c r="AN562" s="40"/>
      <c r="AO562" s="41"/>
      <c r="AP562" s="41"/>
      <c r="AQ562" s="40"/>
    </row>
    <row r="563">
      <c r="A563" s="40"/>
      <c r="B563" s="42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1"/>
      <c r="AM563" s="40"/>
      <c r="AN563" s="40"/>
      <c r="AO563" s="41"/>
      <c r="AP563" s="41"/>
      <c r="AQ563" s="40"/>
    </row>
    <row r="564">
      <c r="A564" s="40"/>
      <c r="B564" s="42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1"/>
      <c r="AM564" s="40"/>
      <c r="AN564" s="40"/>
      <c r="AO564" s="41"/>
      <c r="AP564" s="41"/>
      <c r="AQ564" s="40"/>
    </row>
    <row r="565">
      <c r="A565" s="40"/>
      <c r="B565" s="42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1"/>
      <c r="AM565" s="40"/>
      <c r="AN565" s="40"/>
      <c r="AO565" s="41"/>
      <c r="AP565" s="41"/>
      <c r="AQ565" s="40"/>
    </row>
    <row r="566">
      <c r="A566" s="40"/>
      <c r="B566" s="42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1"/>
      <c r="AM566" s="40"/>
      <c r="AN566" s="40"/>
      <c r="AO566" s="41"/>
      <c r="AP566" s="41"/>
      <c r="AQ566" s="40"/>
    </row>
    <row r="567">
      <c r="A567" s="40"/>
      <c r="B567" s="42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1"/>
      <c r="AM567" s="40"/>
      <c r="AN567" s="40"/>
      <c r="AO567" s="41"/>
      <c r="AP567" s="41"/>
      <c r="AQ567" s="40"/>
    </row>
    <row r="568">
      <c r="A568" s="40"/>
      <c r="B568" s="42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1"/>
      <c r="AM568" s="40"/>
      <c r="AN568" s="40"/>
      <c r="AO568" s="41"/>
      <c r="AP568" s="41"/>
      <c r="AQ568" s="40"/>
    </row>
    <row r="569">
      <c r="A569" s="40"/>
      <c r="B569" s="42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1"/>
      <c r="AM569" s="40"/>
      <c r="AN569" s="40"/>
      <c r="AO569" s="41"/>
      <c r="AP569" s="41"/>
      <c r="AQ569" s="40"/>
    </row>
    <row r="570">
      <c r="A570" s="40"/>
      <c r="B570" s="42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1"/>
      <c r="AM570" s="40"/>
      <c r="AN570" s="40"/>
      <c r="AO570" s="41"/>
      <c r="AP570" s="41"/>
      <c r="AQ570" s="40"/>
    </row>
    <row r="571">
      <c r="A571" s="40"/>
      <c r="B571" s="42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1"/>
      <c r="AM571" s="40"/>
      <c r="AN571" s="40"/>
      <c r="AO571" s="41"/>
      <c r="AP571" s="41"/>
      <c r="AQ571" s="40"/>
    </row>
    <row r="572">
      <c r="A572" s="40"/>
      <c r="B572" s="42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1"/>
      <c r="AM572" s="40"/>
      <c r="AN572" s="40"/>
      <c r="AO572" s="41"/>
      <c r="AP572" s="41"/>
      <c r="AQ572" s="40"/>
    </row>
    <row r="573">
      <c r="A573" s="40"/>
      <c r="B573" s="42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1"/>
      <c r="AM573" s="40"/>
      <c r="AN573" s="40"/>
      <c r="AO573" s="41"/>
      <c r="AP573" s="41"/>
      <c r="AQ573" s="40"/>
    </row>
    <row r="574">
      <c r="A574" s="40"/>
      <c r="B574" s="42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1"/>
      <c r="AM574" s="40"/>
      <c r="AN574" s="40"/>
      <c r="AO574" s="41"/>
      <c r="AP574" s="41"/>
      <c r="AQ574" s="40"/>
    </row>
    <row r="575">
      <c r="A575" s="40"/>
      <c r="B575" s="42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1"/>
      <c r="AM575" s="40"/>
      <c r="AN575" s="40"/>
      <c r="AO575" s="41"/>
      <c r="AP575" s="41"/>
      <c r="AQ575" s="40"/>
    </row>
    <row r="576">
      <c r="A576" s="40"/>
      <c r="B576" s="42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1"/>
      <c r="AM576" s="40"/>
      <c r="AN576" s="40"/>
      <c r="AO576" s="41"/>
      <c r="AP576" s="41"/>
      <c r="AQ576" s="40"/>
    </row>
    <row r="577">
      <c r="A577" s="40"/>
      <c r="B577" s="42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1"/>
      <c r="AM577" s="40"/>
      <c r="AN577" s="40"/>
      <c r="AO577" s="41"/>
      <c r="AP577" s="41"/>
      <c r="AQ577" s="40"/>
    </row>
    <row r="578">
      <c r="A578" s="40"/>
      <c r="B578" s="42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1"/>
      <c r="AM578" s="40"/>
      <c r="AN578" s="40"/>
      <c r="AO578" s="41"/>
      <c r="AP578" s="41"/>
      <c r="AQ578" s="40"/>
    </row>
    <row r="579">
      <c r="A579" s="40"/>
      <c r="B579" s="42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1"/>
      <c r="AM579" s="40"/>
      <c r="AN579" s="40"/>
      <c r="AO579" s="41"/>
      <c r="AP579" s="41"/>
      <c r="AQ579" s="40"/>
    </row>
    <row r="580">
      <c r="A580" s="40"/>
      <c r="B580" s="42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1"/>
      <c r="AM580" s="40"/>
      <c r="AN580" s="40"/>
      <c r="AO580" s="41"/>
      <c r="AP580" s="41"/>
      <c r="AQ580" s="40"/>
    </row>
    <row r="581">
      <c r="A581" s="40"/>
      <c r="B581" s="42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1"/>
      <c r="AM581" s="40"/>
      <c r="AN581" s="40"/>
      <c r="AO581" s="41"/>
      <c r="AP581" s="41"/>
      <c r="AQ581" s="40"/>
    </row>
    <row r="582">
      <c r="A582" s="40"/>
      <c r="B582" s="42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1"/>
      <c r="AM582" s="40"/>
      <c r="AN582" s="40"/>
      <c r="AO582" s="41"/>
      <c r="AP582" s="41"/>
      <c r="AQ582" s="40"/>
    </row>
    <row r="583">
      <c r="A583" s="40"/>
      <c r="B583" s="42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1"/>
      <c r="AM583" s="40"/>
      <c r="AN583" s="40"/>
      <c r="AO583" s="41"/>
      <c r="AP583" s="41"/>
      <c r="AQ583" s="40"/>
    </row>
    <row r="584">
      <c r="A584" s="40"/>
      <c r="B584" s="42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1"/>
      <c r="AM584" s="40"/>
      <c r="AN584" s="40"/>
      <c r="AO584" s="41"/>
      <c r="AP584" s="41"/>
      <c r="AQ584" s="40"/>
    </row>
    <row r="585">
      <c r="A585" s="40"/>
      <c r="B585" s="42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1"/>
      <c r="AM585" s="40"/>
      <c r="AN585" s="40"/>
      <c r="AO585" s="41"/>
      <c r="AP585" s="41"/>
      <c r="AQ585" s="40"/>
    </row>
    <row r="586">
      <c r="A586" s="40"/>
      <c r="B586" s="42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1"/>
      <c r="AM586" s="40"/>
      <c r="AN586" s="40"/>
      <c r="AO586" s="41"/>
      <c r="AP586" s="41"/>
      <c r="AQ586" s="40"/>
    </row>
    <row r="587">
      <c r="A587" s="40"/>
      <c r="B587" s="42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1"/>
      <c r="AM587" s="40"/>
      <c r="AN587" s="40"/>
      <c r="AO587" s="41"/>
      <c r="AP587" s="41"/>
      <c r="AQ587" s="40"/>
    </row>
    <row r="588">
      <c r="A588" s="40"/>
      <c r="B588" s="42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1"/>
      <c r="AM588" s="40"/>
      <c r="AN588" s="40"/>
      <c r="AO588" s="41"/>
      <c r="AP588" s="41"/>
      <c r="AQ588" s="40"/>
    </row>
    <row r="589">
      <c r="A589" s="40"/>
      <c r="B589" s="42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1"/>
      <c r="AM589" s="40"/>
      <c r="AN589" s="40"/>
      <c r="AO589" s="41"/>
      <c r="AP589" s="41"/>
      <c r="AQ589" s="40"/>
    </row>
    <row r="590">
      <c r="A590" s="40"/>
      <c r="B590" s="42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1"/>
      <c r="AM590" s="40"/>
      <c r="AN590" s="40"/>
      <c r="AO590" s="41"/>
      <c r="AP590" s="41"/>
      <c r="AQ590" s="40"/>
    </row>
    <row r="591">
      <c r="A591" s="40"/>
      <c r="B591" s="42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1"/>
      <c r="AM591" s="40"/>
      <c r="AN591" s="40"/>
      <c r="AO591" s="41"/>
      <c r="AP591" s="41"/>
      <c r="AQ591" s="40"/>
    </row>
    <row r="592">
      <c r="A592" s="40"/>
      <c r="B592" s="42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1"/>
      <c r="AM592" s="40"/>
      <c r="AN592" s="40"/>
      <c r="AO592" s="41"/>
      <c r="AP592" s="41"/>
      <c r="AQ592" s="40"/>
    </row>
    <row r="593">
      <c r="A593" s="40"/>
      <c r="B593" s="42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1"/>
      <c r="AM593" s="40"/>
      <c r="AN593" s="40"/>
      <c r="AO593" s="41"/>
      <c r="AP593" s="41"/>
      <c r="AQ593" s="40"/>
    </row>
    <row r="594">
      <c r="A594" s="40"/>
      <c r="B594" s="42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1"/>
      <c r="AM594" s="40"/>
      <c r="AN594" s="40"/>
      <c r="AO594" s="41"/>
      <c r="AP594" s="41"/>
      <c r="AQ594" s="40"/>
    </row>
    <row r="595">
      <c r="A595" s="40"/>
      <c r="B595" s="42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1"/>
      <c r="AM595" s="40"/>
      <c r="AN595" s="40"/>
      <c r="AO595" s="41"/>
      <c r="AP595" s="41"/>
      <c r="AQ595" s="40"/>
    </row>
    <row r="596">
      <c r="A596" s="40"/>
      <c r="B596" s="42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1"/>
      <c r="AM596" s="40"/>
      <c r="AN596" s="40"/>
      <c r="AO596" s="41"/>
      <c r="AP596" s="41"/>
      <c r="AQ596" s="40"/>
    </row>
    <row r="597">
      <c r="A597" s="40"/>
      <c r="B597" s="42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1"/>
      <c r="AM597" s="40"/>
      <c r="AN597" s="40"/>
      <c r="AO597" s="41"/>
      <c r="AP597" s="41"/>
      <c r="AQ597" s="40"/>
    </row>
    <row r="598">
      <c r="A598" s="40"/>
      <c r="B598" s="42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1"/>
      <c r="AM598" s="40"/>
      <c r="AN598" s="40"/>
      <c r="AO598" s="41"/>
      <c r="AP598" s="41"/>
      <c r="AQ598" s="40"/>
    </row>
    <row r="599">
      <c r="A599" s="40"/>
      <c r="B599" s="42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1"/>
      <c r="AM599" s="40"/>
      <c r="AN599" s="40"/>
      <c r="AO599" s="41"/>
      <c r="AP599" s="41"/>
      <c r="AQ599" s="40"/>
    </row>
    <row r="600">
      <c r="A600" s="40"/>
      <c r="B600" s="42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1"/>
      <c r="AM600" s="40"/>
      <c r="AN600" s="40"/>
      <c r="AO600" s="41"/>
      <c r="AP600" s="41"/>
      <c r="AQ600" s="40"/>
    </row>
    <row r="601">
      <c r="A601" s="40"/>
      <c r="B601" s="42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1"/>
      <c r="AM601" s="40"/>
      <c r="AN601" s="40"/>
      <c r="AO601" s="41"/>
      <c r="AP601" s="41"/>
      <c r="AQ601" s="40"/>
    </row>
    <row r="602">
      <c r="A602" s="40"/>
      <c r="B602" s="42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1"/>
      <c r="AM602" s="40"/>
      <c r="AN602" s="40"/>
      <c r="AO602" s="41"/>
      <c r="AP602" s="41"/>
      <c r="AQ602" s="40"/>
    </row>
    <row r="603">
      <c r="A603" s="40"/>
      <c r="B603" s="42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1"/>
      <c r="AM603" s="40"/>
      <c r="AN603" s="40"/>
      <c r="AO603" s="41"/>
      <c r="AP603" s="41"/>
      <c r="AQ603" s="40"/>
    </row>
    <row r="604">
      <c r="A604" s="40"/>
      <c r="B604" s="42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1"/>
      <c r="AM604" s="40"/>
      <c r="AN604" s="40"/>
      <c r="AO604" s="41"/>
      <c r="AP604" s="41"/>
      <c r="AQ604" s="40"/>
    </row>
    <row r="605">
      <c r="A605" s="40"/>
      <c r="B605" s="42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1"/>
      <c r="AM605" s="40"/>
      <c r="AN605" s="40"/>
      <c r="AO605" s="41"/>
      <c r="AP605" s="41"/>
      <c r="AQ605" s="40"/>
    </row>
    <row r="606">
      <c r="A606" s="40"/>
      <c r="B606" s="42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1"/>
      <c r="AM606" s="40"/>
      <c r="AN606" s="40"/>
      <c r="AO606" s="41"/>
      <c r="AP606" s="41"/>
      <c r="AQ606" s="40"/>
    </row>
    <row r="607">
      <c r="A607" s="40"/>
      <c r="B607" s="42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1"/>
      <c r="AM607" s="40"/>
      <c r="AN607" s="40"/>
      <c r="AO607" s="41"/>
      <c r="AP607" s="41"/>
      <c r="AQ607" s="40"/>
    </row>
    <row r="608">
      <c r="A608" s="40"/>
      <c r="B608" s="42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1"/>
      <c r="AM608" s="40"/>
      <c r="AN608" s="40"/>
      <c r="AO608" s="41"/>
      <c r="AP608" s="41"/>
      <c r="AQ608" s="40"/>
    </row>
    <row r="609">
      <c r="A609" s="40"/>
      <c r="B609" s="42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1"/>
      <c r="AM609" s="40"/>
      <c r="AN609" s="40"/>
      <c r="AO609" s="41"/>
      <c r="AP609" s="41"/>
      <c r="AQ609" s="40"/>
    </row>
    <row r="610">
      <c r="A610" s="40"/>
      <c r="B610" s="42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1"/>
      <c r="AM610" s="40"/>
      <c r="AN610" s="40"/>
      <c r="AO610" s="41"/>
      <c r="AP610" s="41"/>
      <c r="AQ610" s="40"/>
    </row>
    <row r="611">
      <c r="A611" s="40"/>
      <c r="B611" s="42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1"/>
      <c r="AM611" s="40"/>
      <c r="AN611" s="40"/>
      <c r="AO611" s="41"/>
      <c r="AP611" s="41"/>
      <c r="AQ611" s="40"/>
    </row>
    <row r="612">
      <c r="A612" s="40"/>
      <c r="B612" s="42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1"/>
      <c r="AM612" s="40"/>
      <c r="AN612" s="40"/>
      <c r="AO612" s="41"/>
      <c r="AP612" s="41"/>
      <c r="AQ612" s="40"/>
    </row>
    <row r="613">
      <c r="A613" s="40"/>
      <c r="B613" s="42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1"/>
      <c r="AM613" s="40"/>
      <c r="AN613" s="40"/>
      <c r="AO613" s="41"/>
      <c r="AP613" s="41"/>
      <c r="AQ613" s="40"/>
    </row>
    <row r="614">
      <c r="A614" s="40"/>
      <c r="B614" s="42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1"/>
      <c r="AM614" s="40"/>
      <c r="AN614" s="40"/>
      <c r="AO614" s="41"/>
      <c r="AP614" s="41"/>
      <c r="AQ614" s="40"/>
    </row>
    <row r="615">
      <c r="A615" s="40"/>
      <c r="B615" s="42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1"/>
      <c r="AM615" s="40"/>
      <c r="AN615" s="40"/>
      <c r="AO615" s="41"/>
      <c r="AP615" s="41"/>
      <c r="AQ615" s="40"/>
    </row>
    <row r="616">
      <c r="A616" s="40"/>
      <c r="B616" s="42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1"/>
      <c r="AM616" s="40"/>
      <c r="AN616" s="40"/>
      <c r="AO616" s="41"/>
      <c r="AP616" s="41"/>
      <c r="AQ616" s="40"/>
    </row>
    <row r="617">
      <c r="A617" s="40"/>
      <c r="B617" s="42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1"/>
      <c r="AM617" s="40"/>
      <c r="AN617" s="40"/>
      <c r="AO617" s="41"/>
      <c r="AP617" s="41"/>
      <c r="AQ617" s="40"/>
    </row>
    <row r="618">
      <c r="A618" s="40"/>
      <c r="B618" s="42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1"/>
      <c r="AM618" s="40"/>
      <c r="AN618" s="40"/>
      <c r="AO618" s="41"/>
      <c r="AP618" s="41"/>
      <c r="AQ618" s="40"/>
    </row>
    <row r="619">
      <c r="A619" s="40"/>
      <c r="B619" s="42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1"/>
      <c r="AM619" s="40"/>
      <c r="AN619" s="40"/>
      <c r="AO619" s="41"/>
      <c r="AP619" s="41"/>
      <c r="AQ619" s="40"/>
    </row>
    <row r="620">
      <c r="A620" s="40"/>
      <c r="B620" s="42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1"/>
      <c r="AM620" s="40"/>
      <c r="AN620" s="40"/>
      <c r="AO620" s="41"/>
      <c r="AP620" s="41"/>
      <c r="AQ620" s="40"/>
    </row>
    <row r="621">
      <c r="A621" s="40"/>
      <c r="B621" s="42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1"/>
      <c r="AM621" s="40"/>
      <c r="AN621" s="40"/>
      <c r="AO621" s="41"/>
      <c r="AP621" s="41"/>
      <c r="AQ621" s="40"/>
    </row>
    <row r="622">
      <c r="A622" s="40"/>
      <c r="B622" s="42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1"/>
      <c r="AM622" s="40"/>
      <c r="AN622" s="40"/>
      <c r="AO622" s="41"/>
      <c r="AP622" s="41"/>
      <c r="AQ622" s="40"/>
    </row>
    <row r="623">
      <c r="A623" s="40"/>
      <c r="B623" s="42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1"/>
      <c r="AM623" s="40"/>
      <c r="AN623" s="40"/>
      <c r="AO623" s="41"/>
      <c r="AP623" s="41"/>
      <c r="AQ623" s="40"/>
    </row>
    <row r="624">
      <c r="A624" s="40"/>
      <c r="B624" s="42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1"/>
      <c r="AM624" s="40"/>
      <c r="AN624" s="40"/>
      <c r="AO624" s="41"/>
      <c r="AP624" s="41"/>
      <c r="AQ624" s="40"/>
    </row>
    <row r="625">
      <c r="A625" s="40"/>
      <c r="B625" s="42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1"/>
      <c r="AM625" s="40"/>
      <c r="AN625" s="40"/>
      <c r="AO625" s="41"/>
      <c r="AP625" s="41"/>
      <c r="AQ625" s="40"/>
    </row>
    <row r="626">
      <c r="A626" s="40"/>
      <c r="B626" s="42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1"/>
      <c r="AM626" s="40"/>
      <c r="AN626" s="40"/>
      <c r="AO626" s="41"/>
      <c r="AP626" s="41"/>
      <c r="AQ626" s="40"/>
    </row>
    <row r="627">
      <c r="A627" s="40"/>
      <c r="B627" s="42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1"/>
      <c r="AM627" s="40"/>
      <c r="AN627" s="40"/>
      <c r="AO627" s="41"/>
      <c r="AP627" s="41"/>
      <c r="AQ627" s="40"/>
    </row>
    <row r="628">
      <c r="A628" s="40"/>
      <c r="B628" s="42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1"/>
      <c r="AM628" s="40"/>
      <c r="AN628" s="40"/>
      <c r="AO628" s="41"/>
      <c r="AP628" s="41"/>
      <c r="AQ628" s="40"/>
    </row>
    <row r="629">
      <c r="A629" s="40"/>
      <c r="B629" s="42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1"/>
      <c r="AM629" s="40"/>
      <c r="AN629" s="40"/>
      <c r="AO629" s="41"/>
      <c r="AP629" s="41"/>
      <c r="AQ629" s="40"/>
    </row>
    <row r="630">
      <c r="A630" s="40"/>
      <c r="B630" s="42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1"/>
      <c r="AM630" s="40"/>
      <c r="AN630" s="40"/>
      <c r="AO630" s="41"/>
      <c r="AP630" s="41"/>
      <c r="AQ630" s="40"/>
    </row>
    <row r="631">
      <c r="A631" s="40"/>
      <c r="B631" s="42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1"/>
      <c r="AM631" s="40"/>
      <c r="AN631" s="40"/>
      <c r="AO631" s="41"/>
      <c r="AP631" s="41"/>
      <c r="AQ631" s="40"/>
    </row>
    <row r="632">
      <c r="A632" s="40"/>
      <c r="B632" s="42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1"/>
      <c r="AM632" s="40"/>
      <c r="AN632" s="40"/>
      <c r="AO632" s="41"/>
      <c r="AP632" s="41"/>
      <c r="AQ632" s="40"/>
    </row>
    <row r="633">
      <c r="A633" s="40"/>
      <c r="B633" s="42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1"/>
      <c r="AM633" s="40"/>
      <c r="AN633" s="40"/>
      <c r="AO633" s="41"/>
      <c r="AP633" s="41"/>
      <c r="AQ633" s="40"/>
    </row>
    <row r="634">
      <c r="A634" s="40"/>
      <c r="B634" s="42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1"/>
      <c r="AM634" s="40"/>
      <c r="AN634" s="40"/>
      <c r="AO634" s="41"/>
      <c r="AP634" s="41"/>
      <c r="AQ634" s="40"/>
    </row>
    <row r="635">
      <c r="A635" s="40"/>
      <c r="B635" s="42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1"/>
      <c r="AM635" s="40"/>
      <c r="AN635" s="40"/>
      <c r="AO635" s="41"/>
      <c r="AP635" s="41"/>
      <c r="AQ635" s="40"/>
    </row>
    <row r="636">
      <c r="A636" s="40"/>
      <c r="B636" s="42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1"/>
      <c r="AM636" s="40"/>
      <c r="AN636" s="40"/>
      <c r="AO636" s="41"/>
      <c r="AP636" s="41"/>
      <c r="AQ636" s="40"/>
    </row>
    <row r="637">
      <c r="A637" s="40"/>
      <c r="B637" s="42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1"/>
      <c r="AM637" s="40"/>
      <c r="AN637" s="40"/>
      <c r="AO637" s="41"/>
      <c r="AP637" s="41"/>
      <c r="AQ637" s="40"/>
    </row>
    <row r="638">
      <c r="A638" s="40"/>
      <c r="B638" s="42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1"/>
      <c r="AM638" s="40"/>
      <c r="AN638" s="40"/>
      <c r="AO638" s="41"/>
      <c r="AP638" s="41"/>
      <c r="AQ638" s="40"/>
    </row>
    <row r="639">
      <c r="A639" s="40"/>
      <c r="B639" s="42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1"/>
      <c r="AM639" s="40"/>
      <c r="AN639" s="40"/>
      <c r="AO639" s="41"/>
      <c r="AP639" s="41"/>
      <c r="AQ639" s="40"/>
    </row>
    <row r="640">
      <c r="A640" s="40"/>
      <c r="B640" s="42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1"/>
      <c r="AM640" s="40"/>
      <c r="AN640" s="40"/>
      <c r="AO640" s="41"/>
      <c r="AP640" s="41"/>
      <c r="AQ640" s="40"/>
    </row>
    <row r="641">
      <c r="A641" s="40"/>
      <c r="B641" s="42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1"/>
      <c r="AM641" s="40"/>
      <c r="AN641" s="40"/>
      <c r="AO641" s="41"/>
      <c r="AP641" s="41"/>
      <c r="AQ641" s="40"/>
    </row>
    <row r="642">
      <c r="A642" s="40"/>
      <c r="B642" s="42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1"/>
      <c r="AM642" s="40"/>
      <c r="AN642" s="40"/>
      <c r="AO642" s="41"/>
      <c r="AP642" s="41"/>
      <c r="AQ642" s="40"/>
    </row>
    <row r="643">
      <c r="A643" s="40"/>
      <c r="B643" s="42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1"/>
      <c r="AM643" s="40"/>
      <c r="AN643" s="40"/>
      <c r="AO643" s="41"/>
      <c r="AP643" s="41"/>
      <c r="AQ643" s="40"/>
    </row>
    <row r="644">
      <c r="A644" s="40"/>
      <c r="B644" s="42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1"/>
      <c r="AM644" s="40"/>
      <c r="AN644" s="40"/>
      <c r="AO644" s="41"/>
      <c r="AP644" s="41"/>
      <c r="AQ644" s="40"/>
    </row>
    <row r="645">
      <c r="A645" s="40"/>
      <c r="B645" s="42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1"/>
      <c r="AM645" s="40"/>
      <c r="AN645" s="40"/>
      <c r="AO645" s="41"/>
      <c r="AP645" s="41"/>
      <c r="AQ645" s="40"/>
    </row>
    <row r="646">
      <c r="A646" s="40"/>
      <c r="B646" s="42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1"/>
      <c r="AM646" s="40"/>
      <c r="AN646" s="40"/>
      <c r="AO646" s="41"/>
      <c r="AP646" s="41"/>
      <c r="AQ646" s="40"/>
    </row>
    <row r="647">
      <c r="A647" s="40"/>
      <c r="B647" s="42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1"/>
      <c r="AM647" s="40"/>
      <c r="AN647" s="40"/>
      <c r="AO647" s="41"/>
      <c r="AP647" s="41"/>
      <c r="AQ647" s="40"/>
    </row>
    <row r="648">
      <c r="A648" s="40"/>
      <c r="B648" s="42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1"/>
      <c r="AM648" s="40"/>
      <c r="AN648" s="40"/>
      <c r="AO648" s="41"/>
      <c r="AP648" s="41"/>
      <c r="AQ648" s="40"/>
    </row>
    <row r="649">
      <c r="A649" s="40"/>
      <c r="B649" s="42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1"/>
      <c r="AM649" s="40"/>
      <c r="AN649" s="40"/>
      <c r="AO649" s="41"/>
      <c r="AP649" s="41"/>
      <c r="AQ649" s="40"/>
    </row>
    <row r="650">
      <c r="A650" s="40"/>
      <c r="B650" s="42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1"/>
      <c r="AM650" s="40"/>
      <c r="AN650" s="40"/>
      <c r="AO650" s="41"/>
      <c r="AP650" s="41"/>
      <c r="AQ650" s="40"/>
    </row>
    <row r="651">
      <c r="A651" s="40"/>
      <c r="B651" s="42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1"/>
      <c r="AM651" s="40"/>
      <c r="AN651" s="40"/>
      <c r="AO651" s="41"/>
      <c r="AP651" s="41"/>
      <c r="AQ651" s="40"/>
    </row>
    <row r="652">
      <c r="A652" s="40"/>
      <c r="B652" s="42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1"/>
      <c r="AM652" s="40"/>
      <c r="AN652" s="40"/>
      <c r="AO652" s="41"/>
      <c r="AP652" s="41"/>
      <c r="AQ652" s="40"/>
    </row>
    <row r="653">
      <c r="A653" s="40"/>
      <c r="B653" s="42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1"/>
      <c r="AM653" s="40"/>
      <c r="AN653" s="40"/>
      <c r="AO653" s="41"/>
      <c r="AP653" s="41"/>
      <c r="AQ653" s="40"/>
    </row>
    <row r="654">
      <c r="A654" s="40"/>
      <c r="B654" s="42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1"/>
      <c r="AM654" s="40"/>
      <c r="AN654" s="40"/>
      <c r="AO654" s="41"/>
      <c r="AP654" s="41"/>
      <c r="AQ654" s="40"/>
    </row>
    <row r="655">
      <c r="A655" s="40"/>
      <c r="B655" s="42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1"/>
      <c r="AM655" s="40"/>
      <c r="AN655" s="40"/>
      <c r="AO655" s="41"/>
      <c r="AP655" s="41"/>
      <c r="AQ655" s="40"/>
    </row>
    <row r="656">
      <c r="A656" s="40"/>
      <c r="B656" s="42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1"/>
      <c r="AM656" s="40"/>
      <c r="AN656" s="40"/>
      <c r="AO656" s="41"/>
      <c r="AP656" s="41"/>
      <c r="AQ656" s="40"/>
    </row>
    <row r="657">
      <c r="A657" s="40"/>
      <c r="B657" s="42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1"/>
      <c r="AM657" s="40"/>
      <c r="AN657" s="40"/>
      <c r="AO657" s="41"/>
      <c r="AP657" s="41"/>
      <c r="AQ657" s="40"/>
    </row>
    <row r="658">
      <c r="A658" s="40"/>
      <c r="B658" s="42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1"/>
      <c r="AM658" s="40"/>
      <c r="AN658" s="40"/>
      <c r="AO658" s="41"/>
      <c r="AP658" s="41"/>
      <c r="AQ658" s="40"/>
    </row>
    <row r="659">
      <c r="A659" s="40"/>
      <c r="B659" s="42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1"/>
      <c r="AM659" s="40"/>
      <c r="AN659" s="40"/>
      <c r="AO659" s="41"/>
      <c r="AP659" s="41"/>
      <c r="AQ659" s="40"/>
    </row>
    <row r="660">
      <c r="A660" s="40"/>
      <c r="B660" s="42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1"/>
      <c r="AM660" s="40"/>
      <c r="AN660" s="40"/>
      <c r="AO660" s="41"/>
      <c r="AP660" s="41"/>
      <c r="AQ660" s="40"/>
    </row>
    <row r="661">
      <c r="A661" s="40"/>
      <c r="B661" s="42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1"/>
      <c r="AM661" s="40"/>
      <c r="AN661" s="40"/>
      <c r="AO661" s="41"/>
      <c r="AP661" s="41"/>
      <c r="AQ661" s="40"/>
    </row>
    <row r="662">
      <c r="A662" s="40"/>
      <c r="B662" s="42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1"/>
      <c r="AM662" s="40"/>
      <c r="AN662" s="40"/>
      <c r="AO662" s="41"/>
      <c r="AP662" s="41"/>
      <c r="AQ662" s="40"/>
    </row>
    <row r="663">
      <c r="A663" s="40"/>
      <c r="B663" s="42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1"/>
      <c r="AM663" s="40"/>
      <c r="AN663" s="40"/>
      <c r="AO663" s="41"/>
      <c r="AP663" s="41"/>
      <c r="AQ663" s="40"/>
    </row>
    <row r="664">
      <c r="A664" s="40"/>
      <c r="B664" s="42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1"/>
      <c r="AM664" s="40"/>
      <c r="AN664" s="40"/>
      <c r="AO664" s="41"/>
      <c r="AP664" s="41"/>
      <c r="AQ664" s="40"/>
    </row>
    <row r="665">
      <c r="A665" s="40"/>
      <c r="B665" s="42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1"/>
      <c r="AM665" s="40"/>
      <c r="AN665" s="40"/>
      <c r="AO665" s="41"/>
      <c r="AP665" s="41"/>
      <c r="AQ665" s="40"/>
    </row>
    <row r="666">
      <c r="A666" s="40"/>
      <c r="B666" s="42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1"/>
      <c r="AM666" s="40"/>
      <c r="AN666" s="40"/>
      <c r="AO666" s="41"/>
      <c r="AP666" s="41"/>
      <c r="AQ666" s="40"/>
    </row>
    <row r="667">
      <c r="A667" s="40"/>
      <c r="B667" s="42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1"/>
      <c r="AM667" s="40"/>
      <c r="AN667" s="40"/>
      <c r="AO667" s="41"/>
      <c r="AP667" s="41"/>
      <c r="AQ667" s="40"/>
    </row>
    <row r="668">
      <c r="A668" s="40"/>
      <c r="B668" s="42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1"/>
      <c r="AM668" s="40"/>
      <c r="AN668" s="40"/>
      <c r="AO668" s="41"/>
      <c r="AP668" s="41"/>
      <c r="AQ668" s="40"/>
    </row>
    <row r="669">
      <c r="A669" s="40"/>
      <c r="B669" s="42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1"/>
      <c r="AM669" s="40"/>
      <c r="AN669" s="40"/>
      <c r="AO669" s="41"/>
      <c r="AP669" s="41"/>
      <c r="AQ669" s="40"/>
    </row>
    <row r="670">
      <c r="A670" s="40"/>
      <c r="B670" s="42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1"/>
      <c r="AM670" s="40"/>
      <c r="AN670" s="40"/>
      <c r="AO670" s="41"/>
      <c r="AP670" s="41"/>
      <c r="AQ670" s="40"/>
    </row>
    <row r="671">
      <c r="A671" s="40"/>
      <c r="B671" s="42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1"/>
      <c r="AM671" s="40"/>
      <c r="AN671" s="40"/>
      <c r="AO671" s="41"/>
      <c r="AP671" s="41"/>
      <c r="AQ671" s="40"/>
    </row>
    <row r="672">
      <c r="A672" s="40"/>
      <c r="B672" s="42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1"/>
      <c r="AM672" s="40"/>
      <c r="AN672" s="40"/>
      <c r="AO672" s="41"/>
      <c r="AP672" s="41"/>
      <c r="AQ672" s="40"/>
    </row>
    <row r="673">
      <c r="A673" s="40"/>
      <c r="B673" s="42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1"/>
      <c r="AM673" s="40"/>
      <c r="AN673" s="40"/>
      <c r="AO673" s="41"/>
      <c r="AP673" s="41"/>
      <c r="AQ673" s="40"/>
    </row>
    <row r="674">
      <c r="A674" s="40"/>
      <c r="B674" s="42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1"/>
      <c r="AM674" s="40"/>
      <c r="AN674" s="40"/>
      <c r="AO674" s="41"/>
      <c r="AP674" s="41"/>
      <c r="AQ674" s="40"/>
    </row>
    <row r="675">
      <c r="A675" s="40"/>
      <c r="B675" s="42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1"/>
      <c r="AM675" s="40"/>
      <c r="AN675" s="40"/>
      <c r="AO675" s="41"/>
      <c r="AP675" s="41"/>
      <c r="AQ675" s="40"/>
    </row>
    <row r="676">
      <c r="A676" s="40"/>
      <c r="B676" s="42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1"/>
      <c r="AM676" s="40"/>
      <c r="AN676" s="40"/>
      <c r="AO676" s="41"/>
      <c r="AP676" s="41"/>
      <c r="AQ676" s="40"/>
    </row>
    <row r="677">
      <c r="A677" s="40"/>
      <c r="B677" s="42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1"/>
      <c r="AM677" s="40"/>
      <c r="AN677" s="40"/>
      <c r="AO677" s="41"/>
      <c r="AP677" s="41"/>
      <c r="AQ677" s="40"/>
    </row>
    <row r="678">
      <c r="A678" s="40"/>
      <c r="B678" s="42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1"/>
      <c r="AM678" s="40"/>
      <c r="AN678" s="40"/>
      <c r="AO678" s="41"/>
      <c r="AP678" s="41"/>
      <c r="AQ678" s="40"/>
    </row>
    <row r="679">
      <c r="A679" s="40"/>
      <c r="B679" s="42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1"/>
      <c r="AM679" s="40"/>
      <c r="AN679" s="40"/>
      <c r="AO679" s="41"/>
      <c r="AP679" s="41"/>
      <c r="AQ679" s="40"/>
    </row>
    <row r="680">
      <c r="A680" s="40"/>
      <c r="B680" s="42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1"/>
      <c r="AM680" s="40"/>
      <c r="AN680" s="40"/>
      <c r="AO680" s="41"/>
      <c r="AP680" s="41"/>
      <c r="AQ680" s="40"/>
    </row>
    <row r="681">
      <c r="A681" s="40"/>
      <c r="B681" s="42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1"/>
      <c r="AM681" s="40"/>
      <c r="AN681" s="40"/>
      <c r="AO681" s="41"/>
      <c r="AP681" s="41"/>
      <c r="AQ681" s="40"/>
    </row>
    <row r="682">
      <c r="A682" s="40"/>
      <c r="B682" s="42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1"/>
      <c r="AM682" s="40"/>
      <c r="AN682" s="40"/>
      <c r="AO682" s="41"/>
      <c r="AP682" s="41"/>
      <c r="AQ682" s="40"/>
    </row>
    <row r="683">
      <c r="A683" s="40"/>
      <c r="B683" s="42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1"/>
      <c r="AM683" s="40"/>
      <c r="AN683" s="40"/>
      <c r="AO683" s="41"/>
      <c r="AP683" s="41"/>
      <c r="AQ683" s="40"/>
    </row>
    <row r="684">
      <c r="A684" s="40"/>
      <c r="B684" s="42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1"/>
      <c r="AM684" s="40"/>
      <c r="AN684" s="40"/>
      <c r="AO684" s="41"/>
      <c r="AP684" s="41"/>
      <c r="AQ684" s="40"/>
    </row>
    <row r="685">
      <c r="A685" s="40"/>
      <c r="B685" s="42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1"/>
      <c r="AM685" s="40"/>
      <c r="AN685" s="40"/>
      <c r="AO685" s="41"/>
      <c r="AP685" s="41"/>
      <c r="AQ685" s="40"/>
    </row>
    <row r="686">
      <c r="A686" s="40"/>
      <c r="B686" s="42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1"/>
      <c r="AM686" s="40"/>
      <c r="AN686" s="40"/>
      <c r="AO686" s="41"/>
      <c r="AP686" s="41"/>
      <c r="AQ686" s="40"/>
    </row>
    <row r="687">
      <c r="A687" s="40"/>
      <c r="B687" s="42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1"/>
      <c r="AM687" s="40"/>
      <c r="AN687" s="40"/>
      <c r="AO687" s="41"/>
      <c r="AP687" s="41"/>
      <c r="AQ687" s="40"/>
    </row>
    <row r="688">
      <c r="A688" s="40"/>
      <c r="B688" s="42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1"/>
      <c r="AM688" s="40"/>
      <c r="AN688" s="40"/>
      <c r="AO688" s="41"/>
      <c r="AP688" s="41"/>
      <c r="AQ688" s="40"/>
    </row>
    <row r="689">
      <c r="A689" s="40"/>
      <c r="B689" s="42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1"/>
      <c r="AM689" s="40"/>
      <c r="AN689" s="40"/>
      <c r="AO689" s="41"/>
      <c r="AP689" s="41"/>
      <c r="AQ689" s="40"/>
    </row>
    <row r="690">
      <c r="A690" s="40"/>
      <c r="B690" s="42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1"/>
      <c r="AM690" s="40"/>
      <c r="AN690" s="40"/>
      <c r="AO690" s="41"/>
      <c r="AP690" s="41"/>
      <c r="AQ690" s="40"/>
    </row>
    <row r="691">
      <c r="A691" s="40"/>
      <c r="B691" s="42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1"/>
      <c r="AM691" s="40"/>
      <c r="AN691" s="40"/>
      <c r="AO691" s="41"/>
      <c r="AP691" s="41"/>
      <c r="AQ691" s="40"/>
    </row>
    <row r="692">
      <c r="A692" s="40"/>
      <c r="B692" s="42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1"/>
      <c r="AM692" s="40"/>
      <c r="AN692" s="40"/>
      <c r="AO692" s="41"/>
      <c r="AP692" s="41"/>
      <c r="AQ692" s="40"/>
    </row>
    <row r="693">
      <c r="A693" s="40"/>
      <c r="B693" s="42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1"/>
      <c r="AM693" s="40"/>
      <c r="AN693" s="40"/>
      <c r="AO693" s="41"/>
      <c r="AP693" s="41"/>
      <c r="AQ693" s="40"/>
    </row>
    <row r="694">
      <c r="A694" s="40"/>
      <c r="B694" s="42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1"/>
      <c r="AM694" s="40"/>
      <c r="AN694" s="40"/>
      <c r="AO694" s="41"/>
      <c r="AP694" s="41"/>
      <c r="AQ694" s="40"/>
    </row>
    <row r="695">
      <c r="A695" s="40"/>
      <c r="B695" s="42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1"/>
      <c r="AM695" s="40"/>
      <c r="AN695" s="40"/>
      <c r="AO695" s="41"/>
      <c r="AP695" s="41"/>
      <c r="AQ695" s="40"/>
    </row>
    <row r="696">
      <c r="A696" s="40"/>
      <c r="B696" s="42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1"/>
      <c r="AM696" s="40"/>
      <c r="AN696" s="40"/>
      <c r="AO696" s="41"/>
      <c r="AP696" s="41"/>
      <c r="AQ696" s="40"/>
    </row>
    <row r="697">
      <c r="A697" s="40"/>
      <c r="B697" s="42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1"/>
      <c r="AM697" s="40"/>
      <c r="AN697" s="40"/>
      <c r="AO697" s="41"/>
      <c r="AP697" s="41"/>
      <c r="AQ697" s="40"/>
    </row>
    <row r="698">
      <c r="A698" s="40"/>
      <c r="B698" s="42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1"/>
      <c r="AM698" s="40"/>
      <c r="AN698" s="40"/>
      <c r="AO698" s="41"/>
      <c r="AP698" s="41"/>
      <c r="AQ698" s="40"/>
    </row>
    <row r="699">
      <c r="A699" s="40"/>
      <c r="B699" s="42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1"/>
      <c r="AM699" s="40"/>
      <c r="AN699" s="40"/>
      <c r="AO699" s="41"/>
      <c r="AP699" s="41"/>
      <c r="AQ699" s="40"/>
    </row>
    <row r="700">
      <c r="A700" s="40"/>
      <c r="B700" s="42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1"/>
      <c r="AM700" s="40"/>
      <c r="AN700" s="40"/>
      <c r="AO700" s="41"/>
      <c r="AP700" s="41"/>
      <c r="AQ700" s="40"/>
    </row>
    <row r="701">
      <c r="A701" s="40"/>
      <c r="B701" s="42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1"/>
      <c r="AM701" s="40"/>
      <c r="AN701" s="40"/>
      <c r="AO701" s="41"/>
      <c r="AP701" s="41"/>
      <c r="AQ701" s="40"/>
    </row>
    <row r="702">
      <c r="A702" s="40"/>
      <c r="B702" s="42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1"/>
      <c r="AM702" s="40"/>
      <c r="AN702" s="40"/>
      <c r="AO702" s="41"/>
      <c r="AP702" s="41"/>
      <c r="AQ702" s="40"/>
    </row>
    <row r="703">
      <c r="A703" s="40"/>
      <c r="B703" s="42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1"/>
      <c r="AM703" s="40"/>
      <c r="AN703" s="40"/>
      <c r="AO703" s="41"/>
      <c r="AP703" s="41"/>
      <c r="AQ703" s="40"/>
    </row>
    <row r="704">
      <c r="A704" s="40"/>
      <c r="B704" s="42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1"/>
      <c r="AM704" s="40"/>
      <c r="AN704" s="40"/>
      <c r="AO704" s="41"/>
      <c r="AP704" s="41"/>
      <c r="AQ704" s="40"/>
    </row>
    <row r="705">
      <c r="A705" s="40"/>
      <c r="B705" s="42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1"/>
      <c r="AM705" s="40"/>
      <c r="AN705" s="40"/>
      <c r="AO705" s="41"/>
      <c r="AP705" s="41"/>
      <c r="AQ705" s="40"/>
    </row>
    <row r="706">
      <c r="A706" s="40"/>
      <c r="B706" s="42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1"/>
      <c r="AM706" s="40"/>
      <c r="AN706" s="40"/>
      <c r="AO706" s="41"/>
      <c r="AP706" s="41"/>
      <c r="AQ706" s="40"/>
    </row>
    <row r="707">
      <c r="A707" s="40"/>
      <c r="B707" s="42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1"/>
      <c r="AM707" s="40"/>
      <c r="AN707" s="40"/>
      <c r="AO707" s="41"/>
      <c r="AP707" s="41"/>
      <c r="AQ707" s="40"/>
    </row>
    <row r="708">
      <c r="A708" s="40"/>
      <c r="B708" s="42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1"/>
      <c r="AM708" s="40"/>
      <c r="AN708" s="40"/>
      <c r="AO708" s="41"/>
      <c r="AP708" s="41"/>
      <c r="AQ708" s="40"/>
    </row>
    <row r="709">
      <c r="A709" s="40"/>
      <c r="B709" s="42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1"/>
      <c r="AM709" s="40"/>
      <c r="AN709" s="40"/>
      <c r="AO709" s="41"/>
      <c r="AP709" s="41"/>
      <c r="AQ709" s="40"/>
    </row>
    <row r="710">
      <c r="A710" s="40"/>
      <c r="B710" s="42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1"/>
      <c r="AM710" s="40"/>
      <c r="AN710" s="40"/>
      <c r="AO710" s="41"/>
      <c r="AP710" s="41"/>
      <c r="AQ710" s="40"/>
    </row>
    <row r="711">
      <c r="A711" s="40"/>
      <c r="B711" s="42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1"/>
      <c r="AM711" s="40"/>
      <c r="AN711" s="40"/>
      <c r="AO711" s="41"/>
      <c r="AP711" s="41"/>
      <c r="AQ711" s="40"/>
    </row>
    <row r="712">
      <c r="A712" s="40"/>
      <c r="B712" s="42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1"/>
      <c r="AM712" s="40"/>
      <c r="AN712" s="40"/>
      <c r="AO712" s="41"/>
      <c r="AP712" s="41"/>
      <c r="AQ712" s="40"/>
    </row>
    <row r="713">
      <c r="A713" s="40"/>
      <c r="B713" s="42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1"/>
      <c r="AM713" s="40"/>
      <c r="AN713" s="40"/>
      <c r="AO713" s="41"/>
      <c r="AP713" s="41"/>
      <c r="AQ713" s="40"/>
    </row>
    <row r="714">
      <c r="A714" s="40"/>
      <c r="B714" s="42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1"/>
      <c r="AM714" s="40"/>
      <c r="AN714" s="40"/>
      <c r="AO714" s="41"/>
      <c r="AP714" s="41"/>
      <c r="AQ714" s="40"/>
    </row>
    <row r="715">
      <c r="A715" s="40"/>
      <c r="B715" s="42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1"/>
      <c r="AM715" s="40"/>
      <c r="AN715" s="40"/>
      <c r="AO715" s="41"/>
      <c r="AP715" s="41"/>
      <c r="AQ715" s="40"/>
    </row>
    <row r="716">
      <c r="A716" s="40"/>
      <c r="B716" s="42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1"/>
      <c r="AM716" s="40"/>
      <c r="AN716" s="40"/>
      <c r="AO716" s="41"/>
      <c r="AP716" s="41"/>
      <c r="AQ716" s="40"/>
    </row>
    <row r="717">
      <c r="A717" s="40"/>
      <c r="B717" s="42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1"/>
      <c r="AM717" s="40"/>
      <c r="AN717" s="40"/>
      <c r="AO717" s="41"/>
      <c r="AP717" s="41"/>
      <c r="AQ717" s="40"/>
    </row>
    <row r="718">
      <c r="A718" s="40"/>
      <c r="B718" s="42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1"/>
      <c r="AM718" s="40"/>
      <c r="AN718" s="40"/>
      <c r="AO718" s="41"/>
      <c r="AP718" s="41"/>
      <c r="AQ718" s="40"/>
    </row>
    <row r="719">
      <c r="A719" s="40"/>
      <c r="B719" s="42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1"/>
      <c r="AM719" s="40"/>
      <c r="AN719" s="40"/>
      <c r="AO719" s="41"/>
      <c r="AP719" s="41"/>
      <c r="AQ719" s="40"/>
    </row>
    <row r="720">
      <c r="A720" s="40"/>
      <c r="B720" s="42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1"/>
      <c r="AM720" s="40"/>
      <c r="AN720" s="40"/>
      <c r="AO720" s="41"/>
      <c r="AP720" s="41"/>
      <c r="AQ720" s="40"/>
    </row>
    <row r="721">
      <c r="A721" s="40"/>
      <c r="B721" s="42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1"/>
      <c r="AM721" s="40"/>
      <c r="AN721" s="40"/>
      <c r="AO721" s="41"/>
      <c r="AP721" s="41"/>
      <c r="AQ721" s="40"/>
    </row>
    <row r="722">
      <c r="A722" s="40"/>
      <c r="B722" s="42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1"/>
      <c r="AM722" s="40"/>
      <c r="AN722" s="40"/>
      <c r="AO722" s="41"/>
      <c r="AP722" s="41"/>
      <c r="AQ722" s="40"/>
    </row>
    <row r="723">
      <c r="A723" s="40"/>
      <c r="B723" s="42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1"/>
      <c r="AM723" s="40"/>
      <c r="AN723" s="40"/>
      <c r="AO723" s="41"/>
      <c r="AP723" s="41"/>
      <c r="AQ723" s="40"/>
    </row>
    <row r="724">
      <c r="A724" s="40"/>
      <c r="B724" s="42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1"/>
      <c r="AM724" s="40"/>
      <c r="AN724" s="40"/>
      <c r="AO724" s="41"/>
      <c r="AP724" s="41"/>
      <c r="AQ724" s="40"/>
    </row>
    <row r="725">
      <c r="A725" s="40"/>
      <c r="B725" s="42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1"/>
      <c r="AM725" s="40"/>
      <c r="AN725" s="40"/>
      <c r="AO725" s="41"/>
      <c r="AP725" s="41"/>
      <c r="AQ725" s="40"/>
    </row>
    <row r="726">
      <c r="A726" s="40"/>
      <c r="B726" s="42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1"/>
      <c r="AM726" s="40"/>
      <c r="AN726" s="40"/>
      <c r="AO726" s="41"/>
      <c r="AP726" s="41"/>
      <c r="AQ726" s="40"/>
    </row>
    <row r="727">
      <c r="A727" s="40"/>
      <c r="B727" s="42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1"/>
      <c r="AM727" s="40"/>
      <c r="AN727" s="40"/>
      <c r="AO727" s="41"/>
      <c r="AP727" s="41"/>
      <c r="AQ727" s="40"/>
    </row>
    <row r="728">
      <c r="A728" s="40"/>
      <c r="B728" s="42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1"/>
      <c r="AM728" s="40"/>
      <c r="AN728" s="40"/>
      <c r="AO728" s="41"/>
      <c r="AP728" s="41"/>
      <c r="AQ728" s="40"/>
    </row>
    <row r="729">
      <c r="A729" s="40"/>
      <c r="B729" s="42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1"/>
      <c r="AM729" s="40"/>
      <c r="AN729" s="40"/>
      <c r="AO729" s="41"/>
      <c r="AP729" s="41"/>
      <c r="AQ729" s="40"/>
    </row>
    <row r="730">
      <c r="A730" s="40"/>
      <c r="B730" s="42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1"/>
      <c r="AM730" s="40"/>
      <c r="AN730" s="40"/>
      <c r="AO730" s="41"/>
      <c r="AP730" s="41"/>
      <c r="AQ730" s="40"/>
    </row>
    <row r="731">
      <c r="A731" s="40"/>
      <c r="B731" s="42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1"/>
      <c r="AM731" s="40"/>
      <c r="AN731" s="40"/>
      <c r="AO731" s="41"/>
      <c r="AP731" s="41"/>
      <c r="AQ731" s="40"/>
    </row>
    <row r="732">
      <c r="A732" s="40"/>
      <c r="B732" s="42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1"/>
      <c r="AM732" s="40"/>
      <c r="AN732" s="40"/>
      <c r="AO732" s="41"/>
      <c r="AP732" s="41"/>
      <c r="AQ732" s="40"/>
    </row>
    <row r="733">
      <c r="A733" s="40"/>
      <c r="B733" s="42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1"/>
      <c r="AM733" s="40"/>
      <c r="AN733" s="40"/>
      <c r="AO733" s="41"/>
      <c r="AP733" s="41"/>
      <c r="AQ733" s="40"/>
    </row>
    <row r="734">
      <c r="A734" s="40"/>
      <c r="B734" s="42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1"/>
      <c r="AM734" s="40"/>
      <c r="AN734" s="40"/>
      <c r="AO734" s="41"/>
      <c r="AP734" s="41"/>
      <c r="AQ734" s="40"/>
    </row>
    <row r="735">
      <c r="A735" s="40"/>
      <c r="B735" s="42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1"/>
      <c r="AM735" s="40"/>
      <c r="AN735" s="40"/>
      <c r="AO735" s="41"/>
      <c r="AP735" s="41"/>
      <c r="AQ735" s="40"/>
    </row>
    <row r="736">
      <c r="A736" s="40"/>
      <c r="B736" s="42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1"/>
      <c r="AM736" s="40"/>
      <c r="AN736" s="40"/>
      <c r="AO736" s="41"/>
      <c r="AP736" s="41"/>
      <c r="AQ736" s="40"/>
    </row>
    <row r="737">
      <c r="A737" s="40"/>
      <c r="B737" s="42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1"/>
      <c r="AM737" s="40"/>
      <c r="AN737" s="40"/>
      <c r="AO737" s="41"/>
      <c r="AP737" s="41"/>
      <c r="AQ737" s="40"/>
    </row>
    <row r="738">
      <c r="A738" s="40"/>
      <c r="B738" s="42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1"/>
      <c r="AM738" s="40"/>
      <c r="AN738" s="40"/>
      <c r="AO738" s="41"/>
      <c r="AP738" s="41"/>
      <c r="AQ738" s="40"/>
    </row>
    <row r="739">
      <c r="A739" s="40"/>
      <c r="B739" s="42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1"/>
      <c r="AM739" s="40"/>
      <c r="AN739" s="40"/>
      <c r="AO739" s="41"/>
      <c r="AP739" s="41"/>
      <c r="AQ739" s="40"/>
    </row>
    <row r="740">
      <c r="A740" s="40"/>
      <c r="B740" s="42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1"/>
      <c r="AM740" s="40"/>
      <c r="AN740" s="40"/>
      <c r="AO740" s="41"/>
      <c r="AP740" s="41"/>
      <c r="AQ740" s="40"/>
    </row>
    <row r="741">
      <c r="A741" s="40"/>
      <c r="B741" s="42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1"/>
      <c r="AM741" s="40"/>
      <c r="AN741" s="40"/>
      <c r="AO741" s="41"/>
      <c r="AP741" s="41"/>
      <c r="AQ741" s="40"/>
    </row>
    <row r="742">
      <c r="A742" s="40"/>
      <c r="B742" s="42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1"/>
      <c r="AM742" s="40"/>
      <c r="AN742" s="40"/>
      <c r="AO742" s="41"/>
      <c r="AP742" s="41"/>
      <c r="AQ742" s="40"/>
    </row>
    <row r="743">
      <c r="A743" s="40"/>
      <c r="B743" s="42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1"/>
      <c r="AM743" s="40"/>
      <c r="AN743" s="40"/>
      <c r="AO743" s="41"/>
      <c r="AP743" s="41"/>
      <c r="AQ743" s="40"/>
    </row>
    <row r="744">
      <c r="A744" s="40"/>
      <c r="B744" s="42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1"/>
      <c r="AM744" s="40"/>
      <c r="AN744" s="40"/>
      <c r="AO744" s="41"/>
      <c r="AP744" s="41"/>
      <c r="AQ744" s="40"/>
    </row>
    <row r="745">
      <c r="A745" s="40"/>
      <c r="B745" s="42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1"/>
      <c r="AM745" s="40"/>
      <c r="AN745" s="40"/>
      <c r="AO745" s="41"/>
      <c r="AP745" s="41"/>
      <c r="AQ745" s="40"/>
    </row>
    <row r="746">
      <c r="A746" s="40"/>
      <c r="B746" s="42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1"/>
      <c r="AM746" s="40"/>
      <c r="AN746" s="40"/>
      <c r="AO746" s="41"/>
      <c r="AP746" s="41"/>
      <c r="AQ746" s="40"/>
    </row>
    <row r="747">
      <c r="A747" s="40"/>
      <c r="B747" s="42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1"/>
      <c r="AM747" s="40"/>
      <c r="AN747" s="40"/>
      <c r="AO747" s="41"/>
      <c r="AP747" s="41"/>
      <c r="AQ747" s="40"/>
    </row>
    <row r="748">
      <c r="A748" s="40"/>
      <c r="B748" s="42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1"/>
      <c r="AM748" s="40"/>
      <c r="AN748" s="40"/>
      <c r="AO748" s="41"/>
      <c r="AP748" s="41"/>
      <c r="AQ748" s="40"/>
    </row>
    <row r="749">
      <c r="A749" s="40"/>
      <c r="B749" s="42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1"/>
      <c r="AM749" s="40"/>
      <c r="AN749" s="40"/>
      <c r="AO749" s="41"/>
      <c r="AP749" s="41"/>
      <c r="AQ749" s="40"/>
    </row>
    <row r="750">
      <c r="A750" s="40"/>
      <c r="B750" s="42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1"/>
      <c r="AM750" s="40"/>
      <c r="AN750" s="40"/>
      <c r="AO750" s="41"/>
      <c r="AP750" s="41"/>
      <c r="AQ750" s="40"/>
    </row>
    <row r="751">
      <c r="A751" s="40"/>
      <c r="B751" s="42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1"/>
      <c r="AM751" s="40"/>
      <c r="AN751" s="40"/>
      <c r="AO751" s="41"/>
      <c r="AP751" s="41"/>
      <c r="AQ751" s="40"/>
    </row>
    <row r="752">
      <c r="A752" s="40"/>
      <c r="B752" s="42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1"/>
      <c r="AM752" s="40"/>
      <c r="AN752" s="40"/>
      <c r="AO752" s="41"/>
      <c r="AP752" s="41"/>
      <c r="AQ752" s="40"/>
    </row>
    <row r="753">
      <c r="A753" s="40"/>
      <c r="B753" s="42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1"/>
      <c r="AM753" s="40"/>
      <c r="AN753" s="40"/>
      <c r="AO753" s="41"/>
      <c r="AP753" s="41"/>
      <c r="AQ753" s="40"/>
    </row>
    <row r="754">
      <c r="A754" s="40"/>
      <c r="B754" s="42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1"/>
      <c r="AM754" s="40"/>
      <c r="AN754" s="40"/>
      <c r="AO754" s="41"/>
      <c r="AP754" s="41"/>
      <c r="AQ754" s="40"/>
    </row>
    <row r="755">
      <c r="A755" s="40"/>
      <c r="B755" s="42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1"/>
      <c r="AM755" s="40"/>
      <c r="AN755" s="40"/>
      <c r="AO755" s="41"/>
      <c r="AP755" s="41"/>
      <c r="AQ755" s="40"/>
    </row>
    <row r="756">
      <c r="A756" s="40"/>
      <c r="B756" s="42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1"/>
      <c r="AM756" s="40"/>
      <c r="AN756" s="40"/>
      <c r="AO756" s="41"/>
      <c r="AP756" s="41"/>
      <c r="AQ756" s="40"/>
    </row>
    <row r="757">
      <c r="A757" s="40"/>
      <c r="B757" s="42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1"/>
      <c r="AM757" s="40"/>
      <c r="AN757" s="40"/>
      <c r="AO757" s="41"/>
      <c r="AP757" s="41"/>
      <c r="AQ757" s="40"/>
    </row>
    <row r="758">
      <c r="A758" s="40"/>
      <c r="B758" s="42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1"/>
      <c r="AM758" s="40"/>
      <c r="AN758" s="40"/>
      <c r="AO758" s="41"/>
      <c r="AP758" s="41"/>
      <c r="AQ758" s="40"/>
    </row>
    <row r="759">
      <c r="A759" s="40"/>
      <c r="B759" s="42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1"/>
      <c r="AM759" s="40"/>
      <c r="AN759" s="40"/>
      <c r="AO759" s="41"/>
      <c r="AP759" s="41"/>
      <c r="AQ759" s="40"/>
    </row>
    <row r="760">
      <c r="A760" s="40"/>
      <c r="B760" s="42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1"/>
      <c r="AM760" s="40"/>
      <c r="AN760" s="40"/>
      <c r="AO760" s="41"/>
      <c r="AP760" s="41"/>
      <c r="AQ760" s="40"/>
    </row>
    <row r="761">
      <c r="A761" s="40"/>
      <c r="B761" s="42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1"/>
      <c r="AM761" s="40"/>
      <c r="AN761" s="40"/>
      <c r="AO761" s="41"/>
      <c r="AP761" s="41"/>
      <c r="AQ761" s="40"/>
    </row>
    <row r="762">
      <c r="A762" s="40"/>
      <c r="B762" s="42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1"/>
      <c r="AM762" s="40"/>
      <c r="AN762" s="40"/>
      <c r="AO762" s="41"/>
      <c r="AP762" s="41"/>
      <c r="AQ762" s="40"/>
    </row>
    <row r="763">
      <c r="A763" s="40"/>
      <c r="B763" s="42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1"/>
      <c r="AM763" s="40"/>
      <c r="AN763" s="40"/>
      <c r="AO763" s="41"/>
      <c r="AP763" s="41"/>
      <c r="AQ763" s="40"/>
    </row>
    <row r="764">
      <c r="A764" s="40"/>
      <c r="B764" s="42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1"/>
      <c r="AM764" s="40"/>
      <c r="AN764" s="40"/>
      <c r="AO764" s="41"/>
      <c r="AP764" s="41"/>
      <c r="AQ764" s="40"/>
    </row>
    <row r="765">
      <c r="A765" s="40"/>
      <c r="B765" s="42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1"/>
      <c r="AM765" s="40"/>
      <c r="AN765" s="40"/>
      <c r="AO765" s="41"/>
      <c r="AP765" s="41"/>
      <c r="AQ765" s="40"/>
    </row>
    <row r="766">
      <c r="A766" s="40"/>
      <c r="B766" s="42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1"/>
      <c r="AM766" s="40"/>
      <c r="AN766" s="40"/>
      <c r="AO766" s="41"/>
      <c r="AP766" s="41"/>
      <c r="AQ766" s="40"/>
    </row>
    <row r="767">
      <c r="A767" s="40"/>
      <c r="B767" s="42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1"/>
      <c r="AM767" s="40"/>
      <c r="AN767" s="40"/>
      <c r="AO767" s="41"/>
      <c r="AP767" s="41"/>
      <c r="AQ767" s="40"/>
    </row>
    <row r="768">
      <c r="A768" s="40"/>
      <c r="B768" s="42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1"/>
      <c r="AM768" s="40"/>
      <c r="AN768" s="40"/>
      <c r="AO768" s="41"/>
      <c r="AP768" s="41"/>
      <c r="AQ768" s="40"/>
    </row>
    <row r="769">
      <c r="A769" s="40"/>
      <c r="B769" s="42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1"/>
      <c r="AM769" s="40"/>
      <c r="AN769" s="40"/>
      <c r="AO769" s="41"/>
      <c r="AP769" s="41"/>
      <c r="AQ769" s="40"/>
    </row>
    <row r="770">
      <c r="A770" s="40"/>
      <c r="B770" s="42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1"/>
      <c r="AM770" s="40"/>
      <c r="AN770" s="40"/>
      <c r="AO770" s="41"/>
      <c r="AP770" s="41"/>
      <c r="AQ770" s="40"/>
    </row>
    <row r="771">
      <c r="A771" s="40"/>
      <c r="B771" s="42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1"/>
      <c r="AM771" s="40"/>
      <c r="AN771" s="40"/>
      <c r="AO771" s="41"/>
      <c r="AP771" s="41"/>
      <c r="AQ771" s="40"/>
    </row>
    <row r="772">
      <c r="A772" s="40"/>
      <c r="B772" s="42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1"/>
      <c r="AM772" s="40"/>
      <c r="AN772" s="40"/>
      <c r="AO772" s="41"/>
      <c r="AP772" s="41"/>
      <c r="AQ772" s="40"/>
    </row>
    <row r="773">
      <c r="A773" s="40"/>
      <c r="B773" s="42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1"/>
      <c r="AM773" s="40"/>
      <c r="AN773" s="40"/>
      <c r="AO773" s="41"/>
      <c r="AP773" s="41"/>
      <c r="AQ773" s="40"/>
    </row>
    <row r="774">
      <c r="A774" s="40"/>
      <c r="B774" s="42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1"/>
      <c r="AM774" s="40"/>
      <c r="AN774" s="40"/>
      <c r="AO774" s="41"/>
      <c r="AP774" s="41"/>
      <c r="AQ774" s="40"/>
    </row>
    <row r="775">
      <c r="A775" s="40"/>
      <c r="B775" s="42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1"/>
      <c r="AM775" s="40"/>
      <c r="AN775" s="40"/>
      <c r="AO775" s="41"/>
      <c r="AP775" s="41"/>
      <c r="AQ775" s="40"/>
    </row>
    <row r="776">
      <c r="A776" s="40"/>
      <c r="B776" s="42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1"/>
      <c r="AM776" s="40"/>
      <c r="AN776" s="40"/>
      <c r="AO776" s="41"/>
      <c r="AP776" s="41"/>
      <c r="AQ776" s="40"/>
    </row>
    <row r="777">
      <c r="A777" s="40"/>
      <c r="B777" s="42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1"/>
      <c r="AM777" s="40"/>
      <c r="AN777" s="40"/>
      <c r="AO777" s="41"/>
      <c r="AP777" s="41"/>
      <c r="AQ777" s="40"/>
    </row>
    <row r="778">
      <c r="A778" s="40"/>
      <c r="B778" s="42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1"/>
      <c r="AM778" s="40"/>
      <c r="AN778" s="40"/>
      <c r="AO778" s="41"/>
      <c r="AP778" s="41"/>
      <c r="AQ778" s="40"/>
    </row>
    <row r="779">
      <c r="A779" s="40"/>
      <c r="B779" s="42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1"/>
      <c r="AM779" s="40"/>
      <c r="AN779" s="40"/>
      <c r="AO779" s="41"/>
      <c r="AP779" s="41"/>
      <c r="AQ779" s="40"/>
    </row>
    <row r="780">
      <c r="A780" s="40"/>
      <c r="B780" s="42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1"/>
      <c r="AM780" s="40"/>
      <c r="AN780" s="40"/>
      <c r="AO780" s="41"/>
      <c r="AP780" s="41"/>
      <c r="AQ780" s="40"/>
    </row>
    <row r="781">
      <c r="A781" s="40"/>
      <c r="B781" s="42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1"/>
      <c r="AM781" s="40"/>
      <c r="AN781" s="40"/>
      <c r="AO781" s="41"/>
      <c r="AP781" s="41"/>
      <c r="AQ781" s="40"/>
    </row>
    <row r="782">
      <c r="A782" s="40"/>
      <c r="B782" s="42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1"/>
      <c r="AM782" s="40"/>
      <c r="AN782" s="40"/>
      <c r="AO782" s="41"/>
      <c r="AP782" s="41"/>
      <c r="AQ782" s="40"/>
    </row>
    <row r="783">
      <c r="A783" s="40"/>
      <c r="B783" s="42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1"/>
      <c r="AM783" s="40"/>
      <c r="AN783" s="40"/>
      <c r="AO783" s="41"/>
      <c r="AP783" s="41"/>
      <c r="AQ783" s="40"/>
    </row>
    <row r="784">
      <c r="A784" s="40"/>
      <c r="B784" s="42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1"/>
      <c r="AM784" s="40"/>
      <c r="AN784" s="40"/>
      <c r="AO784" s="41"/>
      <c r="AP784" s="41"/>
      <c r="AQ784" s="40"/>
    </row>
    <row r="785">
      <c r="A785" s="40"/>
      <c r="B785" s="42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1"/>
      <c r="AM785" s="40"/>
      <c r="AN785" s="40"/>
      <c r="AO785" s="41"/>
      <c r="AP785" s="41"/>
      <c r="AQ785" s="40"/>
    </row>
    <row r="786">
      <c r="A786" s="40"/>
      <c r="B786" s="42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1"/>
      <c r="AM786" s="40"/>
      <c r="AN786" s="40"/>
      <c r="AO786" s="41"/>
      <c r="AP786" s="41"/>
      <c r="AQ786" s="40"/>
    </row>
    <row r="787">
      <c r="A787" s="40"/>
      <c r="B787" s="42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1"/>
      <c r="AM787" s="40"/>
      <c r="AN787" s="40"/>
      <c r="AO787" s="41"/>
      <c r="AP787" s="41"/>
      <c r="AQ787" s="40"/>
    </row>
    <row r="788">
      <c r="A788" s="40"/>
      <c r="B788" s="42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1"/>
      <c r="AM788" s="40"/>
      <c r="AN788" s="40"/>
      <c r="AO788" s="41"/>
      <c r="AP788" s="41"/>
      <c r="AQ788" s="40"/>
    </row>
    <row r="789">
      <c r="A789" s="40"/>
      <c r="B789" s="42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1"/>
      <c r="AM789" s="40"/>
      <c r="AN789" s="40"/>
      <c r="AO789" s="41"/>
      <c r="AP789" s="41"/>
      <c r="AQ789" s="40"/>
    </row>
    <row r="790">
      <c r="A790" s="40"/>
      <c r="B790" s="42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1"/>
      <c r="AM790" s="40"/>
      <c r="AN790" s="40"/>
      <c r="AO790" s="41"/>
      <c r="AP790" s="41"/>
      <c r="AQ790" s="40"/>
    </row>
    <row r="791">
      <c r="A791" s="40"/>
      <c r="B791" s="42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1"/>
      <c r="AM791" s="40"/>
      <c r="AN791" s="40"/>
      <c r="AO791" s="41"/>
      <c r="AP791" s="41"/>
      <c r="AQ791" s="40"/>
    </row>
    <row r="792">
      <c r="A792" s="40"/>
      <c r="B792" s="42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1"/>
      <c r="AM792" s="40"/>
      <c r="AN792" s="40"/>
      <c r="AO792" s="41"/>
      <c r="AP792" s="41"/>
      <c r="AQ792" s="40"/>
    </row>
    <row r="793">
      <c r="A793" s="40"/>
      <c r="B793" s="42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1"/>
      <c r="AM793" s="40"/>
      <c r="AN793" s="40"/>
      <c r="AO793" s="41"/>
      <c r="AP793" s="41"/>
      <c r="AQ793" s="40"/>
    </row>
    <row r="794">
      <c r="A794" s="40"/>
      <c r="B794" s="42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1"/>
      <c r="AM794" s="40"/>
      <c r="AN794" s="40"/>
      <c r="AO794" s="41"/>
      <c r="AP794" s="41"/>
      <c r="AQ794" s="40"/>
    </row>
    <row r="795">
      <c r="A795" s="40"/>
      <c r="B795" s="42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1"/>
      <c r="AM795" s="40"/>
      <c r="AN795" s="40"/>
      <c r="AO795" s="41"/>
      <c r="AP795" s="41"/>
      <c r="AQ795" s="40"/>
    </row>
    <row r="796">
      <c r="A796" s="40"/>
      <c r="B796" s="42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1"/>
      <c r="AM796" s="40"/>
      <c r="AN796" s="40"/>
      <c r="AO796" s="41"/>
      <c r="AP796" s="41"/>
      <c r="AQ796" s="40"/>
    </row>
    <row r="797">
      <c r="A797" s="40"/>
      <c r="B797" s="42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1"/>
      <c r="AM797" s="40"/>
      <c r="AN797" s="40"/>
      <c r="AO797" s="41"/>
      <c r="AP797" s="41"/>
      <c r="AQ797" s="40"/>
    </row>
    <row r="798">
      <c r="A798" s="40"/>
      <c r="B798" s="42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1"/>
      <c r="AM798" s="40"/>
      <c r="AN798" s="40"/>
      <c r="AO798" s="41"/>
      <c r="AP798" s="41"/>
      <c r="AQ798" s="40"/>
    </row>
    <row r="799">
      <c r="A799" s="40"/>
      <c r="B799" s="42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1"/>
      <c r="AM799" s="40"/>
      <c r="AN799" s="40"/>
      <c r="AO799" s="41"/>
      <c r="AP799" s="41"/>
      <c r="AQ799" s="40"/>
    </row>
    <row r="800">
      <c r="A800" s="40"/>
      <c r="B800" s="42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1"/>
      <c r="AM800" s="40"/>
      <c r="AN800" s="40"/>
      <c r="AO800" s="41"/>
      <c r="AP800" s="41"/>
      <c r="AQ800" s="40"/>
    </row>
    <row r="801">
      <c r="A801" s="40"/>
      <c r="B801" s="42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1"/>
      <c r="AM801" s="40"/>
      <c r="AN801" s="40"/>
      <c r="AO801" s="41"/>
      <c r="AP801" s="41"/>
      <c r="AQ801" s="40"/>
    </row>
    <row r="802">
      <c r="A802" s="40"/>
      <c r="B802" s="42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1"/>
      <c r="AM802" s="40"/>
      <c r="AN802" s="40"/>
      <c r="AO802" s="41"/>
      <c r="AP802" s="41"/>
      <c r="AQ802" s="40"/>
    </row>
    <row r="803">
      <c r="A803" s="40"/>
      <c r="B803" s="42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1"/>
      <c r="AM803" s="40"/>
      <c r="AN803" s="40"/>
      <c r="AO803" s="41"/>
      <c r="AP803" s="41"/>
      <c r="AQ803" s="40"/>
    </row>
    <row r="804">
      <c r="A804" s="40"/>
      <c r="B804" s="42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1"/>
      <c r="AM804" s="40"/>
      <c r="AN804" s="40"/>
      <c r="AO804" s="41"/>
      <c r="AP804" s="41"/>
      <c r="AQ804" s="40"/>
    </row>
    <row r="805">
      <c r="A805" s="40"/>
      <c r="B805" s="42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1"/>
      <c r="AM805" s="40"/>
      <c r="AN805" s="40"/>
      <c r="AO805" s="41"/>
      <c r="AP805" s="41"/>
      <c r="AQ805" s="40"/>
    </row>
    <row r="806">
      <c r="A806" s="40"/>
      <c r="B806" s="42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1"/>
      <c r="AM806" s="40"/>
      <c r="AN806" s="40"/>
      <c r="AO806" s="41"/>
      <c r="AP806" s="41"/>
      <c r="AQ806" s="40"/>
    </row>
    <row r="807">
      <c r="A807" s="40"/>
      <c r="B807" s="42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1"/>
      <c r="AM807" s="40"/>
      <c r="AN807" s="40"/>
      <c r="AO807" s="41"/>
      <c r="AP807" s="41"/>
      <c r="AQ807" s="40"/>
    </row>
    <row r="808">
      <c r="A808" s="40"/>
      <c r="B808" s="42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1"/>
      <c r="AM808" s="40"/>
      <c r="AN808" s="40"/>
      <c r="AO808" s="41"/>
      <c r="AP808" s="41"/>
      <c r="AQ808" s="40"/>
    </row>
    <row r="809">
      <c r="A809" s="40"/>
      <c r="B809" s="42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1"/>
      <c r="AM809" s="40"/>
      <c r="AN809" s="40"/>
      <c r="AO809" s="41"/>
      <c r="AP809" s="41"/>
      <c r="AQ809" s="40"/>
    </row>
    <row r="810">
      <c r="A810" s="40"/>
      <c r="B810" s="42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1"/>
      <c r="AM810" s="40"/>
      <c r="AN810" s="40"/>
      <c r="AO810" s="41"/>
      <c r="AP810" s="41"/>
      <c r="AQ810" s="40"/>
    </row>
    <row r="811">
      <c r="A811" s="40"/>
      <c r="B811" s="42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1"/>
      <c r="AM811" s="40"/>
      <c r="AN811" s="40"/>
      <c r="AO811" s="41"/>
      <c r="AP811" s="41"/>
      <c r="AQ811" s="40"/>
    </row>
    <row r="812">
      <c r="A812" s="40"/>
      <c r="B812" s="42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1"/>
      <c r="AM812" s="40"/>
      <c r="AN812" s="40"/>
      <c r="AO812" s="41"/>
      <c r="AP812" s="41"/>
      <c r="AQ812" s="40"/>
    </row>
    <row r="813">
      <c r="A813" s="40"/>
      <c r="B813" s="42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1"/>
      <c r="AM813" s="40"/>
      <c r="AN813" s="40"/>
      <c r="AO813" s="41"/>
      <c r="AP813" s="41"/>
      <c r="AQ813" s="40"/>
    </row>
    <row r="814">
      <c r="A814" s="40"/>
      <c r="B814" s="42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1"/>
      <c r="AM814" s="40"/>
      <c r="AN814" s="40"/>
      <c r="AO814" s="41"/>
      <c r="AP814" s="41"/>
      <c r="AQ814" s="40"/>
    </row>
    <row r="815">
      <c r="A815" s="40"/>
      <c r="B815" s="42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1"/>
      <c r="AM815" s="40"/>
      <c r="AN815" s="40"/>
      <c r="AO815" s="41"/>
      <c r="AP815" s="41"/>
      <c r="AQ815" s="40"/>
    </row>
    <row r="816">
      <c r="A816" s="40"/>
      <c r="B816" s="42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1"/>
      <c r="AM816" s="40"/>
      <c r="AN816" s="40"/>
      <c r="AO816" s="41"/>
      <c r="AP816" s="41"/>
      <c r="AQ816" s="40"/>
    </row>
    <row r="817">
      <c r="A817" s="40"/>
      <c r="B817" s="42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1"/>
      <c r="AM817" s="40"/>
      <c r="AN817" s="40"/>
      <c r="AO817" s="41"/>
      <c r="AP817" s="41"/>
      <c r="AQ817" s="40"/>
    </row>
    <row r="818">
      <c r="A818" s="40"/>
      <c r="B818" s="42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1"/>
      <c r="AM818" s="40"/>
      <c r="AN818" s="40"/>
      <c r="AO818" s="41"/>
      <c r="AP818" s="41"/>
      <c r="AQ818" s="40"/>
    </row>
    <row r="819">
      <c r="A819" s="40"/>
      <c r="B819" s="42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1"/>
      <c r="AM819" s="40"/>
      <c r="AN819" s="40"/>
      <c r="AO819" s="41"/>
      <c r="AP819" s="41"/>
      <c r="AQ819" s="40"/>
    </row>
    <row r="820">
      <c r="A820" s="40"/>
      <c r="B820" s="42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1"/>
      <c r="AM820" s="40"/>
      <c r="AN820" s="40"/>
      <c r="AO820" s="41"/>
      <c r="AP820" s="41"/>
      <c r="AQ820" s="40"/>
    </row>
    <row r="821">
      <c r="A821" s="40"/>
      <c r="B821" s="42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1"/>
      <c r="AM821" s="40"/>
      <c r="AN821" s="40"/>
      <c r="AO821" s="41"/>
      <c r="AP821" s="41"/>
      <c r="AQ821" s="40"/>
    </row>
    <row r="822">
      <c r="A822" s="40"/>
      <c r="B822" s="42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1"/>
      <c r="AM822" s="40"/>
      <c r="AN822" s="40"/>
      <c r="AO822" s="41"/>
      <c r="AP822" s="41"/>
      <c r="AQ822" s="40"/>
    </row>
    <row r="823">
      <c r="A823" s="40"/>
      <c r="B823" s="42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1"/>
      <c r="AM823" s="40"/>
      <c r="AN823" s="40"/>
      <c r="AO823" s="41"/>
      <c r="AP823" s="41"/>
      <c r="AQ823" s="40"/>
    </row>
    <row r="824">
      <c r="A824" s="40"/>
      <c r="B824" s="42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1"/>
      <c r="AM824" s="40"/>
      <c r="AN824" s="40"/>
      <c r="AO824" s="41"/>
      <c r="AP824" s="41"/>
      <c r="AQ824" s="40"/>
    </row>
    <row r="825">
      <c r="A825" s="40"/>
      <c r="B825" s="42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1"/>
      <c r="AM825" s="40"/>
      <c r="AN825" s="40"/>
      <c r="AO825" s="41"/>
      <c r="AP825" s="41"/>
      <c r="AQ825" s="40"/>
    </row>
    <row r="826">
      <c r="A826" s="40"/>
      <c r="B826" s="42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1"/>
      <c r="AM826" s="40"/>
      <c r="AN826" s="40"/>
      <c r="AO826" s="41"/>
      <c r="AP826" s="41"/>
      <c r="AQ826" s="40"/>
    </row>
    <row r="827">
      <c r="A827" s="40"/>
      <c r="B827" s="42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1"/>
      <c r="AM827" s="40"/>
      <c r="AN827" s="40"/>
      <c r="AO827" s="41"/>
      <c r="AP827" s="41"/>
      <c r="AQ827" s="40"/>
    </row>
    <row r="828">
      <c r="A828" s="40"/>
      <c r="B828" s="42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1"/>
      <c r="AM828" s="40"/>
      <c r="AN828" s="40"/>
      <c r="AO828" s="41"/>
      <c r="AP828" s="41"/>
      <c r="AQ828" s="40"/>
    </row>
    <row r="829">
      <c r="A829" s="40"/>
      <c r="B829" s="42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1"/>
      <c r="AM829" s="40"/>
      <c r="AN829" s="40"/>
      <c r="AO829" s="41"/>
      <c r="AP829" s="41"/>
      <c r="AQ829" s="40"/>
    </row>
    <row r="830">
      <c r="A830" s="40"/>
      <c r="B830" s="42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1"/>
      <c r="AM830" s="40"/>
      <c r="AN830" s="40"/>
      <c r="AO830" s="41"/>
      <c r="AP830" s="41"/>
      <c r="AQ830" s="40"/>
    </row>
    <row r="831">
      <c r="A831" s="40"/>
      <c r="B831" s="42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1"/>
      <c r="AM831" s="40"/>
      <c r="AN831" s="40"/>
      <c r="AO831" s="41"/>
      <c r="AP831" s="41"/>
      <c r="AQ831" s="40"/>
    </row>
    <row r="832">
      <c r="A832" s="40"/>
      <c r="B832" s="42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1"/>
      <c r="AM832" s="40"/>
      <c r="AN832" s="40"/>
      <c r="AO832" s="41"/>
      <c r="AP832" s="41"/>
      <c r="AQ832" s="40"/>
    </row>
    <row r="833">
      <c r="A833" s="40"/>
      <c r="B833" s="42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1"/>
      <c r="AM833" s="40"/>
      <c r="AN833" s="40"/>
      <c r="AO833" s="41"/>
      <c r="AP833" s="41"/>
      <c r="AQ833" s="40"/>
    </row>
    <row r="834">
      <c r="A834" s="40"/>
      <c r="B834" s="42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1"/>
      <c r="AM834" s="40"/>
      <c r="AN834" s="40"/>
      <c r="AO834" s="41"/>
      <c r="AP834" s="41"/>
      <c r="AQ834" s="40"/>
    </row>
    <row r="835">
      <c r="A835" s="40"/>
      <c r="B835" s="42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1"/>
      <c r="AM835" s="40"/>
      <c r="AN835" s="40"/>
      <c r="AO835" s="41"/>
      <c r="AP835" s="41"/>
      <c r="AQ835" s="40"/>
    </row>
    <row r="836">
      <c r="A836" s="40"/>
      <c r="B836" s="42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1"/>
      <c r="AM836" s="40"/>
      <c r="AN836" s="40"/>
      <c r="AO836" s="41"/>
      <c r="AP836" s="41"/>
      <c r="AQ836" s="40"/>
    </row>
    <row r="837">
      <c r="A837" s="40"/>
      <c r="B837" s="42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1"/>
      <c r="AM837" s="40"/>
      <c r="AN837" s="40"/>
      <c r="AO837" s="41"/>
      <c r="AP837" s="41"/>
      <c r="AQ837" s="40"/>
    </row>
    <row r="838">
      <c r="A838" s="40"/>
      <c r="B838" s="42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1"/>
      <c r="AM838" s="40"/>
      <c r="AN838" s="40"/>
      <c r="AO838" s="41"/>
      <c r="AP838" s="41"/>
      <c r="AQ838" s="40"/>
    </row>
    <row r="839">
      <c r="A839" s="40"/>
      <c r="B839" s="42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1"/>
      <c r="AM839" s="40"/>
      <c r="AN839" s="40"/>
      <c r="AO839" s="41"/>
      <c r="AP839" s="41"/>
      <c r="AQ839" s="40"/>
    </row>
    <row r="840">
      <c r="A840" s="40"/>
      <c r="B840" s="42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1"/>
      <c r="AM840" s="40"/>
      <c r="AN840" s="40"/>
      <c r="AO840" s="41"/>
      <c r="AP840" s="41"/>
      <c r="AQ840" s="40"/>
    </row>
    <row r="841">
      <c r="A841" s="40"/>
      <c r="B841" s="42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1"/>
      <c r="AM841" s="40"/>
      <c r="AN841" s="40"/>
      <c r="AO841" s="41"/>
      <c r="AP841" s="41"/>
      <c r="AQ841" s="40"/>
    </row>
    <row r="842">
      <c r="A842" s="40"/>
      <c r="B842" s="42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1"/>
      <c r="AM842" s="40"/>
      <c r="AN842" s="40"/>
      <c r="AO842" s="41"/>
      <c r="AP842" s="41"/>
      <c r="AQ842" s="40"/>
    </row>
    <row r="843">
      <c r="A843" s="40"/>
      <c r="B843" s="42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1"/>
      <c r="AM843" s="40"/>
      <c r="AN843" s="40"/>
      <c r="AO843" s="41"/>
      <c r="AP843" s="41"/>
      <c r="AQ843" s="40"/>
    </row>
    <row r="844">
      <c r="A844" s="40"/>
      <c r="B844" s="42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1"/>
      <c r="AM844" s="40"/>
      <c r="AN844" s="40"/>
      <c r="AO844" s="41"/>
      <c r="AP844" s="41"/>
      <c r="AQ844" s="40"/>
    </row>
    <row r="845">
      <c r="A845" s="40"/>
      <c r="B845" s="42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1"/>
      <c r="AM845" s="40"/>
      <c r="AN845" s="40"/>
      <c r="AO845" s="41"/>
      <c r="AP845" s="41"/>
      <c r="AQ845" s="40"/>
    </row>
    <row r="846">
      <c r="A846" s="40"/>
      <c r="B846" s="42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1"/>
      <c r="AM846" s="40"/>
      <c r="AN846" s="40"/>
      <c r="AO846" s="41"/>
      <c r="AP846" s="41"/>
      <c r="AQ846" s="40"/>
    </row>
    <row r="847">
      <c r="A847" s="40"/>
      <c r="B847" s="42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1"/>
      <c r="AM847" s="40"/>
      <c r="AN847" s="40"/>
      <c r="AO847" s="41"/>
      <c r="AP847" s="41"/>
      <c r="AQ847" s="40"/>
    </row>
    <row r="848">
      <c r="A848" s="40"/>
      <c r="B848" s="42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1"/>
      <c r="AM848" s="40"/>
      <c r="AN848" s="40"/>
      <c r="AO848" s="41"/>
      <c r="AP848" s="41"/>
      <c r="AQ848" s="40"/>
    </row>
    <row r="849">
      <c r="A849" s="40"/>
      <c r="B849" s="42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1"/>
      <c r="AM849" s="40"/>
      <c r="AN849" s="40"/>
      <c r="AO849" s="41"/>
      <c r="AP849" s="41"/>
      <c r="AQ849" s="40"/>
    </row>
    <row r="850">
      <c r="A850" s="40"/>
      <c r="B850" s="42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1"/>
      <c r="AM850" s="40"/>
      <c r="AN850" s="40"/>
      <c r="AO850" s="41"/>
      <c r="AP850" s="41"/>
      <c r="AQ850" s="40"/>
    </row>
    <row r="851">
      <c r="A851" s="40"/>
      <c r="B851" s="42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1"/>
      <c r="AM851" s="40"/>
      <c r="AN851" s="40"/>
      <c r="AO851" s="41"/>
      <c r="AP851" s="41"/>
      <c r="AQ851" s="40"/>
    </row>
    <row r="852">
      <c r="A852" s="40"/>
      <c r="B852" s="42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1"/>
      <c r="AM852" s="40"/>
      <c r="AN852" s="40"/>
      <c r="AO852" s="41"/>
      <c r="AP852" s="41"/>
      <c r="AQ852" s="40"/>
    </row>
    <row r="853">
      <c r="A853" s="40"/>
      <c r="B853" s="42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1"/>
      <c r="AM853" s="40"/>
      <c r="AN853" s="40"/>
      <c r="AO853" s="41"/>
      <c r="AP853" s="41"/>
      <c r="AQ853" s="40"/>
    </row>
    <row r="854">
      <c r="A854" s="40"/>
      <c r="B854" s="42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1"/>
      <c r="AM854" s="40"/>
      <c r="AN854" s="40"/>
      <c r="AO854" s="41"/>
      <c r="AP854" s="41"/>
      <c r="AQ854" s="40"/>
    </row>
    <row r="855">
      <c r="A855" s="40"/>
      <c r="B855" s="42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1"/>
      <c r="AM855" s="40"/>
      <c r="AN855" s="40"/>
      <c r="AO855" s="41"/>
      <c r="AP855" s="41"/>
      <c r="AQ855" s="40"/>
    </row>
    <row r="856">
      <c r="A856" s="40"/>
      <c r="B856" s="42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1"/>
      <c r="AM856" s="40"/>
      <c r="AN856" s="40"/>
      <c r="AO856" s="41"/>
      <c r="AP856" s="41"/>
      <c r="AQ856" s="40"/>
    </row>
    <row r="857">
      <c r="A857" s="40"/>
      <c r="B857" s="42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1"/>
      <c r="AM857" s="40"/>
      <c r="AN857" s="40"/>
      <c r="AO857" s="41"/>
      <c r="AP857" s="41"/>
      <c r="AQ857" s="40"/>
    </row>
    <row r="858">
      <c r="A858" s="40"/>
      <c r="B858" s="42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1"/>
      <c r="AM858" s="40"/>
      <c r="AN858" s="40"/>
      <c r="AO858" s="41"/>
      <c r="AP858" s="41"/>
      <c r="AQ858" s="40"/>
    </row>
    <row r="859">
      <c r="A859" s="40"/>
      <c r="B859" s="42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1"/>
      <c r="AM859" s="40"/>
      <c r="AN859" s="40"/>
      <c r="AO859" s="41"/>
      <c r="AP859" s="41"/>
      <c r="AQ859" s="40"/>
    </row>
    <row r="860">
      <c r="A860" s="40"/>
      <c r="B860" s="42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1"/>
      <c r="AM860" s="40"/>
      <c r="AN860" s="40"/>
      <c r="AO860" s="41"/>
      <c r="AP860" s="41"/>
      <c r="AQ860" s="40"/>
    </row>
    <row r="861">
      <c r="A861" s="40"/>
      <c r="B861" s="42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1"/>
      <c r="AM861" s="40"/>
      <c r="AN861" s="40"/>
      <c r="AO861" s="41"/>
      <c r="AP861" s="41"/>
      <c r="AQ861" s="40"/>
    </row>
    <row r="862">
      <c r="A862" s="40"/>
      <c r="B862" s="42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1"/>
      <c r="AM862" s="40"/>
      <c r="AN862" s="40"/>
      <c r="AO862" s="41"/>
      <c r="AP862" s="41"/>
      <c r="AQ862" s="40"/>
    </row>
    <row r="863">
      <c r="A863" s="40"/>
      <c r="B863" s="42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1"/>
      <c r="AM863" s="40"/>
      <c r="AN863" s="40"/>
      <c r="AO863" s="41"/>
      <c r="AP863" s="41"/>
      <c r="AQ863" s="40"/>
    </row>
    <row r="864">
      <c r="A864" s="40"/>
      <c r="B864" s="42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1"/>
      <c r="AM864" s="40"/>
      <c r="AN864" s="40"/>
      <c r="AO864" s="41"/>
      <c r="AP864" s="41"/>
      <c r="AQ864" s="40"/>
    </row>
    <row r="865">
      <c r="A865" s="40"/>
      <c r="B865" s="42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1"/>
      <c r="AM865" s="40"/>
      <c r="AN865" s="40"/>
      <c r="AO865" s="41"/>
      <c r="AP865" s="41"/>
      <c r="AQ865" s="40"/>
    </row>
    <row r="866">
      <c r="A866" s="40"/>
      <c r="B866" s="42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1"/>
      <c r="AM866" s="40"/>
      <c r="AN866" s="40"/>
      <c r="AO866" s="41"/>
      <c r="AP866" s="41"/>
      <c r="AQ866" s="40"/>
    </row>
    <row r="867">
      <c r="A867" s="40"/>
      <c r="B867" s="42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1"/>
      <c r="AM867" s="40"/>
      <c r="AN867" s="40"/>
      <c r="AO867" s="41"/>
      <c r="AP867" s="41"/>
      <c r="AQ867" s="40"/>
    </row>
    <row r="868">
      <c r="A868" s="40"/>
      <c r="B868" s="42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1"/>
      <c r="AM868" s="40"/>
      <c r="AN868" s="40"/>
      <c r="AO868" s="41"/>
      <c r="AP868" s="41"/>
      <c r="AQ868" s="40"/>
    </row>
    <row r="869">
      <c r="A869" s="40"/>
      <c r="B869" s="42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1"/>
      <c r="AM869" s="40"/>
      <c r="AN869" s="40"/>
      <c r="AO869" s="41"/>
      <c r="AP869" s="41"/>
      <c r="AQ869" s="40"/>
    </row>
    <row r="870">
      <c r="A870" s="40"/>
      <c r="B870" s="42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1"/>
      <c r="AM870" s="40"/>
      <c r="AN870" s="40"/>
      <c r="AO870" s="41"/>
      <c r="AP870" s="41"/>
      <c r="AQ870" s="40"/>
    </row>
    <row r="871">
      <c r="A871" s="40"/>
      <c r="B871" s="42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1"/>
      <c r="AM871" s="40"/>
      <c r="AN871" s="40"/>
      <c r="AO871" s="41"/>
      <c r="AP871" s="41"/>
      <c r="AQ871" s="40"/>
    </row>
    <row r="872">
      <c r="A872" s="40"/>
      <c r="B872" s="42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1"/>
      <c r="AM872" s="40"/>
      <c r="AN872" s="40"/>
      <c r="AO872" s="41"/>
      <c r="AP872" s="41"/>
      <c r="AQ872" s="40"/>
    </row>
    <row r="873">
      <c r="A873" s="40"/>
      <c r="B873" s="42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1"/>
      <c r="AM873" s="40"/>
      <c r="AN873" s="40"/>
      <c r="AO873" s="41"/>
      <c r="AP873" s="41"/>
      <c r="AQ873" s="40"/>
    </row>
    <row r="874">
      <c r="A874" s="40"/>
      <c r="B874" s="42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1"/>
      <c r="AM874" s="40"/>
      <c r="AN874" s="40"/>
      <c r="AO874" s="41"/>
      <c r="AP874" s="41"/>
      <c r="AQ874" s="40"/>
    </row>
    <row r="875">
      <c r="A875" s="40"/>
      <c r="B875" s="42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1"/>
      <c r="AM875" s="40"/>
      <c r="AN875" s="40"/>
      <c r="AO875" s="41"/>
      <c r="AP875" s="41"/>
      <c r="AQ875" s="40"/>
    </row>
    <row r="876">
      <c r="A876" s="40"/>
      <c r="B876" s="42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1"/>
      <c r="AM876" s="40"/>
      <c r="AN876" s="40"/>
      <c r="AO876" s="41"/>
      <c r="AP876" s="41"/>
      <c r="AQ876" s="40"/>
    </row>
    <row r="877">
      <c r="A877" s="40"/>
      <c r="B877" s="42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1"/>
      <c r="AM877" s="40"/>
      <c r="AN877" s="40"/>
      <c r="AO877" s="41"/>
      <c r="AP877" s="41"/>
      <c r="AQ877" s="40"/>
    </row>
    <row r="878">
      <c r="A878" s="40"/>
      <c r="B878" s="42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1"/>
      <c r="AM878" s="40"/>
      <c r="AN878" s="40"/>
      <c r="AO878" s="41"/>
      <c r="AP878" s="41"/>
      <c r="AQ878" s="40"/>
    </row>
    <row r="879">
      <c r="A879" s="40"/>
      <c r="B879" s="42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1"/>
      <c r="AM879" s="40"/>
      <c r="AN879" s="40"/>
      <c r="AO879" s="41"/>
      <c r="AP879" s="41"/>
      <c r="AQ879" s="40"/>
    </row>
    <row r="880">
      <c r="A880" s="40"/>
      <c r="B880" s="42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1"/>
      <c r="AM880" s="40"/>
      <c r="AN880" s="40"/>
      <c r="AO880" s="41"/>
      <c r="AP880" s="41"/>
      <c r="AQ880" s="40"/>
    </row>
    <row r="881">
      <c r="A881" s="40"/>
      <c r="B881" s="42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1"/>
      <c r="AM881" s="40"/>
      <c r="AN881" s="40"/>
      <c r="AO881" s="41"/>
      <c r="AP881" s="41"/>
      <c r="AQ881" s="40"/>
    </row>
    <row r="882">
      <c r="A882" s="40"/>
      <c r="B882" s="42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1"/>
      <c r="AM882" s="40"/>
      <c r="AN882" s="40"/>
      <c r="AO882" s="41"/>
      <c r="AP882" s="41"/>
      <c r="AQ882" s="40"/>
    </row>
    <row r="883">
      <c r="A883" s="40"/>
      <c r="B883" s="42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1"/>
      <c r="AM883" s="40"/>
      <c r="AN883" s="40"/>
      <c r="AO883" s="41"/>
      <c r="AP883" s="41"/>
      <c r="AQ883" s="40"/>
    </row>
    <row r="884">
      <c r="A884" s="40"/>
      <c r="B884" s="42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1"/>
      <c r="AM884" s="40"/>
      <c r="AN884" s="40"/>
      <c r="AO884" s="41"/>
      <c r="AP884" s="41"/>
      <c r="AQ884" s="40"/>
    </row>
    <row r="885">
      <c r="A885" s="40"/>
      <c r="B885" s="42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1"/>
      <c r="AM885" s="40"/>
      <c r="AN885" s="40"/>
      <c r="AO885" s="41"/>
      <c r="AP885" s="41"/>
      <c r="AQ885" s="40"/>
    </row>
    <row r="886">
      <c r="A886" s="40"/>
      <c r="B886" s="42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1"/>
      <c r="AM886" s="40"/>
      <c r="AN886" s="40"/>
      <c r="AO886" s="41"/>
      <c r="AP886" s="41"/>
      <c r="AQ886" s="40"/>
    </row>
    <row r="887">
      <c r="A887" s="40"/>
      <c r="B887" s="42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1"/>
      <c r="AM887" s="40"/>
      <c r="AN887" s="40"/>
      <c r="AO887" s="41"/>
      <c r="AP887" s="41"/>
      <c r="AQ887" s="40"/>
    </row>
    <row r="888">
      <c r="A888" s="40"/>
      <c r="B888" s="42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1"/>
      <c r="AM888" s="40"/>
      <c r="AN888" s="40"/>
      <c r="AO888" s="41"/>
      <c r="AP888" s="41"/>
      <c r="AQ888" s="40"/>
    </row>
    <row r="889">
      <c r="A889" s="40"/>
      <c r="B889" s="42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1"/>
      <c r="AM889" s="40"/>
      <c r="AN889" s="40"/>
      <c r="AO889" s="41"/>
      <c r="AP889" s="41"/>
      <c r="AQ889" s="40"/>
    </row>
    <row r="890">
      <c r="A890" s="40"/>
      <c r="B890" s="42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1"/>
      <c r="AM890" s="40"/>
      <c r="AN890" s="40"/>
      <c r="AO890" s="41"/>
      <c r="AP890" s="41"/>
      <c r="AQ890" s="40"/>
    </row>
    <row r="891">
      <c r="A891" s="40"/>
      <c r="B891" s="42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1"/>
      <c r="AM891" s="40"/>
      <c r="AN891" s="40"/>
      <c r="AO891" s="41"/>
      <c r="AP891" s="41"/>
      <c r="AQ891" s="40"/>
    </row>
    <row r="892">
      <c r="A892" s="40"/>
      <c r="B892" s="42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1"/>
      <c r="AM892" s="40"/>
      <c r="AN892" s="40"/>
      <c r="AO892" s="41"/>
      <c r="AP892" s="41"/>
      <c r="AQ892" s="40"/>
    </row>
    <row r="893">
      <c r="A893" s="40"/>
      <c r="B893" s="42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1"/>
      <c r="AM893" s="40"/>
      <c r="AN893" s="40"/>
      <c r="AO893" s="41"/>
      <c r="AP893" s="41"/>
      <c r="AQ893" s="40"/>
    </row>
    <row r="894">
      <c r="A894" s="40"/>
      <c r="B894" s="42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1"/>
      <c r="AM894" s="40"/>
      <c r="AN894" s="40"/>
      <c r="AO894" s="41"/>
      <c r="AP894" s="41"/>
      <c r="AQ894" s="40"/>
    </row>
    <row r="895">
      <c r="A895" s="40"/>
      <c r="B895" s="42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1"/>
      <c r="AM895" s="40"/>
      <c r="AN895" s="40"/>
      <c r="AO895" s="41"/>
      <c r="AP895" s="41"/>
      <c r="AQ895" s="40"/>
    </row>
    <row r="896">
      <c r="A896" s="40"/>
      <c r="B896" s="42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1"/>
      <c r="AM896" s="40"/>
      <c r="AN896" s="40"/>
      <c r="AO896" s="41"/>
      <c r="AP896" s="41"/>
      <c r="AQ896" s="40"/>
    </row>
    <row r="897">
      <c r="A897" s="40"/>
      <c r="B897" s="42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1"/>
      <c r="AM897" s="40"/>
      <c r="AN897" s="40"/>
      <c r="AO897" s="41"/>
      <c r="AP897" s="41"/>
      <c r="AQ897" s="40"/>
    </row>
    <row r="898">
      <c r="A898" s="40"/>
      <c r="B898" s="42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1"/>
      <c r="AM898" s="40"/>
      <c r="AN898" s="40"/>
      <c r="AO898" s="41"/>
      <c r="AP898" s="41"/>
      <c r="AQ898" s="40"/>
    </row>
    <row r="899">
      <c r="A899" s="40"/>
      <c r="B899" s="42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1"/>
      <c r="AM899" s="40"/>
      <c r="AN899" s="40"/>
      <c r="AO899" s="41"/>
      <c r="AP899" s="41"/>
      <c r="AQ899" s="40"/>
    </row>
    <row r="900">
      <c r="A900" s="40"/>
      <c r="B900" s="42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1"/>
      <c r="AM900" s="40"/>
      <c r="AN900" s="40"/>
      <c r="AO900" s="41"/>
      <c r="AP900" s="41"/>
      <c r="AQ900" s="40"/>
    </row>
    <row r="901">
      <c r="A901" s="40"/>
      <c r="B901" s="42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1"/>
      <c r="AM901" s="40"/>
      <c r="AN901" s="40"/>
      <c r="AO901" s="41"/>
      <c r="AP901" s="41"/>
      <c r="AQ901" s="40"/>
    </row>
    <row r="902">
      <c r="A902" s="40"/>
      <c r="B902" s="42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1"/>
      <c r="AM902" s="40"/>
      <c r="AN902" s="40"/>
      <c r="AO902" s="41"/>
      <c r="AP902" s="41"/>
      <c r="AQ902" s="40"/>
    </row>
    <row r="903">
      <c r="A903" s="40"/>
      <c r="B903" s="42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1"/>
      <c r="AM903" s="40"/>
      <c r="AN903" s="40"/>
      <c r="AO903" s="41"/>
      <c r="AP903" s="41"/>
      <c r="AQ903" s="40"/>
    </row>
    <row r="904">
      <c r="A904" s="40"/>
      <c r="B904" s="42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1"/>
      <c r="AM904" s="40"/>
      <c r="AN904" s="40"/>
      <c r="AO904" s="41"/>
      <c r="AP904" s="41"/>
      <c r="AQ904" s="40"/>
    </row>
    <row r="905">
      <c r="A905" s="40"/>
      <c r="B905" s="42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1"/>
      <c r="AM905" s="40"/>
      <c r="AN905" s="40"/>
      <c r="AO905" s="41"/>
      <c r="AP905" s="41"/>
      <c r="AQ905" s="40"/>
    </row>
    <row r="906">
      <c r="A906" s="40"/>
      <c r="B906" s="42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1"/>
      <c r="AM906" s="40"/>
      <c r="AN906" s="40"/>
      <c r="AO906" s="41"/>
      <c r="AP906" s="41"/>
      <c r="AQ906" s="40"/>
    </row>
    <row r="907">
      <c r="A907" s="40"/>
      <c r="B907" s="42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1"/>
      <c r="AM907" s="40"/>
      <c r="AN907" s="40"/>
      <c r="AO907" s="41"/>
      <c r="AP907" s="41"/>
      <c r="AQ907" s="40"/>
    </row>
    <row r="908">
      <c r="A908" s="40"/>
      <c r="B908" s="42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1"/>
      <c r="AM908" s="40"/>
      <c r="AN908" s="40"/>
      <c r="AO908" s="41"/>
      <c r="AP908" s="41"/>
      <c r="AQ908" s="40"/>
    </row>
    <row r="909">
      <c r="A909" s="40"/>
      <c r="B909" s="42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1"/>
      <c r="AM909" s="40"/>
      <c r="AN909" s="40"/>
      <c r="AO909" s="41"/>
      <c r="AP909" s="41"/>
      <c r="AQ909" s="40"/>
    </row>
    <row r="910">
      <c r="A910" s="40"/>
      <c r="B910" s="42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1"/>
      <c r="AM910" s="40"/>
      <c r="AN910" s="40"/>
      <c r="AO910" s="41"/>
      <c r="AP910" s="41"/>
      <c r="AQ910" s="40"/>
    </row>
    <row r="911">
      <c r="A911" s="40"/>
      <c r="B911" s="42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1"/>
      <c r="AM911" s="40"/>
      <c r="AN911" s="40"/>
      <c r="AO911" s="41"/>
      <c r="AP911" s="41"/>
      <c r="AQ911" s="40"/>
    </row>
    <row r="912">
      <c r="A912" s="40"/>
      <c r="B912" s="42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1"/>
      <c r="AM912" s="40"/>
      <c r="AN912" s="40"/>
      <c r="AO912" s="41"/>
      <c r="AP912" s="41"/>
      <c r="AQ912" s="40"/>
    </row>
    <row r="913">
      <c r="A913" s="40"/>
      <c r="B913" s="42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1"/>
      <c r="AM913" s="40"/>
      <c r="AN913" s="40"/>
      <c r="AO913" s="41"/>
      <c r="AP913" s="41"/>
      <c r="AQ913" s="40"/>
    </row>
    <row r="914">
      <c r="A914" s="40"/>
      <c r="B914" s="42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1"/>
      <c r="AM914" s="40"/>
      <c r="AN914" s="40"/>
      <c r="AO914" s="41"/>
      <c r="AP914" s="41"/>
      <c r="AQ914" s="40"/>
    </row>
    <row r="915">
      <c r="A915" s="40"/>
      <c r="B915" s="42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1"/>
      <c r="AM915" s="40"/>
      <c r="AN915" s="40"/>
      <c r="AO915" s="41"/>
      <c r="AP915" s="41"/>
      <c r="AQ915" s="40"/>
    </row>
    <row r="916">
      <c r="A916" s="40"/>
      <c r="B916" s="42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1"/>
      <c r="AM916" s="40"/>
      <c r="AN916" s="40"/>
      <c r="AO916" s="41"/>
      <c r="AP916" s="41"/>
      <c r="AQ916" s="40"/>
    </row>
    <row r="917">
      <c r="A917" s="40"/>
      <c r="B917" s="42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1"/>
      <c r="AM917" s="40"/>
      <c r="AN917" s="40"/>
      <c r="AO917" s="41"/>
      <c r="AP917" s="41"/>
      <c r="AQ917" s="40"/>
    </row>
    <row r="918">
      <c r="A918" s="40"/>
      <c r="B918" s="42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1"/>
      <c r="AM918" s="40"/>
      <c r="AN918" s="40"/>
      <c r="AO918" s="41"/>
      <c r="AP918" s="41"/>
      <c r="AQ918" s="40"/>
    </row>
    <row r="919">
      <c r="A919" s="40"/>
      <c r="B919" s="42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1"/>
      <c r="AM919" s="40"/>
      <c r="AN919" s="40"/>
      <c r="AO919" s="41"/>
      <c r="AP919" s="41"/>
      <c r="AQ919" s="40"/>
    </row>
    <row r="920">
      <c r="A920" s="40"/>
      <c r="B920" s="42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1"/>
      <c r="AM920" s="40"/>
      <c r="AN920" s="40"/>
      <c r="AO920" s="41"/>
      <c r="AP920" s="41"/>
      <c r="AQ920" s="40"/>
    </row>
    <row r="921">
      <c r="A921" s="40"/>
      <c r="B921" s="42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1"/>
      <c r="AM921" s="40"/>
      <c r="AN921" s="40"/>
      <c r="AO921" s="41"/>
      <c r="AP921" s="41"/>
      <c r="AQ921" s="40"/>
    </row>
    <row r="922">
      <c r="A922" s="40"/>
      <c r="B922" s="42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1"/>
      <c r="AM922" s="40"/>
      <c r="AN922" s="40"/>
      <c r="AO922" s="41"/>
      <c r="AP922" s="41"/>
      <c r="AQ922" s="40"/>
    </row>
    <row r="923">
      <c r="A923" s="40"/>
      <c r="B923" s="42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1"/>
      <c r="AM923" s="40"/>
      <c r="AN923" s="40"/>
      <c r="AO923" s="41"/>
      <c r="AP923" s="41"/>
      <c r="AQ923" s="40"/>
    </row>
    <row r="924">
      <c r="A924" s="40"/>
      <c r="B924" s="42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1"/>
      <c r="AM924" s="40"/>
      <c r="AN924" s="40"/>
      <c r="AO924" s="41"/>
      <c r="AP924" s="41"/>
      <c r="AQ924" s="40"/>
    </row>
    <row r="925">
      <c r="A925" s="40"/>
      <c r="B925" s="42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1"/>
      <c r="AM925" s="40"/>
      <c r="AN925" s="40"/>
      <c r="AO925" s="41"/>
      <c r="AP925" s="41"/>
      <c r="AQ925" s="40"/>
    </row>
    <row r="926">
      <c r="A926" s="40"/>
      <c r="B926" s="42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1"/>
      <c r="AM926" s="40"/>
      <c r="AN926" s="40"/>
      <c r="AO926" s="41"/>
      <c r="AP926" s="41"/>
      <c r="AQ926" s="40"/>
    </row>
    <row r="927">
      <c r="A927" s="40"/>
      <c r="B927" s="42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1"/>
      <c r="AM927" s="40"/>
      <c r="AN927" s="40"/>
      <c r="AO927" s="41"/>
      <c r="AP927" s="41"/>
      <c r="AQ927" s="40"/>
    </row>
    <row r="928">
      <c r="A928" s="40"/>
      <c r="B928" s="42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1"/>
      <c r="AM928" s="40"/>
      <c r="AN928" s="40"/>
      <c r="AO928" s="41"/>
      <c r="AP928" s="41"/>
      <c r="AQ928" s="40"/>
    </row>
    <row r="929">
      <c r="A929" s="40"/>
      <c r="B929" s="42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1"/>
      <c r="AM929" s="40"/>
      <c r="AN929" s="40"/>
      <c r="AO929" s="41"/>
      <c r="AP929" s="41"/>
      <c r="AQ929" s="40"/>
    </row>
    <row r="930">
      <c r="A930" s="40"/>
      <c r="B930" s="42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1"/>
      <c r="AM930" s="40"/>
      <c r="AN930" s="40"/>
      <c r="AO930" s="41"/>
      <c r="AP930" s="41"/>
      <c r="AQ930" s="40"/>
    </row>
    <row r="931">
      <c r="A931" s="40"/>
      <c r="B931" s="42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1"/>
      <c r="AM931" s="40"/>
      <c r="AN931" s="40"/>
      <c r="AO931" s="41"/>
      <c r="AP931" s="41"/>
      <c r="AQ931" s="40"/>
    </row>
    <row r="932">
      <c r="A932" s="40"/>
      <c r="B932" s="42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1"/>
      <c r="AM932" s="40"/>
      <c r="AN932" s="40"/>
      <c r="AO932" s="41"/>
      <c r="AP932" s="41"/>
      <c r="AQ932" s="40"/>
    </row>
    <row r="933">
      <c r="A933" s="40"/>
      <c r="B933" s="42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1"/>
      <c r="AM933" s="40"/>
      <c r="AN933" s="40"/>
      <c r="AO933" s="41"/>
      <c r="AP933" s="41"/>
      <c r="AQ933" s="40"/>
    </row>
    <row r="934">
      <c r="A934" s="40"/>
      <c r="B934" s="42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1"/>
      <c r="AM934" s="40"/>
      <c r="AN934" s="40"/>
      <c r="AO934" s="41"/>
      <c r="AP934" s="41"/>
      <c r="AQ934" s="40"/>
    </row>
    <row r="935">
      <c r="A935" s="40"/>
      <c r="B935" s="42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1"/>
      <c r="AM935" s="40"/>
      <c r="AN935" s="40"/>
      <c r="AO935" s="41"/>
      <c r="AP935" s="41"/>
      <c r="AQ935" s="40"/>
    </row>
    <row r="936">
      <c r="A936" s="40"/>
      <c r="B936" s="42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1"/>
      <c r="AM936" s="40"/>
      <c r="AN936" s="40"/>
      <c r="AO936" s="41"/>
      <c r="AP936" s="41"/>
      <c r="AQ936" s="40"/>
    </row>
    <row r="937">
      <c r="A937" s="40"/>
      <c r="B937" s="42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1"/>
      <c r="AM937" s="40"/>
      <c r="AN937" s="40"/>
      <c r="AO937" s="41"/>
      <c r="AP937" s="41"/>
      <c r="AQ937" s="40"/>
    </row>
    <row r="938">
      <c r="A938" s="40"/>
      <c r="B938" s="42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1"/>
      <c r="AM938" s="40"/>
      <c r="AN938" s="40"/>
      <c r="AO938" s="41"/>
      <c r="AP938" s="41"/>
      <c r="AQ938" s="40"/>
    </row>
    <row r="939">
      <c r="A939" s="40"/>
      <c r="B939" s="42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1"/>
      <c r="AM939" s="40"/>
      <c r="AN939" s="40"/>
      <c r="AO939" s="41"/>
      <c r="AP939" s="41"/>
      <c r="AQ939" s="40"/>
    </row>
    <row r="940">
      <c r="A940" s="40"/>
      <c r="B940" s="42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1"/>
      <c r="AM940" s="40"/>
      <c r="AN940" s="40"/>
      <c r="AO940" s="41"/>
      <c r="AP940" s="41"/>
      <c r="AQ940" s="40"/>
    </row>
    <row r="941">
      <c r="A941" s="40"/>
      <c r="B941" s="42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1"/>
      <c r="AM941" s="40"/>
      <c r="AN941" s="40"/>
      <c r="AO941" s="41"/>
      <c r="AP941" s="41"/>
      <c r="AQ941" s="40"/>
    </row>
    <row r="942">
      <c r="A942" s="40"/>
      <c r="B942" s="42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1"/>
      <c r="AM942" s="40"/>
      <c r="AN942" s="40"/>
      <c r="AO942" s="41"/>
      <c r="AP942" s="41"/>
      <c r="AQ942" s="40"/>
    </row>
    <row r="943">
      <c r="A943" s="40"/>
      <c r="B943" s="42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1"/>
      <c r="AM943" s="40"/>
      <c r="AN943" s="40"/>
      <c r="AO943" s="41"/>
      <c r="AP943" s="41"/>
      <c r="AQ943" s="40"/>
    </row>
    <row r="944">
      <c r="A944" s="40"/>
      <c r="B944" s="42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1"/>
      <c r="AM944" s="40"/>
      <c r="AN944" s="40"/>
      <c r="AO944" s="41"/>
      <c r="AP944" s="41"/>
      <c r="AQ944" s="40"/>
    </row>
    <row r="945">
      <c r="A945" s="40"/>
      <c r="B945" s="42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1"/>
      <c r="AM945" s="40"/>
      <c r="AN945" s="40"/>
      <c r="AO945" s="41"/>
      <c r="AP945" s="41"/>
      <c r="AQ945" s="40"/>
    </row>
    <row r="946">
      <c r="A946" s="40"/>
      <c r="B946" s="42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1"/>
      <c r="AM946" s="40"/>
      <c r="AN946" s="40"/>
      <c r="AO946" s="41"/>
      <c r="AP946" s="41"/>
      <c r="AQ946" s="40"/>
    </row>
    <row r="947">
      <c r="A947" s="40"/>
      <c r="B947" s="42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1"/>
      <c r="AM947" s="40"/>
      <c r="AN947" s="40"/>
      <c r="AO947" s="41"/>
      <c r="AP947" s="41"/>
      <c r="AQ947" s="40"/>
    </row>
    <row r="948">
      <c r="A948" s="40"/>
      <c r="B948" s="42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1"/>
      <c r="AM948" s="40"/>
      <c r="AN948" s="40"/>
      <c r="AO948" s="41"/>
      <c r="AP948" s="41"/>
      <c r="AQ948" s="40"/>
    </row>
    <row r="949">
      <c r="A949" s="40"/>
      <c r="B949" s="42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1"/>
      <c r="AM949" s="40"/>
      <c r="AN949" s="40"/>
      <c r="AO949" s="41"/>
      <c r="AP949" s="41"/>
      <c r="AQ949" s="40"/>
    </row>
    <row r="950">
      <c r="A950" s="40"/>
      <c r="B950" s="42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1"/>
      <c r="AM950" s="40"/>
      <c r="AN950" s="40"/>
      <c r="AO950" s="41"/>
      <c r="AP950" s="41"/>
      <c r="AQ950" s="40"/>
    </row>
    <row r="951">
      <c r="A951" s="40"/>
      <c r="B951" s="42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1"/>
      <c r="AM951" s="40"/>
      <c r="AN951" s="40"/>
      <c r="AO951" s="41"/>
      <c r="AP951" s="41"/>
      <c r="AQ951" s="40"/>
    </row>
    <row r="952">
      <c r="A952" s="40"/>
      <c r="B952" s="42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1"/>
      <c r="AM952" s="40"/>
      <c r="AN952" s="40"/>
      <c r="AO952" s="41"/>
      <c r="AP952" s="41"/>
      <c r="AQ952" s="40"/>
    </row>
    <row r="953">
      <c r="A953" s="40"/>
      <c r="B953" s="42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1"/>
      <c r="AM953" s="40"/>
      <c r="AN953" s="40"/>
      <c r="AO953" s="41"/>
      <c r="AP953" s="41"/>
      <c r="AQ953" s="40"/>
    </row>
    <row r="954">
      <c r="A954" s="40"/>
      <c r="B954" s="42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1"/>
      <c r="AM954" s="40"/>
      <c r="AN954" s="40"/>
      <c r="AO954" s="41"/>
      <c r="AP954" s="41"/>
      <c r="AQ954" s="40"/>
    </row>
    <row r="955">
      <c r="A955" s="40"/>
      <c r="B955" s="42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1"/>
      <c r="AM955" s="40"/>
      <c r="AN955" s="40"/>
      <c r="AO955" s="41"/>
      <c r="AP955" s="41"/>
      <c r="AQ955" s="40"/>
    </row>
    <row r="956">
      <c r="A956" s="40"/>
      <c r="B956" s="42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1"/>
      <c r="AM956" s="40"/>
      <c r="AN956" s="40"/>
      <c r="AO956" s="41"/>
      <c r="AP956" s="41"/>
      <c r="AQ956" s="40"/>
    </row>
    <row r="957">
      <c r="A957" s="40"/>
      <c r="B957" s="42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1"/>
      <c r="AM957" s="40"/>
      <c r="AN957" s="40"/>
      <c r="AO957" s="41"/>
      <c r="AP957" s="41"/>
      <c r="AQ957" s="40"/>
    </row>
    <row r="958">
      <c r="A958" s="40"/>
      <c r="B958" s="42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1"/>
      <c r="AM958" s="40"/>
      <c r="AN958" s="40"/>
      <c r="AO958" s="41"/>
      <c r="AP958" s="41"/>
      <c r="AQ958" s="40"/>
    </row>
    <row r="959">
      <c r="A959" s="40"/>
      <c r="B959" s="42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1"/>
      <c r="AM959" s="40"/>
      <c r="AN959" s="40"/>
      <c r="AO959" s="41"/>
      <c r="AP959" s="41"/>
      <c r="AQ959" s="40"/>
    </row>
    <row r="960">
      <c r="A960" s="40"/>
      <c r="B960" s="42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1"/>
      <c r="AM960" s="40"/>
      <c r="AN960" s="40"/>
      <c r="AO960" s="41"/>
      <c r="AP960" s="41"/>
      <c r="AQ960" s="40"/>
    </row>
    <row r="961">
      <c r="A961" s="40"/>
      <c r="B961" s="42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1"/>
      <c r="AM961" s="40"/>
      <c r="AN961" s="40"/>
      <c r="AO961" s="41"/>
      <c r="AP961" s="41"/>
      <c r="AQ961" s="40"/>
    </row>
    <row r="962">
      <c r="A962" s="40"/>
      <c r="B962" s="42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1"/>
      <c r="AM962" s="40"/>
      <c r="AN962" s="40"/>
      <c r="AO962" s="41"/>
      <c r="AP962" s="41"/>
      <c r="AQ962" s="40"/>
    </row>
    <row r="963">
      <c r="A963" s="40"/>
      <c r="B963" s="42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1"/>
      <c r="AM963" s="40"/>
      <c r="AN963" s="40"/>
      <c r="AO963" s="41"/>
      <c r="AP963" s="41"/>
      <c r="AQ963" s="40"/>
    </row>
    <row r="964">
      <c r="A964" s="40"/>
      <c r="B964" s="42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1"/>
      <c r="AM964" s="40"/>
      <c r="AN964" s="40"/>
      <c r="AO964" s="41"/>
      <c r="AP964" s="41"/>
      <c r="AQ964" s="40"/>
    </row>
    <row r="965">
      <c r="A965" s="40"/>
      <c r="B965" s="42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1"/>
      <c r="AM965" s="40"/>
      <c r="AN965" s="40"/>
      <c r="AO965" s="41"/>
      <c r="AP965" s="41"/>
      <c r="AQ965" s="40"/>
    </row>
    <row r="966">
      <c r="A966" s="40"/>
      <c r="B966" s="42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1"/>
      <c r="AM966" s="40"/>
      <c r="AN966" s="40"/>
      <c r="AO966" s="41"/>
      <c r="AP966" s="41"/>
      <c r="AQ966" s="40"/>
    </row>
    <row r="967">
      <c r="A967" s="40"/>
      <c r="B967" s="42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1"/>
      <c r="AM967" s="40"/>
      <c r="AN967" s="40"/>
      <c r="AO967" s="41"/>
      <c r="AP967" s="41"/>
      <c r="AQ967" s="40"/>
    </row>
    <row r="968">
      <c r="A968" s="40"/>
      <c r="B968" s="42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1"/>
      <c r="AM968" s="40"/>
      <c r="AN968" s="40"/>
      <c r="AO968" s="41"/>
      <c r="AP968" s="41"/>
      <c r="AQ968" s="40"/>
    </row>
    <row r="969">
      <c r="A969" s="40"/>
      <c r="B969" s="42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1"/>
      <c r="AM969" s="40"/>
      <c r="AN969" s="40"/>
      <c r="AO969" s="41"/>
      <c r="AP969" s="41"/>
      <c r="AQ969" s="40"/>
    </row>
    <row r="970">
      <c r="A970" s="40"/>
      <c r="B970" s="42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1"/>
      <c r="AM970" s="40"/>
      <c r="AN970" s="40"/>
      <c r="AO970" s="41"/>
      <c r="AP970" s="41"/>
      <c r="AQ970" s="40"/>
    </row>
    <row r="971">
      <c r="A971" s="40"/>
      <c r="B971" s="42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1"/>
      <c r="AM971" s="40"/>
      <c r="AN971" s="40"/>
      <c r="AO971" s="41"/>
      <c r="AP971" s="41"/>
      <c r="AQ971" s="40"/>
    </row>
    <row r="972">
      <c r="A972" s="40"/>
      <c r="B972" s="42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1"/>
      <c r="AM972" s="40"/>
      <c r="AN972" s="40"/>
      <c r="AO972" s="41"/>
      <c r="AP972" s="41"/>
      <c r="AQ972" s="40"/>
    </row>
    <row r="973">
      <c r="A973" s="40"/>
      <c r="B973" s="42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1"/>
      <c r="AM973" s="40"/>
      <c r="AN973" s="40"/>
      <c r="AO973" s="41"/>
      <c r="AP973" s="41"/>
      <c r="AQ973" s="40"/>
    </row>
    <row r="974">
      <c r="A974" s="40"/>
      <c r="B974" s="42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1"/>
      <c r="AM974" s="40"/>
      <c r="AN974" s="40"/>
      <c r="AO974" s="41"/>
      <c r="AP974" s="41"/>
      <c r="AQ974" s="40"/>
    </row>
    <row r="975">
      <c r="A975" s="40"/>
      <c r="B975" s="42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1"/>
      <c r="AM975" s="40"/>
      <c r="AN975" s="40"/>
      <c r="AO975" s="41"/>
      <c r="AP975" s="41"/>
      <c r="AQ975" s="40"/>
    </row>
    <row r="976">
      <c r="A976" s="40"/>
      <c r="B976" s="42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1"/>
      <c r="AM976" s="40"/>
      <c r="AN976" s="40"/>
      <c r="AO976" s="41"/>
      <c r="AP976" s="41"/>
      <c r="AQ976" s="40"/>
    </row>
    <row r="977">
      <c r="A977" s="40"/>
      <c r="B977" s="42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1"/>
      <c r="AM977" s="40"/>
      <c r="AN977" s="40"/>
      <c r="AO977" s="41"/>
      <c r="AP977" s="41"/>
      <c r="AQ977" s="40"/>
    </row>
    <row r="978">
      <c r="A978" s="40"/>
      <c r="B978" s="42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1"/>
      <c r="AM978" s="40"/>
      <c r="AN978" s="40"/>
      <c r="AO978" s="41"/>
      <c r="AP978" s="41"/>
      <c r="AQ978" s="40"/>
    </row>
    <row r="979">
      <c r="A979" s="40"/>
      <c r="B979" s="42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1"/>
      <c r="AM979" s="40"/>
      <c r="AN979" s="40"/>
      <c r="AO979" s="41"/>
      <c r="AP979" s="41"/>
      <c r="AQ979" s="40"/>
    </row>
    <row r="980">
      <c r="A980" s="40"/>
      <c r="B980" s="42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1"/>
      <c r="AM980" s="40"/>
      <c r="AN980" s="40"/>
      <c r="AO980" s="41"/>
      <c r="AP980" s="41"/>
      <c r="AQ980" s="40"/>
    </row>
    <row r="981">
      <c r="A981" s="40"/>
      <c r="B981" s="42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1"/>
      <c r="AM981" s="40"/>
      <c r="AN981" s="40"/>
      <c r="AO981" s="41"/>
      <c r="AP981" s="41"/>
      <c r="AQ981" s="40"/>
    </row>
    <row r="982">
      <c r="A982" s="40"/>
      <c r="B982" s="42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1"/>
      <c r="AM982" s="40"/>
      <c r="AN982" s="40"/>
      <c r="AO982" s="41"/>
      <c r="AP982" s="41"/>
      <c r="AQ982" s="40"/>
    </row>
    <row r="983">
      <c r="A983" s="40"/>
      <c r="B983" s="42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1"/>
      <c r="AM983" s="40"/>
      <c r="AN983" s="40"/>
      <c r="AO983" s="41"/>
      <c r="AP983" s="41"/>
      <c r="AQ983" s="40"/>
    </row>
    <row r="984">
      <c r="A984" s="40"/>
      <c r="B984" s="42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1"/>
      <c r="AM984" s="40"/>
      <c r="AN984" s="40"/>
      <c r="AO984" s="41"/>
      <c r="AP984" s="41"/>
      <c r="AQ984" s="40"/>
    </row>
    <row r="985">
      <c r="A985" s="40"/>
      <c r="B985" s="42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1"/>
      <c r="AM985" s="40"/>
      <c r="AN985" s="40"/>
      <c r="AO985" s="41"/>
      <c r="AP985" s="41"/>
      <c r="AQ985" s="40"/>
    </row>
    <row r="986">
      <c r="A986" s="40"/>
      <c r="B986" s="42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1"/>
      <c r="AM986" s="40"/>
      <c r="AN986" s="40"/>
      <c r="AO986" s="41"/>
      <c r="AP986" s="41"/>
      <c r="AQ986" s="40"/>
    </row>
    <row r="987">
      <c r="A987" s="40"/>
      <c r="B987" s="42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1"/>
      <c r="AM987" s="40"/>
      <c r="AN987" s="40"/>
      <c r="AO987" s="41"/>
      <c r="AP987" s="41"/>
      <c r="AQ987" s="40"/>
    </row>
    <row r="988">
      <c r="A988" s="40"/>
      <c r="B988" s="42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1"/>
      <c r="AM988" s="40"/>
      <c r="AN988" s="40"/>
      <c r="AO988" s="41"/>
      <c r="AP988" s="41"/>
      <c r="AQ988" s="40"/>
    </row>
    <row r="989">
      <c r="A989" s="40"/>
      <c r="B989" s="42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1"/>
      <c r="AM989" s="40"/>
      <c r="AN989" s="40"/>
      <c r="AO989" s="41"/>
      <c r="AP989" s="41"/>
      <c r="AQ989" s="40"/>
    </row>
    <row r="990">
      <c r="A990" s="40"/>
      <c r="B990" s="42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1"/>
      <c r="AM990" s="40"/>
      <c r="AN990" s="40"/>
      <c r="AO990" s="41"/>
      <c r="AP990" s="41"/>
      <c r="AQ990" s="40"/>
    </row>
    <row r="991">
      <c r="A991" s="40"/>
      <c r="B991" s="42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1"/>
      <c r="AM991" s="40"/>
      <c r="AN991" s="40"/>
      <c r="AO991" s="41"/>
      <c r="AP991" s="41"/>
      <c r="AQ991" s="40"/>
    </row>
    <row r="992">
      <c r="A992" s="40"/>
      <c r="B992" s="42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1"/>
      <c r="AM992" s="40"/>
      <c r="AN992" s="40"/>
      <c r="AO992" s="41"/>
      <c r="AP992" s="41"/>
      <c r="AQ992" s="40"/>
    </row>
    <row r="993">
      <c r="A993" s="40"/>
      <c r="B993" s="42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1"/>
      <c r="AM993" s="40"/>
      <c r="AN993" s="40"/>
      <c r="AO993" s="41"/>
      <c r="AP993" s="41"/>
      <c r="AQ993" s="40"/>
    </row>
    <row r="994">
      <c r="A994" s="40"/>
      <c r="B994" s="42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1"/>
      <c r="AM994" s="40"/>
      <c r="AN994" s="40"/>
      <c r="AO994" s="41"/>
      <c r="AP994" s="41"/>
      <c r="AQ994" s="40"/>
    </row>
    <row r="995">
      <c r="A995" s="40"/>
      <c r="B995" s="42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1"/>
      <c r="AM995" s="40"/>
      <c r="AN995" s="40"/>
      <c r="AO995" s="41"/>
      <c r="AP995" s="41"/>
      <c r="AQ995" s="40"/>
    </row>
    <row r="996">
      <c r="B996" s="39"/>
      <c r="AL996" s="43"/>
      <c r="AO996" s="43"/>
      <c r="AP996" s="43"/>
    </row>
    <row r="997">
      <c r="B997" s="39"/>
      <c r="AL997" s="43"/>
      <c r="AO997" s="43"/>
      <c r="AP997" s="43"/>
    </row>
    <row r="998">
      <c r="B998" s="39"/>
      <c r="AL998" s="43"/>
      <c r="AO998" s="43"/>
      <c r="AP998" s="43"/>
    </row>
  </sheetData>
  <mergeCells count="3">
    <mergeCell ref="A2:A4"/>
    <mergeCell ref="B2:B4"/>
    <mergeCell ref="C2:AK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3.5"/>
    <col customWidth="1" min="2" max="2" width="10.13"/>
    <col customWidth="1" min="3" max="3" width="4.13"/>
    <col customWidth="1" min="4" max="5" width="3.0"/>
    <col customWidth="1" min="6" max="6" width="4.25"/>
    <col customWidth="1" min="7" max="8" width="3.0"/>
    <col customWidth="1" min="9" max="9" width="4.25"/>
    <col customWidth="1" min="10" max="18" width="3.0"/>
    <col customWidth="1" min="19" max="19" width="4.25"/>
    <col customWidth="1" min="20" max="37" width="3.0"/>
    <col customWidth="1" min="38" max="38" width="10.38"/>
    <col customWidth="1" min="39" max="39" width="12.63"/>
    <col customWidth="1" min="40" max="42" width="11.25"/>
  </cols>
  <sheetData>
    <row r="1">
      <c r="A1" s="11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7"/>
      <c r="AL1" s="1"/>
      <c r="AM1" s="1"/>
      <c r="AN1" s="1"/>
      <c r="AO1" s="1"/>
      <c r="AP1" s="1"/>
      <c r="AQ1" s="113">
        <v>45870.0</v>
      </c>
    </row>
    <row r="2">
      <c r="A2" s="4" t="s">
        <v>1</v>
      </c>
      <c r="B2" s="4" t="s">
        <v>2</v>
      </c>
      <c r="C2" s="5" t="str">
        <f>UPPER("HARI / BULAN : " &amp; TEXT(AQ1, "MMMM YYYY"))</f>
        <v>HARI / BULAN : AGUSTUS 2025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  <c r="AL2" s="9"/>
      <c r="AM2" s="9"/>
      <c r="AN2" s="9"/>
      <c r="AO2" s="9"/>
      <c r="AP2" s="9"/>
      <c r="AQ2" s="10"/>
    </row>
    <row r="3">
      <c r="A3" s="11"/>
      <c r="B3" s="11"/>
      <c r="C3" s="12" t="str">
        <f t="shared" ref="C3:AG3" si="1">TEXT(C4,"dddd")</f>
        <v>Jumat</v>
      </c>
      <c r="D3" s="12" t="str">
        <f t="shared" si="1"/>
        <v>Sabtu</v>
      </c>
      <c r="E3" s="12" t="str">
        <f t="shared" si="1"/>
        <v>Minggu</v>
      </c>
      <c r="F3" s="12" t="str">
        <f t="shared" si="1"/>
        <v>Senin</v>
      </c>
      <c r="G3" s="12" t="str">
        <f t="shared" si="1"/>
        <v>Selasa</v>
      </c>
      <c r="H3" s="12" t="str">
        <f t="shared" si="1"/>
        <v>Rabu</v>
      </c>
      <c r="I3" s="12" t="str">
        <f t="shared" si="1"/>
        <v>Kamis</v>
      </c>
      <c r="J3" s="12" t="str">
        <f t="shared" si="1"/>
        <v>Jumat</v>
      </c>
      <c r="K3" s="12" t="str">
        <f t="shared" si="1"/>
        <v>Sabtu</v>
      </c>
      <c r="L3" s="12" t="str">
        <f t="shared" si="1"/>
        <v>Minggu</v>
      </c>
      <c r="M3" s="12" t="str">
        <f t="shared" si="1"/>
        <v>Senin</v>
      </c>
      <c r="N3" s="12" t="str">
        <f t="shared" si="1"/>
        <v>Selasa</v>
      </c>
      <c r="O3" s="12" t="str">
        <f t="shared" si="1"/>
        <v>Rabu</v>
      </c>
      <c r="P3" s="12" t="str">
        <f t="shared" si="1"/>
        <v>Kamis</v>
      </c>
      <c r="Q3" s="12" t="str">
        <f t="shared" si="1"/>
        <v>Jumat</v>
      </c>
      <c r="R3" s="12" t="str">
        <f t="shared" si="1"/>
        <v>Sabtu</v>
      </c>
      <c r="S3" s="12" t="str">
        <f t="shared" si="1"/>
        <v>Minggu</v>
      </c>
      <c r="T3" s="12" t="str">
        <f t="shared" si="1"/>
        <v>Senin</v>
      </c>
      <c r="U3" s="12" t="str">
        <f t="shared" si="1"/>
        <v>Selasa</v>
      </c>
      <c r="V3" s="12" t="str">
        <f t="shared" si="1"/>
        <v>Rabu</v>
      </c>
      <c r="W3" s="12" t="str">
        <f t="shared" si="1"/>
        <v>Kamis</v>
      </c>
      <c r="X3" s="12" t="str">
        <f t="shared" si="1"/>
        <v>Jumat</v>
      </c>
      <c r="Y3" s="12" t="str">
        <f t="shared" si="1"/>
        <v>Sabtu</v>
      </c>
      <c r="Z3" s="12" t="str">
        <f t="shared" si="1"/>
        <v>Minggu</v>
      </c>
      <c r="AA3" s="12" t="str">
        <f t="shared" si="1"/>
        <v>Senin</v>
      </c>
      <c r="AB3" s="12" t="str">
        <f t="shared" si="1"/>
        <v>Selasa</v>
      </c>
      <c r="AC3" s="12" t="str">
        <f t="shared" si="1"/>
        <v>Rabu</v>
      </c>
      <c r="AD3" s="12" t="str">
        <f t="shared" si="1"/>
        <v>Kamis</v>
      </c>
      <c r="AE3" s="12" t="str">
        <f t="shared" si="1"/>
        <v>Jumat</v>
      </c>
      <c r="AF3" s="12" t="str">
        <f t="shared" si="1"/>
        <v>Sabtu</v>
      </c>
      <c r="AG3" s="12" t="str">
        <f t="shared" si="1"/>
        <v>Minggu</v>
      </c>
      <c r="AH3" s="13" t="s">
        <v>3</v>
      </c>
      <c r="AI3" s="13" t="s">
        <v>4</v>
      </c>
      <c r="AJ3" s="13" t="s">
        <v>5</v>
      </c>
      <c r="AK3" s="13" t="s">
        <v>6</v>
      </c>
      <c r="AL3" s="13" t="s">
        <v>7</v>
      </c>
      <c r="AM3" s="13" t="s">
        <v>8</v>
      </c>
      <c r="AN3" s="13" t="s">
        <v>9</v>
      </c>
      <c r="AO3" s="13" t="s">
        <v>10</v>
      </c>
      <c r="AP3" s="13" t="s">
        <v>509</v>
      </c>
      <c r="AQ3" s="10"/>
    </row>
    <row r="4">
      <c r="A4" s="15"/>
      <c r="B4" s="15"/>
      <c r="C4" s="16">
        <f>AQ1</f>
        <v>45870</v>
      </c>
      <c r="D4" s="16">
        <f t="shared" ref="D4:AG4" si="2">IF(AND(MONTH(C4+1) = MONTH(C4), C4&lt;&gt;""),C4  + 1, "")</f>
        <v>45871</v>
      </c>
      <c r="E4" s="16">
        <f t="shared" si="2"/>
        <v>45872</v>
      </c>
      <c r="F4" s="16">
        <f t="shared" si="2"/>
        <v>45873</v>
      </c>
      <c r="G4" s="16">
        <f t="shared" si="2"/>
        <v>45874</v>
      </c>
      <c r="H4" s="16">
        <f t="shared" si="2"/>
        <v>45875</v>
      </c>
      <c r="I4" s="16">
        <f t="shared" si="2"/>
        <v>45876</v>
      </c>
      <c r="J4" s="16">
        <f t="shared" si="2"/>
        <v>45877</v>
      </c>
      <c r="K4" s="16">
        <f t="shared" si="2"/>
        <v>45878</v>
      </c>
      <c r="L4" s="16">
        <f t="shared" si="2"/>
        <v>45879</v>
      </c>
      <c r="M4" s="16">
        <f t="shared" si="2"/>
        <v>45880</v>
      </c>
      <c r="N4" s="16">
        <f t="shared" si="2"/>
        <v>45881</v>
      </c>
      <c r="O4" s="16">
        <f t="shared" si="2"/>
        <v>45882</v>
      </c>
      <c r="P4" s="16">
        <f t="shared" si="2"/>
        <v>45883</v>
      </c>
      <c r="Q4" s="16">
        <f t="shared" si="2"/>
        <v>45884</v>
      </c>
      <c r="R4" s="16">
        <f t="shared" si="2"/>
        <v>45885</v>
      </c>
      <c r="S4" s="16">
        <f t="shared" si="2"/>
        <v>45886</v>
      </c>
      <c r="T4" s="16">
        <f t="shared" si="2"/>
        <v>45887</v>
      </c>
      <c r="U4" s="16">
        <f t="shared" si="2"/>
        <v>45888</v>
      </c>
      <c r="V4" s="16">
        <f t="shared" si="2"/>
        <v>45889</v>
      </c>
      <c r="W4" s="16">
        <f t="shared" si="2"/>
        <v>45890</v>
      </c>
      <c r="X4" s="16">
        <f t="shared" si="2"/>
        <v>45891</v>
      </c>
      <c r="Y4" s="16">
        <f t="shared" si="2"/>
        <v>45892</v>
      </c>
      <c r="Z4" s="16">
        <f t="shared" si="2"/>
        <v>45893</v>
      </c>
      <c r="AA4" s="16">
        <f t="shared" si="2"/>
        <v>45894</v>
      </c>
      <c r="AB4" s="16">
        <f t="shared" si="2"/>
        <v>45895</v>
      </c>
      <c r="AC4" s="16">
        <f t="shared" si="2"/>
        <v>45896</v>
      </c>
      <c r="AD4" s="16">
        <f t="shared" si="2"/>
        <v>45897</v>
      </c>
      <c r="AE4" s="16">
        <f t="shared" si="2"/>
        <v>45898</v>
      </c>
      <c r="AF4" s="16">
        <f t="shared" si="2"/>
        <v>45899</v>
      </c>
      <c r="AG4" s="16">
        <f t="shared" si="2"/>
        <v>45900</v>
      </c>
      <c r="AH4" s="17"/>
      <c r="AI4" s="17"/>
      <c r="AJ4" s="18"/>
      <c r="AK4" s="18"/>
      <c r="AL4" s="18"/>
      <c r="AM4" s="18"/>
      <c r="AN4" s="18"/>
      <c r="AO4" s="18"/>
      <c r="AP4" s="18"/>
      <c r="AQ4" s="10"/>
    </row>
    <row r="5">
      <c r="A5" s="20" t="str">
        <f>'MASTER STOCK'!F2</f>
        <v>Fitting Gantung</v>
      </c>
      <c r="B5" s="21">
        <f>'JULI 25'!AJ5:AJ362</f>
        <v>12</v>
      </c>
      <c r="C5" s="22"/>
      <c r="D5" s="2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23">
        <f t="shared" ref="AH5:AH377" si="3">SUM(C5:AG5)</f>
        <v>0</v>
      </c>
      <c r="AI5" s="24">
        <f t="shared" ref="AI5:AI377" si="4">B5-sum(C5:AG5)</f>
        <v>12</v>
      </c>
      <c r="AJ5" s="23">
        <f t="shared" ref="AJ5:AJ377" si="5">B5-AH5</f>
        <v>12</v>
      </c>
      <c r="AK5" s="23">
        <f t="shared" ref="AK5:AK377" si="6">AJ5-AI5</f>
        <v>0</v>
      </c>
      <c r="AL5" s="114">
        <f>'MASTER STOCK'!I2</f>
        <v>1400</v>
      </c>
      <c r="AM5" s="26">
        <f>'MASTER STOCK'!L2</f>
        <v>1820</v>
      </c>
      <c r="AN5" s="26">
        <f t="shared" ref="AN5:AN377" si="7">AH5*AM5</f>
        <v>0</v>
      </c>
      <c r="AO5" s="26">
        <f t="shared" ref="AO5:AO377" si="8">AN5-(AH5*AL5)</f>
        <v>0</v>
      </c>
      <c r="AP5" s="114">
        <f t="shared" ref="AP5:AP377" si="9">AH5*AL5</f>
        <v>0</v>
      </c>
      <c r="AQ5" s="10"/>
    </row>
    <row r="6">
      <c r="A6" s="20" t="str">
        <f>'MASTER STOCK'!F3</f>
        <v>Colokan T </v>
      </c>
      <c r="B6" s="21">
        <f>'JULI 25'!AJ6:AJ363</f>
        <v>12</v>
      </c>
      <c r="C6" s="22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23">
        <f t="shared" si="3"/>
        <v>0</v>
      </c>
      <c r="AI6" s="24">
        <f t="shared" si="4"/>
        <v>12</v>
      </c>
      <c r="AJ6" s="23">
        <f t="shared" si="5"/>
        <v>12</v>
      </c>
      <c r="AK6" s="23">
        <f t="shared" si="6"/>
        <v>0</v>
      </c>
      <c r="AL6" s="114">
        <f>'MASTER STOCK'!I3</f>
        <v>3000</v>
      </c>
      <c r="AM6" s="26">
        <f>'MASTER STOCK'!L3</f>
        <v>3900</v>
      </c>
      <c r="AN6" s="26">
        <f t="shared" si="7"/>
        <v>0</v>
      </c>
      <c r="AO6" s="26">
        <f t="shared" si="8"/>
        <v>0</v>
      </c>
      <c r="AP6" s="114">
        <f t="shared" si="9"/>
        <v>0</v>
      </c>
      <c r="AQ6" s="10"/>
    </row>
    <row r="7">
      <c r="A7" s="20" t="str">
        <f>'MASTER STOCK'!F4</f>
        <v>Steker Bulat</v>
      </c>
      <c r="B7" s="21">
        <f>'JULI 25'!AJ7:AJ364</f>
        <v>12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23">
        <f t="shared" si="3"/>
        <v>0</v>
      </c>
      <c r="AI7" s="24">
        <f t="shared" si="4"/>
        <v>12</v>
      </c>
      <c r="AJ7" s="23">
        <f t="shared" si="5"/>
        <v>12</v>
      </c>
      <c r="AK7" s="23">
        <f t="shared" si="6"/>
        <v>0</v>
      </c>
      <c r="AL7" s="114">
        <f>'MASTER STOCK'!I4</f>
        <v>3000</v>
      </c>
      <c r="AM7" s="26">
        <f>'MASTER STOCK'!L4</f>
        <v>6000</v>
      </c>
      <c r="AN7" s="26">
        <f t="shared" si="7"/>
        <v>0</v>
      </c>
      <c r="AO7" s="26">
        <f t="shared" si="8"/>
        <v>0</v>
      </c>
      <c r="AP7" s="114">
        <f t="shared" si="9"/>
        <v>0</v>
      </c>
      <c r="AQ7" s="10"/>
    </row>
    <row r="8">
      <c r="A8" s="20" t="str">
        <f>'MASTER STOCK'!F5</f>
        <v>Steker Gepeng</v>
      </c>
      <c r="B8" s="21">
        <f>'JULI 25'!AJ8:AJ365</f>
        <v>12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23">
        <f t="shared" si="3"/>
        <v>0</v>
      </c>
      <c r="AI8" s="24">
        <f t="shared" si="4"/>
        <v>12</v>
      </c>
      <c r="AJ8" s="23">
        <f t="shared" si="5"/>
        <v>12</v>
      </c>
      <c r="AK8" s="23">
        <f t="shared" si="6"/>
        <v>0</v>
      </c>
      <c r="AL8" s="114">
        <f>'MASTER STOCK'!I5</f>
        <v>1100</v>
      </c>
      <c r="AM8" s="26">
        <f>'MASTER STOCK'!L5</f>
        <v>1430</v>
      </c>
      <c r="AN8" s="26">
        <f t="shared" si="7"/>
        <v>0</v>
      </c>
      <c r="AO8" s="26">
        <f t="shared" si="8"/>
        <v>0</v>
      </c>
      <c r="AP8" s="114">
        <f t="shared" si="9"/>
        <v>0</v>
      </c>
      <c r="AQ8" s="10"/>
    </row>
    <row r="9">
      <c r="A9" s="20" t="str">
        <f>'MASTER STOCK'!F6</f>
        <v>Saklar Gantung Putih jumbo</v>
      </c>
      <c r="B9" s="21">
        <f>'JULI 25'!AJ9:AJ366</f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23">
        <f t="shared" si="3"/>
        <v>0</v>
      </c>
      <c r="AI9" s="24">
        <f t="shared" si="4"/>
        <v>12</v>
      </c>
      <c r="AJ9" s="23">
        <f t="shared" si="5"/>
        <v>12</v>
      </c>
      <c r="AK9" s="23">
        <f t="shared" si="6"/>
        <v>0</v>
      </c>
      <c r="AL9" s="114">
        <f>'MASTER STOCK'!I6</f>
        <v>2250</v>
      </c>
      <c r="AM9" s="26">
        <f>'MASTER STOCK'!L6</f>
        <v>4000</v>
      </c>
      <c r="AN9" s="26">
        <f t="shared" si="7"/>
        <v>0</v>
      </c>
      <c r="AO9" s="26">
        <f t="shared" si="8"/>
        <v>0</v>
      </c>
      <c r="AP9" s="114">
        <f t="shared" si="9"/>
        <v>0</v>
      </c>
      <c r="AQ9" s="10"/>
    </row>
    <row r="10">
      <c r="A10" s="20" t="str">
        <f>'MASTER STOCK'!F7</f>
        <v>Saklar Gantung Hitam</v>
      </c>
      <c r="B10" s="21">
        <f>'JULI 25'!AJ10:AJ367</f>
        <v>12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23">
        <f t="shared" si="3"/>
        <v>0</v>
      </c>
      <c r="AI10" s="24">
        <f t="shared" si="4"/>
        <v>12</v>
      </c>
      <c r="AJ10" s="23">
        <f t="shared" si="5"/>
        <v>12</v>
      </c>
      <c r="AK10" s="23">
        <f t="shared" si="6"/>
        <v>0</v>
      </c>
      <c r="AL10" s="114">
        <f>'MASTER STOCK'!I7</f>
        <v>1850</v>
      </c>
      <c r="AM10" s="26">
        <f>'MASTER STOCK'!L7</f>
        <v>4000</v>
      </c>
      <c r="AN10" s="26">
        <f t="shared" si="7"/>
        <v>0</v>
      </c>
      <c r="AO10" s="26">
        <f t="shared" si="8"/>
        <v>0</v>
      </c>
      <c r="AP10" s="114">
        <f t="shared" si="9"/>
        <v>0</v>
      </c>
      <c r="AQ10" s="10"/>
    </row>
    <row r="11">
      <c r="A11" s="20" t="str">
        <f>'MASTER STOCK'!F8</f>
        <v>Isolasi Hitam National</v>
      </c>
      <c r="B11" s="21">
        <f>'JULI 25'!AJ11:AJ368</f>
        <v>20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23">
        <f t="shared" si="3"/>
        <v>0</v>
      </c>
      <c r="AI11" s="24">
        <f t="shared" si="4"/>
        <v>20</v>
      </c>
      <c r="AJ11" s="23">
        <f t="shared" si="5"/>
        <v>20</v>
      </c>
      <c r="AK11" s="23">
        <f t="shared" si="6"/>
        <v>0</v>
      </c>
      <c r="AL11" s="114">
        <f>'MASTER STOCK'!I8</f>
        <v>5150</v>
      </c>
      <c r="AM11" s="26">
        <f>'MASTER STOCK'!L8</f>
        <v>7982.5</v>
      </c>
      <c r="AN11" s="26">
        <f t="shared" si="7"/>
        <v>0</v>
      </c>
      <c r="AO11" s="26">
        <f t="shared" si="8"/>
        <v>0</v>
      </c>
      <c r="AP11" s="114">
        <f t="shared" si="9"/>
        <v>0</v>
      </c>
      <c r="AQ11" s="10"/>
    </row>
    <row r="12">
      <c r="A12" s="20" t="str">
        <f>'MASTER STOCK'!F9</f>
        <v>Lem PVC Isarplas 40gram</v>
      </c>
      <c r="B12" s="21">
        <f>'JULI 25'!AJ12:AJ369</f>
        <v>24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22">
        <v>1.0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23">
        <f t="shared" si="3"/>
        <v>1</v>
      </c>
      <c r="AI12" s="24">
        <f t="shared" si="4"/>
        <v>23</v>
      </c>
      <c r="AJ12" s="23">
        <f t="shared" si="5"/>
        <v>23</v>
      </c>
      <c r="AK12" s="23">
        <f t="shared" si="6"/>
        <v>0</v>
      </c>
      <c r="AL12" s="114">
        <f>'MASTER STOCK'!I9</f>
        <v>6900</v>
      </c>
      <c r="AM12" s="26">
        <f>'MASTER STOCK'!L9</f>
        <v>9500</v>
      </c>
      <c r="AN12" s="26">
        <f t="shared" si="7"/>
        <v>9500</v>
      </c>
      <c r="AO12" s="26">
        <f t="shared" si="8"/>
        <v>2600</v>
      </c>
      <c r="AP12" s="114">
        <f t="shared" si="9"/>
        <v>6900</v>
      </c>
      <c r="AQ12" s="10"/>
    </row>
    <row r="13">
      <c r="A13" s="20" t="str">
        <f>'MASTER STOCK'!F10</f>
        <v>Isolasi Kran air onda </v>
      </c>
      <c r="B13" s="21">
        <f>'JULI 25'!AJ13:AJ370</f>
        <v>60</v>
      </c>
      <c r="C13" s="23"/>
      <c r="D13" s="23"/>
      <c r="E13" s="23"/>
      <c r="F13" s="2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23">
        <f t="shared" si="3"/>
        <v>0</v>
      </c>
      <c r="AI13" s="24">
        <f t="shared" si="4"/>
        <v>60</v>
      </c>
      <c r="AJ13" s="23">
        <f t="shared" si="5"/>
        <v>60</v>
      </c>
      <c r="AK13" s="23">
        <f t="shared" si="6"/>
        <v>0</v>
      </c>
      <c r="AL13" s="114">
        <f>'MASTER STOCK'!I10</f>
        <v>1150</v>
      </c>
      <c r="AM13" s="26">
        <f>'MASTER STOCK'!L10</f>
        <v>1495</v>
      </c>
      <c r="AN13" s="26">
        <f t="shared" si="7"/>
        <v>0</v>
      </c>
      <c r="AO13" s="26">
        <f t="shared" si="8"/>
        <v>0</v>
      </c>
      <c r="AP13" s="114">
        <f t="shared" si="9"/>
        <v>0</v>
      </c>
      <c r="AQ13" s="10"/>
    </row>
    <row r="14">
      <c r="A14" s="20" t="str">
        <f>'MASTER STOCK'!F11</f>
        <v>Tutup Pipa 3/4"</v>
      </c>
      <c r="B14" s="21">
        <f>'JULI 25'!AJ14:AJ371</f>
        <v>50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23">
        <f t="shared" si="3"/>
        <v>0</v>
      </c>
      <c r="AI14" s="24">
        <f t="shared" si="4"/>
        <v>50</v>
      </c>
      <c r="AJ14" s="23">
        <f t="shared" si="5"/>
        <v>50</v>
      </c>
      <c r="AK14" s="23">
        <f t="shared" si="6"/>
        <v>0</v>
      </c>
      <c r="AL14" s="114">
        <f>'MASTER STOCK'!I11</f>
        <v>850</v>
      </c>
      <c r="AM14" s="26">
        <f>'MASTER STOCK'!L11</f>
        <v>1275</v>
      </c>
      <c r="AN14" s="26">
        <f t="shared" si="7"/>
        <v>0</v>
      </c>
      <c r="AO14" s="26">
        <f t="shared" si="8"/>
        <v>0</v>
      </c>
      <c r="AP14" s="114">
        <f t="shared" si="9"/>
        <v>0</v>
      </c>
      <c r="AQ14" s="10"/>
    </row>
    <row r="15">
      <c r="A15" s="20" t="str">
        <f>'MASTER STOCK'!F12</f>
        <v>Fitting lampu gantung outdoor (10 m 5 fitting)</v>
      </c>
      <c r="B15" s="21">
        <f>'JULI 25'!AJ15:AJ372</f>
        <v>1</v>
      </c>
      <c r="C15" s="28"/>
      <c r="D15" s="28"/>
      <c r="E15" s="28"/>
      <c r="F15" s="28"/>
      <c r="G15" s="10"/>
      <c r="H15" s="10"/>
      <c r="I15" s="2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23">
        <f t="shared" si="3"/>
        <v>0</v>
      </c>
      <c r="AI15" s="24">
        <f t="shared" si="4"/>
        <v>1</v>
      </c>
      <c r="AJ15" s="23">
        <f t="shared" si="5"/>
        <v>1</v>
      </c>
      <c r="AK15" s="23">
        <f t="shared" si="6"/>
        <v>0</v>
      </c>
      <c r="AL15" s="114">
        <f>'MASTER STOCK'!I12</f>
        <v>38000</v>
      </c>
      <c r="AM15" s="26">
        <f>'MASTER STOCK'!L12</f>
        <v>49400</v>
      </c>
      <c r="AN15" s="26">
        <f t="shared" si="7"/>
        <v>0</v>
      </c>
      <c r="AO15" s="26">
        <f t="shared" si="8"/>
        <v>0</v>
      </c>
      <c r="AP15" s="114">
        <f t="shared" si="9"/>
        <v>0</v>
      </c>
      <c r="AQ15" s="10"/>
    </row>
    <row r="16">
      <c r="A16" s="20" t="str">
        <f>'MASTER STOCK'!F13</f>
        <v>Obeng karet 4" plus</v>
      </c>
      <c r="B16" s="21">
        <f>'JULI 25'!AJ16:AJ373</f>
        <v>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23">
        <f t="shared" si="3"/>
        <v>0</v>
      </c>
      <c r="AI16" s="24">
        <f t="shared" si="4"/>
        <v>5</v>
      </c>
      <c r="AJ16" s="23">
        <f t="shared" si="5"/>
        <v>5</v>
      </c>
      <c r="AK16" s="23">
        <f t="shared" si="6"/>
        <v>0</v>
      </c>
      <c r="AL16" s="114">
        <f>'MASTER STOCK'!I13</f>
        <v>5500</v>
      </c>
      <c r="AM16" s="26">
        <f>'MASTER STOCK'!L13</f>
        <v>7150</v>
      </c>
      <c r="AN16" s="26">
        <f t="shared" si="7"/>
        <v>0</v>
      </c>
      <c r="AO16" s="26">
        <f t="shared" si="8"/>
        <v>0</v>
      </c>
      <c r="AP16" s="114">
        <f t="shared" si="9"/>
        <v>0</v>
      </c>
      <c r="AQ16" s="10"/>
    </row>
    <row r="17">
      <c r="A17" s="20" t="str">
        <f>'MASTER STOCK'!F14</f>
        <v>Obeng karet 4" minus</v>
      </c>
      <c r="B17" s="21">
        <f>'JULI 25'!AJ17:AJ374</f>
        <v>4</v>
      </c>
      <c r="C17" s="28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22"/>
      <c r="T17" s="22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23">
        <f t="shared" si="3"/>
        <v>0</v>
      </c>
      <c r="AI17" s="24">
        <f t="shared" si="4"/>
        <v>4</v>
      </c>
      <c r="AJ17" s="23">
        <f t="shared" si="5"/>
        <v>4</v>
      </c>
      <c r="AK17" s="23">
        <f t="shared" si="6"/>
        <v>0</v>
      </c>
      <c r="AL17" s="114">
        <f>'MASTER STOCK'!I14</f>
        <v>5500</v>
      </c>
      <c r="AM17" s="26">
        <f>'MASTER STOCK'!L14</f>
        <v>7150</v>
      </c>
      <c r="AN17" s="26">
        <f t="shared" si="7"/>
        <v>0</v>
      </c>
      <c r="AO17" s="26">
        <f t="shared" si="8"/>
        <v>0</v>
      </c>
      <c r="AP17" s="114">
        <f t="shared" si="9"/>
        <v>0</v>
      </c>
      <c r="AQ17" s="10"/>
    </row>
    <row r="18">
      <c r="A18" s="20" t="str">
        <f>'MASTER STOCK'!F15</f>
        <v>Obeng karet 6" plus</v>
      </c>
      <c r="B18" s="21">
        <f>'JULI 25'!AJ18:AJ375</f>
        <v>5</v>
      </c>
      <c r="C18" s="28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23">
        <f t="shared" si="3"/>
        <v>0</v>
      </c>
      <c r="AI18" s="24">
        <f t="shared" si="4"/>
        <v>5</v>
      </c>
      <c r="AJ18" s="23">
        <f t="shared" si="5"/>
        <v>5</v>
      </c>
      <c r="AK18" s="23">
        <f t="shared" si="6"/>
        <v>0</v>
      </c>
      <c r="AL18" s="114">
        <f>'MASTER STOCK'!I15</f>
        <v>7000</v>
      </c>
      <c r="AM18" s="26">
        <f>'MASTER STOCK'!L15</f>
        <v>9100</v>
      </c>
      <c r="AN18" s="26">
        <f t="shared" si="7"/>
        <v>0</v>
      </c>
      <c r="AO18" s="26">
        <f t="shared" si="8"/>
        <v>0</v>
      </c>
      <c r="AP18" s="114">
        <f t="shared" si="9"/>
        <v>0</v>
      </c>
      <c r="AQ18" s="10"/>
    </row>
    <row r="19">
      <c r="A19" s="20" t="str">
        <f>'MASTER STOCK'!F16</f>
        <v>Obeng karet 6" Minus</v>
      </c>
      <c r="B19" s="21">
        <f>'JULI 25'!AJ19:AJ376</f>
        <v>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22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23">
        <f t="shared" si="3"/>
        <v>0</v>
      </c>
      <c r="AI19" s="24">
        <f t="shared" si="4"/>
        <v>5</v>
      </c>
      <c r="AJ19" s="23">
        <f t="shared" si="5"/>
        <v>5</v>
      </c>
      <c r="AK19" s="23">
        <f t="shared" si="6"/>
        <v>0</v>
      </c>
      <c r="AL19" s="114">
        <f>'MASTER STOCK'!I16</f>
        <v>7000</v>
      </c>
      <c r="AM19" s="26">
        <f>'MASTER STOCK'!L16</f>
        <v>9100</v>
      </c>
      <c r="AN19" s="26">
        <f t="shared" si="7"/>
        <v>0</v>
      </c>
      <c r="AO19" s="26">
        <f t="shared" si="8"/>
        <v>0</v>
      </c>
      <c r="AP19" s="114">
        <f t="shared" si="9"/>
        <v>0</v>
      </c>
      <c r="AQ19" s="10"/>
    </row>
    <row r="20">
      <c r="A20" s="20" t="str">
        <f>'MASTER STOCK'!F17</f>
        <v>Kabel Awg 24 Double 2x18 merah hitam</v>
      </c>
      <c r="B20" s="21">
        <f>'JULI 25'!AJ20:AJ377</f>
        <v>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23">
        <f t="shared" si="3"/>
        <v>0</v>
      </c>
      <c r="AI20" s="24">
        <f t="shared" si="4"/>
        <v>2</v>
      </c>
      <c r="AJ20" s="23">
        <f t="shared" si="5"/>
        <v>2</v>
      </c>
      <c r="AK20" s="23">
        <f t="shared" si="6"/>
        <v>0</v>
      </c>
      <c r="AL20" s="114">
        <f>'MASTER STOCK'!I17</f>
        <v>106500</v>
      </c>
      <c r="AM20" s="26">
        <f>'MASTER STOCK'!L17</f>
        <v>181050</v>
      </c>
      <c r="AN20" s="26">
        <f t="shared" si="7"/>
        <v>0</v>
      </c>
      <c r="AO20" s="26">
        <f t="shared" si="8"/>
        <v>0</v>
      </c>
      <c r="AP20" s="114">
        <f t="shared" si="9"/>
        <v>0</v>
      </c>
      <c r="AQ20" s="10"/>
    </row>
    <row r="21">
      <c r="A21" s="20" t="str">
        <f>'MASTER STOCK'!F18</f>
        <v>Kabel bintik serabut tembaga motor mobil 20mx0.5mm/0,85mm merah 0,5mm</v>
      </c>
      <c r="B21" s="21">
        <f>'JULI 25'!AJ21:AJ378</f>
        <v>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23">
        <f t="shared" si="3"/>
        <v>0</v>
      </c>
      <c r="AI21" s="24">
        <f t="shared" si="4"/>
        <v>2</v>
      </c>
      <c r="AJ21" s="23">
        <f t="shared" si="5"/>
        <v>2</v>
      </c>
      <c r="AK21" s="23">
        <f t="shared" si="6"/>
        <v>0</v>
      </c>
      <c r="AL21" s="114">
        <f>'MASTER STOCK'!I18</f>
        <v>33700</v>
      </c>
      <c r="AM21" s="26">
        <f>'MASTER STOCK'!L18</f>
        <v>57290</v>
      </c>
      <c r="AN21" s="26">
        <f t="shared" si="7"/>
        <v>0</v>
      </c>
      <c r="AO21" s="26">
        <f t="shared" si="8"/>
        <v>0</v>
      </c>
      <c r="AP21" s="114">
        <f t="shared" si="9"/>
        <v>0</v>
      </c>
      <c r="AQ21" s="10"/>
    </row>
    <row r="22">
      <c r="A22" s="20" t="str">
        <f>'MASTER STOCK'!F19</f>
        <v>Kabel bintik serabut tembaga motor mobil 20mx0.5mm/0,85mm hitam 0,5mm</v>
      </c>
      <c r="B22" s="21">
        <f>'JULI 25'!AJ22:AJ379</f>
        <v>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23">
        <f t="shared" si="3"/>
        <v>0</v>
      </c>
      <c r="AI22" s="24">
        <f t="shared" si="4"/>
        <v>2</v>
      </c>
      <c r="AJ22" s="23">
        <f t="shared" si="5"/>
        <v>2</v>
      </c>
      <c r="AK22" s="23">
        <f t="shared" si="6"/>
        <v>0</v>
      </c>
      <c r="AL22" s="114">
        <f>'MASTER STOCK'!I19</f>
        <v>33700</v>
      </c>
      <c r="AM22" s="26">
        <f>'MASTER STOCK'!L19</f>
        <v>57290</v>
      </c>
      <c r="AN22" s="26">
        <f t="shared" si="7"/>
        <v>0</v>
      </c>
      <c r="AO22" s="26">
        <f t="shared" si="8"/>
        <v>0</v>
      </c>
      <c r="AP22" s="114">
        <f t="shared" si="9"/>
        <v>0</v>
      </c>
      <c r="AQ22" s="10"/>
    </row>
    <row r="23">
      <c r="A23" s="20" t="str">
        <f>'MASTER STOCK'!F20</f>
        <v>Mata Gerinda keramik 4 inch kering</v>
      </c>
      <c r="B23" s="21">
        <f>'JULI 25'!AJ23:AJ380</f>
        <v>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23">
        <f t="shared" si="3"/>
        <v>0</v>
      </c>
      <c r="AI23" s="24">
        <f t="shared" si="4"/>
        <v>5</v>
      </c>
      <c r="AJ23" s="23">
        <f t="shared" si="5"/>
        <v>5</v>
      </c>
      <c r="AK23" s="23">
        <f t="shared" si="6"/>
        <v>0</v>
      </c>
      <c r="AL23" s="114">
        <f>'MASTER STOCK'!I20</f>
        <v>12000</v>
      </c>
      <c r="AM23" s="26">
        <f>'MASTER STOCK'!L20</f>
        <v>18000</v>
      </c>
      <c r="AN23" s="26">
        <f t="shared" si="7"/>
        <v>0</v>
      </c>
      <c r="AO23" s="26">
        <f t="shared" si="8"/>
        <v>0</v>
      </c>
      <c r="AP23" s="114">
        <f t="shared" si="9"/>
        <v>0</v>
      </c>
      <c r="AQ23" s="10"/>
    </row>
    <row r="24">
      <c r="A24" s="20" t="str">
        <f>'MASTER STOCK'!F21</f>
        <v>Kabel tunggal serabut 0.8mmx25m biru 25m</v>
      </c>
      <c r="B24" s="21">
        <f>'JULI 25'!AJ24:AJ381</f>
        <v>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23">
        <f t="shared" si="3"/>
        <v>0</v>
      </c>
      <c r="AI24" s="24">
        <f t="shared" si="4"/>
        <v>1</v>
      </c>
      <c r="AJ24" s="23">
        <f t="shared" si="5"/>
        <v>1</v>
      </c>
      <c r="AK24" s="23">
        <f t="shared" si="6"/>
        <v>0</v>
      </c>
      <c r="AL24" s="114">
        <f>'MASTER STOCK'!I21</f>
        <v>17500</v>
      </c>
      <c r="AM24" s="26">
        <f>'MASTER STOCK'!L21</f>
        <v>29750</v>
      </c>
      <c r="AN24" s="26">
        <f t="shared" si="7"/>
        <v>0</v>
      </c>
      <c r="AO24" s="26">
        <f t="shared" si="8"/>
        <v>0</v>
      </c>
      <c r="AP24" s="114">
        <f t="shared" si="9"/>
        <v>0</v>
      </c>
      <c r="AQ24" s="10"/>
    </row>
    <row r="25">
      <c r="A25" s="20" t="str">
        <f>'MASTER STOCK'!F22</f>
        <v>Kabel tunggal serabut 0.8mmx25m Hitam 25m</v>
      </c>
      <c r="B25" s="21">
        <f>'JULI 25'!AJ25:AJ382</f>
        <v>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23">
        <f t="shared" si="3"/>
        <v>0</v>
      </c>
      <c r="AI25" s="24">
        <f t="shared" si="4"/>
        <v>1</v>
      </c>
      <c r="AJ25" s="23">
        <f t="shared" si="5"/>
        <v>1</v>
      </c>
      <c r="AK25" s="23">
        <f t="shared" si="6"/>
        <v>0</v>
      </c>
      <c r="AL25" s="114">
        <f>'MASTER STOCK'!I22</f>
        <v>17500</v>
      </c>
      <c r="AM25" s="26">
        <f>'MASTER STOCK'!L22</f>
        <v>29750</v>
      </c>
      <c r="AN25" s="26">
        <f t="shared" si="7"/>
        <v>0</v>
      </c>
      <c r="AO25" s="26">
        <f t="shared" si="8"/>
        <v>0</v>
      </c>
      <c r="AP25" s="114">
        <f t="shared" si="9"/>
        <v>0</v>
      </c>
      <c r="AQ25" s="10"/>
    </row>
    <row r="26">
      <c r="A26" s="20" t="str">
        <f>'MASTER STOCK'!F23</f>
        <v>Lampu Hias LED strip USB 10m+adaptor </v>
      </c>
      <c r="B26" s="21">
        <f>'JULI 25'!AJ26:AJ383</f>
        <v>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23">
        <f t="shared" si="3"/>
        <v>0</v>
      </c>
      <c r="AI26" s="24">
        <f t="shared" si="4"/>
        <v>2</v>
      </c>
      <c r="AJ26" s="23">
        <f t="shared" si="5"/>
        <v>2</v>
      </c>
      <c r="AK26" s="23">
        <f t="shared" si="6"/>
        <v>0</v>
      </c>
      <c r="AL26" s="114">
        <f>'MASTER STOCK'!I23</f>
        <v>50000</v>
      </c>
      <c r="AM26" s="26">
        <f>'MASTER STOCK'!L23</f>
        <v>65000</v>
      </c>
      <c r="AN26" s="26">
        <f t="shared" si="7"/>
        <v>0</v>
      </c>
      <c r="AO26" s="26">
        <f t="shared" si="8"/>
        <v>0</v>
      </c>
      <c r="AP26" s="114">
        <f t="shared" si="9"/>
        <v>0</v>
      </c>
      <c r="AQ26" s="10"/>
    </row>
    <row r="27">
      <c r="A27" s="20" t="str">
        <f>'MASTER STOCK'!F24</f>
        <v>Lampu LED strip outdoor rainbow 10m +adaptor</v>
      </c>
      <c r="B27" s="21">
        <f>'JULI 25'!AJ27:AJ384</f>
        <v>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23">
        <f t="shared" si="3"/>
        <v>0</v>
      </c>
      <c r="AI27" s="24">
        <f t="shared" si="4"/>
        <v>5</v>
      </c>
      <c r="AJ27" s="23">
        <f t="shared" si="5"/>
        <v>5</v>
      </c>
      <c r="AK27" s="23">
        <f t="shared" si="6"/>
        <v>0</v>
      </c>
      <c r="AL27" s="114">
        <f>'MASTER STOCK'!I24</f>
        <v>27000</v>
      </c>
      <c r="AM27" s="26">
        <f>'MASTER STOCK'!L24</f>
        <v>35100</v>
      </c>
      <c r="AN27" s="26">
        <f t="shared" si="7"/>
        <v>0</v>
      </c>
      <c r="AO27" s="26">
        <f t="shared" si="8"/>
        <v>0</v>
      </c>
      <c r="AP27" s="114">
        <f t="shared" si="9"/>
        <v>0</v>
      </c>
      <c r="AQ27" s="10"/>
    </row>
    <row r="28">
      <c r="A28" s="20" t="str">
        <f>'MASTER STOCK'!F25</f>
        <v>Lampu LED strip outdoor merah putih 10m +adaptor</v>
      </c>
      <c r="B28" s="21">
        <f>'JULI 25'!AJ28:AJ385</f>
        <v>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22">
        <v>1.0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23">
        <f t="shared" si="3"/>
        <v>1</v>
      </c>
      <c r="AI28" s="24">
        <f t="shared" si="4"/>
        <v>4</v>
      </c>
      <c r="AJ28" s="23">
        <f t="shared" si="5"/>
        <v>4</v>
      </c>
      <c r="AK28" s="23">
        <f t="shared" si="6"/>
        <v>0</v>
      </c>
      <c r="AL28" s="114">
        <f>'MASTER STOCK'!I25</f>
        <v>30000</v>
      </c>
      <c r="AM28" s="26">
        <f>'MASTER STOCK'!L25</f>
        <v>40500</v>
      </c>
      <c r="AN28" s="26">
        <f t="shared" si="7"/>
        <v>40500</v>
      </c>
      <c r="AO28" s="26">
        <f t="shared" si="8"/>
        <v>10500</v>
      </c>
      <c r="AP28" s="114">
        <f t="shared" si="9"/>
        <v>30000</v>
      </c>
      <c r="AQ28" s="10"/>
    </row>
    <row r="29">
      <c r="A29" s="20" t="str">
        <f>'MASTER STOCK'!F26</f>
        <v>Lampu tumbler 10m (rainbow)</v>
      </c>
      <c r="B29" s="21">
        <f>'JULI 25'!AJ29:AJ386</f>
        <v>5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23">
        <f t="shared" si="3"/>
        <v>0</v>
      </c>
      <c r="AI29" s="24">
        <f t="shared" si="4"/>
        <v>5</v>
      </c>
      <c r="AJ29" s="23">
        <f t="shared" si="5"/>
        <v>5</v>
      </c>
      <c r="AK29" s="23">
        <f t="shared" si="6"/>
        <v>0</v>
      </c>
      <c r="AL29" s="114">
        <f>'MASTER STOCK'!I26</f>
        <v>11000</v>
      </c>
      <c r="AM29" s="26">
        <f>'MASTER STOCK'!L26</f>
        <v>14300</v>
      </c>
      <c r="AN29" s="26">
        <f t="shared" si="7"/>
        <v>0</v>
      </c>
      <c r="AO29" s="26">
        <f t="shared" si="8"/>
        <v>0</v>
      </c>
      <c r="AP29" s="114">
        <f t="shared" si="9"/>
        <v>0</v>
      </c>
      <c r="AQ29" s="10"/>
    </row>
    <row r="30">
      <c r="A30" s="20" t="str">
        <f>'MASTER STOCK'!F27</f>
        <v>WD Gerinda potong besi</v>
      </c>
      <c r="B30" s="21">
        <f>'JULI 25'!AJ30:AJ387</f>
        <v>58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23">
        <f t="shared" si="3"/>
        <v>0</v>
      </c>
      <c r="AI30" s="24">
        <f t="shared" si="4"/>
        <v>58</v>
      </c>
      <c r="AJ30" s="23">
        <f t="shared" si="5"/>
        <v>58</v>
      </c>
      <c r="AK30" s="23">
        <f t="shared" si="6"/>
        <v>0</v>
      </c>
      <c r="AL30" s="114">
        <f>'MASTER STOCK'!I27</f>
        <v>2900</v>
      </c>
      <c r="AM30" s="26">
        <f>'MASTER STOCK'!L27</f>
        <v>5000</v>
      </c>
      <c r="AN30" s="26">
        <f t="shared" si="7"/>
        <v>0</v>
      </c>
      <c r="AO30" s="26">
        <f t="shared" si="8"/>
        <v>0</v>
      </c>
      <c r="AP30" s="114">
        <f t="shared" si="9"/>
        <v>0</v>
      </c>
      <c r="AQ30" s="10"/>
    </row>
    <row r="31">
      <c r="A31" s="20" t="str">
        <f>'MASTER STOCK'!F28</f>
        <v>Meteran karet 7,5m (merk HPP)</v>
      </c>
      <c r="B31" s="21">
        <f>'JULI 25'!AJ31:AJ388</f>
        <v>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23">
        <f t="shared" si="3"/>
        <v>0</v>
      </c>
      <c r="AI31" s="24">
        <f t="shared" si="4"/>
        <v>3</v>
      </c>
      <c r="AJ31" s="23">
        <f t="shared" si="5"/>
        <v>3</v>
      </c>
      <c r="AK31" s="23">
        <f t="shared" si="6"/>
        <v>0</v>
      </c>
      <c r="AL31" s="114">
        <f>'MASTER STOCK'!I28</f>
        <v>12800</v>
      </c>
      <c r="AM31" s="26">
        <f>'MASTER STOCK'!L28</f>
        <v>16640</v>
      </c>
      <c r="AN31" s="26">
        <f t="shared" si="7"/>
        <v>0</v>
      </c>
      <c r="AO31" s="26">
        <f t="shared" si="8"/>
        <v>0</v>
      </c>
      <c r="AP31" s="114">
        <f t="shared" si="9"/>
        <v>0</v>
      </c>
      <c r="AQ31" s="10"/>
    </row>
    <row r="32">
      <c r="A32" s="20" t="str">
        <f>'MASTER STOCK'!F29</f>
        <v>Meteran karet 5m (merk VPR)</v>
      </c>
      <c r="B32" s="21">
        <f>'JULI 25'!AJ32:AJ389</f>
        <v>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23">
        <f t="shared" si="3"/>
        <v>0</v>
      </c>
      <c r="AI32" s="24">
        <f t="shared" si="4"/>
        <v>3</v>
      </c>
      <c r="AJ32" s="23">
        <f t="shared" si="5"/>
        <v>3</v>
      </c>
      <c r="AK32" s="23">
        <f t="shared" si="6"/>
        <v>0</v>
      </c>
      <c r="AL32" s="114">
        <f>'MASTER STOCK'!I29</f>
        <v>7000</v>
      </c>
      <c r="AM32" s="26">
        <f>'MASTER STOCK'!L29</f>
        <v>9100</v>
      </c>
      <c r="AN32" s="26">
        <f t="shared" si="7"/>
        <v>0</v>
      </c>
      <c r="AO32" s="26">
        <f t="shared" si="8"/>
        <v>0</v>
      </c>
      <c r="AP32" s="114">
        <f t="shared" si="9"/>
        <v>0</v>
      </c>
      <c r="AQ32" s="10"/>
    </row>
    <row r="33">
      <c r="A33" s="20" t="str">
        <f>'MASTER STOCK'!F30</f>
        <v>Kuas cat 2 1/2" (merk MDN)</v>
      </c>
      <c r="B33" s="21">
        <f>'JULI 25'!AJ33:AJ390</f>
        <v>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23">
        <f t="shared" si="3"/>
        <v>0</v>
      </c>
      <c r="AI33" s="24">
        <f t="shared" si="4"/>
        <v>5</v>
      </c>
      <c r="AJ33" s="23">
        <f t="shared" si="5"/>
        <v>5</v>
      </c>
      <c r="AK33" s="23">
        <f t="shared" si="6"/>
        <v>0</v>
      </c>
      <c r="AL33" s="114">
        <f>'MASTER STOCK'!I30</f>
        <v>5300</v>
      </c>
      <c r="AM33" s="26">
        <f>'MASTER STOCK'!L30</f>
        <v>6890</v>
      </c>
      <c r="AN33" s="26">
        <f t="shared" si="7"/>
        <v>0</v>
      </c>
      <c r="AO33" s="26">
        <f t="shared" si="8"/>
        <v>0</v>
      </c>
      <c r="AP33" s="114">
        <f t="shared" si="9"/>
        <v>0</v>
      </c>
      <c r="AQ33" s="10"/>
    </row>
    <row r="34">
      <c r="A34" s="20" t="str">
        <f>'MASTER STOCK'!F31</f>
        <v>Kuas cat 2" (merk MDN)</v>
      </c>
      <c r="B34" s="21">
        <f>'JULI 25'!AJ34:AJ391</f>
        <v>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23">
        <f t="shared" si="3"/>
        <v>0</v>
      </c>
      <c r="AI34" s="24">
        <f t="shared" si="4"/>
        <v>5</v>
      </c>
      <c r="AJ34" s="23">
        <f t="shared" si="5"/>
        <v>5</v>
      </c>
      <c r="AK34" s="23">
        <f t="shared" si="6"/>
        <v>0</v>
      </c>
      <c r="AL34" s="114">
        <f>'MASTER STOCK'!I31</f>
        <v>4400</v>
      </c>
      <c r="AM34" s="26">
        <f>'MASTER STOCK'!L31</f>
        <v>5720</v>
      </c>
      <c r="AN34" s="26">
        <f t="shared" si="7"/>
        <v>0</v>
      </c>
      <c r="AO34" s="26">
        <f t="shared" si="8"/>
        <v>0</v>
      </c>
      <c r="AP34" s="114">
        <f t="shared" si="9"/>
        <v>0</v>
      </c>
      <c r="AQ34" s="10"/>
    </row>
    <row r="35">
      <c r="A35" s="20" t="str">
        <f>'MASTER STOCK'!F32</f>
        <v>Kuas cat 3" (merk MDN)</v>
      </c>
      <c r="B35" s="21">
        <f>'JULI 25'!AJ35:AJ392</f>
        <v>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22">
        <v>1.0</v>
      </c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23">
        <f t="shared" si="3"/>
        <v>1</v>
      </c>
      <c r="AI35" s="24">
        <f t="shared" si="4"/>
        <v>4</v>
      </c>
      <c r="AJ35" s="23">
        <f t="shared" si="5"/>
        <v>4</v>
      </c>
      <c r="AK35" s="23">
        <f t="shared" si="6"/>
        <v>0</v>
      </c>
      <c r="AL35" s="114">
        <f>'MASTER STOCK'!I32</f>
        <v>6300</v>
      </c>
      <c r="AM35" s="26">
        <f>'MASTER STOCK'!L32</f>
        <v>8190</v>
      </c>
      <c r="AN35" s="26">
        <f t="shared" si="7"/>
        <v>8190</v>
      </c>
      <c r="AO35" s="26">
        <f t="shared" si="8"/>
        <v>1890</v>
      </c>
      <c r="AP35" s="114">
        <f t="shared" si="9"/>
        <v>6300</v>
      </c>
      <c r="AQ35" s="10"/>
    </row>
    <row r="36">
      <c r="A36" s="20" t="str">
        <f>'MASTER STOCK'!F33</f>
        <v>Kuas cat 1 1/2" (merk MDN)</v>
      </c>
      <c r="B36" s="21">
        <f>'JULI 25'!AJ36:AJ393</f>
        <v>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23">
        <f t="shared" si="3"/>
        <v>0</v>
      </c>
      <c r="AI36" s="24">
        <f t="shared" si="4"/>
        <v>5</v>
      </c>
      <c r="AJ36" s="23">
        <f t="shared" si="5"/>
        <v>5</v>
      </c>
      <c r="AK36" s="23">
        <f t="shared" si="6"/>
        <v>0</v>
      </c>
      <c r="AL36" s="114">
        <f>'MASTER STOCK'!I33</f>
        <v>3400</v>
      </c>
      <c r="AM36" s="26">
        <f>'MASTER STOCK'!L33</f>
        <v>4420</v>
      </c>
      <c r="AN36" s="26">
        <f t="shared" si="7"/>
        <v>0</v>
      </c>
      <c r="AO36" s="26">
        <f t="shared" si="8"/>
        <v>0</v>
      </c>
      <c r="AP36" s="114">
        <f t="shared" si="9"/>
        <v>0</v>
      </c>
      <c r="AQ36" s="10"/>
    </row>
    <row r="37">
      <c r="A37" s="20" t="str">
        <f>'MASTER STOCK'!F34</f>
        <v>Kuas cat 1" (merk MDN)</v>
      </c>
      <c r="B37" s="21">
        <f>'JULI 25'!AJ37:AJ394</f>
        <v>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22">
        <v>1.0</v>
      </c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23">
        <f t="shared" si="3"/>
        <v>1</v>
      </c>
      <c r="AI37" s="24">
        <f t="shared" si="4"/>
        <v>4</v>
      </c>
      <c r="AJ37" s="23">
        <f t="shared" si="5"/>
        <v>4</v>
      </c>
      <c r="AK37" s="23">
        <f t="shared" si="6"/>
        <v>0</v>
      </c>
      <c r="AL37" s="114">
        <f>'MASTER STOCK'!I34</f>
        <v>2300</v>
      </c>
      <c r="AM37" s="26">
        <f>'MASTER STOCK'!L34</f>
        <v>2990</v>
      </c>
      <c r="AN37" s="26">
        <f t="shared" si="7"/>
        <v>2990</v>
      </c>
      <c r="AO37" s="26">
        <f t="shared" si="8"/>
        <v>690</v>
      </c>
      <c r="AP37" s="114">
        <f t="shared" si="9"/>
        <v>2300</v>
      </c>
      <c r="AQ37" s="10"/>
    </row>
    <row r="38">
      <c r="A38" s="20" t="str">
        <f>'MASTER STOCK'!F35</f>
        <v>Kran PVC Tembok 3/4"</v>
      </c>
      <c r="B38" s="21">
        <f>'JULI 25'!AJ38:AJ395</f>
        <v>24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23">
        <f t="shared" si="3"/>
        <v>0</v>
      </c>
      <c r="AI38" s="24">
        <f t="shared" si="4"/>
        <v>24</v>
      </c>
      <c r="AJ38" s="23">
        <f t="shared" si="5"/>
        <v>24</v>
      </c>
      <c r="AK38" s="23">
        <f t="shared" si="6"/>
        <v>0</v>
      </c>
      <c r="AL38" s="114">
        <f>'MASTER STOCK'!I35</f>
        <v>4200</v>
      </c>
      <c r="AM38" s="26">
        <f>'MASTER STOCK'!L35</f>
        <v>6000</v>
      </c>
      <c r="AN38" s="26">
        <f t="shared" si="7"/>
        <v>0</v>
      </c>
      <c r="AO38" s="26">
        <f t="shared" si="8"/>
        <v>0</v>
      </c>
      <c r="AP38" s="114">
        <f t="shared" si="9"/>
        <v>0</v>
      </c>
      <c r="AQ38" s="10"/>
    </row>
    <row r="39">
      <c r="A39" s="20" t="str">
        <f>'MASTER STOCK'!F36</f>
        <v>Kran PVC Tembok 1/2"</v>
      </c>
      <c r="B39" s="21">
        <f>'JULI 25'!AJ39:AJ396</f>
        <v>24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23">
        <f t="shared" si="3"/>
        <v>0</v>
      </c>
      <c r="AI39" s="24">
        <f t="shared" si="4"/>
        <v>24</v>
      </c>
      <c r="AJ39" s="23">
        <f t="shared" si="5"/>
        <v>24</v>
      </c>
      <c r="AK39" s="23">
        <f t="shared" si="6"/>
        <v>0</v>
      </c>
      <c r="AL39" s="114">
        <f>'MASTER STOCK'!I36</f>
        <v>4200</v>
      </c>
      <c r="AM39" s="26">
        <f>'MASTER STOCK'!L36</f>
        <v>6000</v>
      </c>
      <c r="AN39" s="26">
        <f t="shared" si="7"/>
        <v>0</v>
      </c>
      <c r="AO39" s="26">
        <f t="shared" si="8"/>
        <v>0</v>
      </c>
      <c r="AP39" s="114">
        <f t="shared" si="9"/>
        <v>0</v>
      </c>
      <c r="AQ39" s="10"/>
    </row>
    <row r="40">
      <c r="A40" s="20" t="str">
        <f>'MASTER STOCK'!F37</f>
        <v>Lampu bohlam inlite 5w Putih</v>
      </c>
      <c r="B40" s="21">
        <f>'JULI 25'!AJ40:AJ397</f>
        <v>7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23">
        <f t="shared" si="3"/>
        <v>0</v>
      </c>
      <c r="AI40" s="24">
        <f t="shared" si="4"/>
        <v>7</v>
      </c>
      <c r="AJ40" s="23">
        <f t="shared" si="5"/>
        <v>7</v>
      </c>
      <c r="AK40" s="23">
        <f t="shared" si="6"/>
        <v>0</v>
      </c>
      <c r="AL40" s="114">
        <f>'MASTER STOCK'!I37</f>
        <v>13000</v>
      </c>
      <c r="AM40" s="26">
        <f>'MASTER STOCK'!L37</f>
        <v>18200</v>
      </c>
      <c r="AN40" s="26">
        <f t="shared" si="7"/>
        <v>0</v>
      </c>
      <c r="AO40" s="26">
        <f t="shared" si="8"/>
        <v>0</v>
      </c>
      <c r="AP40" s="114">
        <f t="shared" si="9"/>
        <v>0</v>
      </c>
      <c r="AQ40" s="10"/>
    </row>
    <row r="41">
      <c r="A41" s="20" t="str">
        <f>'MASTER STOCK'!F38</f>
        <v>Lampu bohlam inlite 7w Putih</v>
      </c>
      <c r="B41" s="21">
        <f>'JULI 25'!AJ41:AJ398</f>
        <v>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23">
        <f t="shared" si="3"/>
        <v>0</v>
      </c>
      <c r="AI41" s="24">
        <f t="shared" si="4"/>
        <v>2</v>
      </c>
      <c r="AJ41" s="23">
        <f t="shared" si="5"/>
        <v>2</v>
      </c>
      <c r="AK41" s="23">
        <f t="shared" si="6"/>
        <v>0</v>
      </c>
      <c r="AL41" s="114">
        <f>'MASTER STOCK'!I38</f>
        <v>16200</v>
      </c>
      <c r="AM41" s="26">
        <f>'MASTER STOCK'!L38</f>
        <v>22680</v>
      </c>
      <c r="AN41" s="26">
        <f t="shared" si="7"/>
        <v>0</v>
      </c>
      <c r="AO41" s="26">
        <f t="shared" si="8"/>
        <v>0</v>
      </c>
      <c r="AP41" s="114">
        <f t="shared" si="9"/>
        <v>0</v>
      </c>
      <c r="AQ41" s="10"/>
    </row>
    <row r="42">
      <c r="A42" s="20" t="str">
        <f>'MASTER STOCK'!F39</f>
        <v>Lampu bohlam inlite 15w Putih</v>
      </c>
      <c r="B42" s="21">
        <f>'JULI 25'!AJ42:AJ399</f>
        <v>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23">
        <f t="shared" si="3"/>
        <v>0</v>
      </c>
      <c r="AI42" s="24">
        <f t="shared" si="4"/>
        <v>4</v>
      </c>
      <c r="AJ42" s="23">
        <f t="shared" si="5"/>
        <v>4</v>
      </c>
      <c r="AK42" s="23">
        <f t="shared" si="6"/>
        <v>0</v>
      </c>
      <c r="AL42" s="114">
        <f>'MASTER STOCK'!I39</f>
        <v>28000</v>
      </c>
      <c r="AM42" s="26">
        <f>'MASTER STOCK'!L39</f>
        <v>39200</v>
      </c>
      <c r="AN42" s="26">
        <f t="shared" si="7"/>
        <v>0</v>
      </c>
      <c r="AO42" s="26">
        <f t="shared" si="8"/>
        <v>0</v>
      </c>
      <c r="AP42" s="114">
        <f t="shared" si="9"/>
        <v>0</v>
      </c>
      <c r="AQ42" s="10"/>
    </row>
    <row r="43">
      <c r="A43" s="20" t="str">
        <f>'MASTER STOCK'!F40</f>
        <v>Lampu bohlam inlite 12w Putih</v>
      </c>
      <c r="B43" s="21">
        <f>'JULI 25'!AJ43:AJ400</f>
        <v>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23">
        <f t="shared" si="3"/>
        <v>0</v>
      </c>
      <c r="AI43" s="24">
        <f t="shared" si="4"/>
        <v>6</v>
      </c>
      <c r="AJ43" s="23">
        <f t="shared" si="5"/>
        <v>6</v>
      </c>
      <c r="AK43" s="23">
        <f t="shared" si="6"/>
        <v>0</v>
      </c>
      <c r="AL43" s="114">
        <f>'MASTER STOCK'!I40</f>
        <v>25000</v>
      </c>
      <c r="AM43" s="26">
        <f>'MASTER STOCK'!L40</f>
        <v>30000</v>
      </c>
      <c r="AN43" s="26">
        <f t="shared" si="7"/>
        <v>0</v>
      </c>
      <c r="AO43" s="26">
        <f t="shared" si="8"/>
        <v>0</v>
      </c>
      <c r="AP43" s="114">
        <f t="shared" si="9"/>
        <v>0</v>
      </c>
      <c r="AQ43" s="10"/>
    </row>
    <row r="44">
      <c r="A44" s="20" t="str">
        <f>'MASTER STOCK'!F41</f>
        <v>Lampu tintin platinum LED 9w</v>
      </c>
      <c r="B44" s="21">
        <f>'JULI 25'!AJ44:AJ401</f>
        <v>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22"/>
      <c r="S44" s="10"/>
      <c r="T44" s="22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23">
        <f t="shared" si="3"/>
        <v>0</v>
      </c>
      <c r="AI44" s="24">
        <f t="shared" si="4"/>
        <v>4</v>
      </c>
      <c r="AJ44" s="23">
        <f t="shared" si="5"/>
        <v>4</v>
      </c>
      <c r="AK44" s="23">
        <f t="shared" si="6"/>
        <v>0</v>
      </c>
      <c r="AL44" s="114">
        <f>'MASTER STOCK'!I41</f>
        <v>7000</v>
      </c>
      <c r="AM44" s="26">
        <f>'MASTER STOCK'!L41</f>
        <v>9800</v>
      </c>
      <c r="AN44" s="26">
        <f t="shared" si="7"/>
        <v>0</v>
      </c>
      <c r="AO44" s="26">
        <f t="shared" si="8"/>
        <v>0</v>
      </c>
      <c r="AP44" s="114">
        <f t="shared" si="9"/>
        <v>0</v>
      </c>
      <c r="AQ44" s="10"/>
    </row>
    <row r="45">
      <c r="A45" s="20" t="str">
        <f>'MASTER STOCK'!F42</f>
        <v>Lampu tintin platinum LED 5w</v>
      </c>
      <c r="B45" s="21">
        <f>'JULI 25'!AJ45:AJ402</f>
        <v>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22"/>
      <c r="S45" s="10"/>
      <c r="T45" s="22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23">
        <f t="shared" si="3"/>
        <v>0</v>
      </c>
      <c r="AI45" s="24">
        <f t="shared" si="4"/>
        <v>4</v>
      </c>
      <c r="AJ45" s="23">
        <f t="shared" si="5"/>
        <v>4</v>
      </c>
      <c r="AK45" s="23">
        <f t="shared" si="6"/>
        <v>0</v>
      </c>
      <c r="AL45" s="114">
        <f>'MASTER STOCK'!I42</f>
        <v>5000</v>
      </c>
      <c r="AM45" s="26">
        <f>'MASTER STOCK'!L42</f>
        <v>7000</v>
      </c>
      <c r="AN45" s="26">
        <f t="shared" si="7"/>
        <v>0</v>
      </c>
      <c r="AO45" s="26">
        <f t="shared" si="8"/>
        <v>0</v>
      </c>
      <c r="AP45" s="114">
        <f t="shared" si="9"/>
        <v>0</v>
      </c>
      <c r="AQ45" s="10"/>
    </row>
    <row r="46">
      <c r="A46" s="20" t="str">
        <f>'MASTER STOCK'!F43</f>
        <v>Lampu tintin platinum LED 21w</v>
      </c>
      <c r="B46" s="21">
        <f>'JULI 25'!AJ46:AJ403</f>
        <v>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23">
        <f t="shared" si="3"/>
        <v>0</v>
      </c>
      <c r="AI46" s="24">
        <f t="shared" si="4"/>
        <v>3</v>
      </c>
      <c r="AJ46" s="23">
        <f t="shared" si="5"/>
        <v>3</v>
      </c>
      <c r="AK46" s="23">
        <f t="shared" si="6"/>
        <v>0</v>
      </c>
      <c r="AL46" s="114">
        <f>'MASTER STOCK'!I43</f>
        <v>15500</v>
      </c>
      <c r="AM46" s="26">
        <f>'MASTER STOCK'!L43</f>
        <v>21700</v>
      </c>
      <c r="AN46" s="26">
        <f t="shared" si="7"/>
        <v>0</v>
      </c>
      <c r="AO46" s="26">
        <f t="shared" si="8"/>
        <v>0</v>
      </c>
      <c r="AP46" s="114">
        <f t="shared" si="9"/>
        <v>0</v>
      </c>
      <c r="AQ46" s="10"/>
    </row>
    <row r="47">
      <c r="A47" s="20" t="str">
        <f>'MASTER STOCK'!F44</f>
        <v>Lampu tintin platinum LED 15w</v>
      </c>
      <c r="B47" s="21">
        <f>'JULI 25'!AJ47:AJ404</f>
        <v>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23">
        <f t="shared" si="3"/>
        <v>0</v>
      </c>
      <c r="AI47" s="24">
        <f t="shared" si="4"/>
        <v>5</v>
      </c>
      <c r="AJ47" s="23">
        <f t="shared" si="5"/>
        <v>5</v>
      </c>
      <c r="AK47" s="23">
        <f t="shared" si="6"/>
        <v>0</v>
      </c>
      <c r="AL47" s="114">
        <f>'MASTER STOCK'!I44</f>
        <v>8800</v>
      </c>
      <c r="AM47" s="26">
        <f>'MASTER STOCK'!L44</f>
        <v>13000</v>
      </c>
      <c r="AN47" s="26">
        <f t="shared" si="7"/>
        <v>0</v>
      </c>
      <c r="AO47" s="26">
        <f t="shared" si="8"/>
        <v>0</v>
      </c>
      <c r="AP47" s="114">
        <f t="shared" si="9"/>
        <v>0</v>
      </c>
      <c r="AQ47" s="10"/>
    </row>
    <row r="48">
      <c r="A48" s="20" t="str">
        <f>'MASTER STOCK'!F45</f>
        <v>Lampu tintin platinum LED 12w</v>
      </c>
      <c r="B48" s="21">
        <f>'JULI 25'!AJ48:AJ405</f>
        <v>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23">
        <f t="shared" si="3"/>
        <v>0</v>
      </c>
      <c r="AI48" s="24">
        <f t="shared" si="4"/>
        <v>5</v>
      </c>
      <c r="AJ48" s="23">
        <f t="shared" si="5"/>
        <v>5</v>
      </c>
      <c r="AK48" s="23">
        <f t="shared" si="6"/>
        <v>0</v>
      </c>
      <c r="AL48" s="114">
        <f>'MASTER STOCK'!I45</f>
        <v>7800</v>
      </c>
      <c r="AM48" s="26">
        <f>'MASTER STOCK'!L45</f>
        <v>10920</v>
      </c>
      <c r="AN48" s="26">
        <f t="shared" si="7"/>
        <v>0</v>
      </c>
      <c r="AO48" s="26">
        <f t="shared" si="8"/>
        <v>0</v>
      </c>
      <c r="AP48" s="114">
        <f t="shared" si="9"/>
        <v>0</v>
      </c>
      <c r="AQ48" s="10"/>
    </row>
    <row r="49">
      <c r="A49" s="20" t="str">
        <f>'MASTER STOCK'!F46</f>
        <v>Lampu tintin platinum LED 7w</v>
      </c>
      <c r="B49" s="21">
        <f>'JULI 25'!AJ49:AJ406</f>
        <v>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23">
        <f t="shared" si="3"/>
        <v>0</v>
      </c>
      <c r="AI49" s="24">
        <f t="shared" si="4"/>
        <v>5</v>
      </c>
      <c r="AJ49" s="23">
        <f t="shared" si="5"/>
        <v>5</v>
      </c>
      <c r="AK49" s="23">
        <f t="shared" si="6"/>
        <v>0</v>
      </c>
      <c r="AL49" s="114">
        <f>'MASTER STOCK'!I46</f>
        <v>5800</v>
      </c>
      <c r="AM49" s="26">
        <f>'MASTER STOCK'!L46</f>
        <v>8120</v>
      </c>
      <c r="AN49" s="26">
        <f t="shared" si="7"/>
        <v>0</v>
      </c>
      <c r="AO49" s="26">
        <f t="shared" si="8"/>
        <v>0</v>
      </c>
      <c r="AP49" s="114">
        <f t="shared" si="9"/>
        <v>0</v>
      </c>
      <c r="AQ49" s="10"/>
    </row>
    <row r="50">
      <c r="A50" s="20" t="str">
        <f>'MASTER STOCK'!F47</f>
        <v>Gergaji kayu (POPEYE) 18 inch </v>
      </c>
      <c r="B50" s="21">
        <f>'JULI 25'!AJ50:AJ407</f>
        <v>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23">
        <f t="shared" si="3"/>
        <v>0</v>
      </c>
      <c r="AI50" s="24">
        <f t="shared" si="4"/>
        <v>4</v>
      </c>
      <c r="AJ50" s="23">
        <f t="shared" si="5"/>
        <v>4</v>
      </c>
      <c r="AK50" s="23">
        <f t="shared" si="6"/>
        <v>0</v>
      </c>
      <c r="AL50" s="114">
        <f>'MASTER STOCK'!I47</f>
        <v>15000</v>
      </c>
      <c r="AM50" s="26">
        <f>'MASTER STOCK'!L47</f>
        <v>19500</v>
      </c>
      <c r="AN50" s="26">
        <f t="shared" si="7"/>
        <v>0</v>
      </c>
      <c r="AO50" s="26">
        <f t="shared" si="8"/>
        <v>0</v>
      </c>
      <c r="AP50" s="114">
        <f t="shared" si="9"/>
        <v>0</v>
      </c>
      <c r="AQ50" s="10"/>
    </row>
    <row r="51">
      <c r="A51" s="20" t="str">
        <f>'MASTER STOCK'!F48</f>
        <v>Kapi plamir plastik PVC 9" (23cm)</v>
      </c>
      <c r="B51" s="21">
        <f>'JULI 25'!AJ51:AJ408</f>
        <v>10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23">
        <f t="shared" si="3"/>
        <v>0</v>
      </c>
      <c r="AI51" s="24">
        <f t="shared" si="4"/>
        <v>10</v>
      </c>
      <c r="AJ51" s="23">
        <f t="shared" si="5"/>
        <v>10</v>
      </c>
      <c r="AK51" s="23">
        <f t="shared" si="6"/>
        <v>0</v>
      </c>
      <c r="AL51" s="114">
        <f>'MASTER STOCK'!I48</f>
        <v>2200</v>
      </c>
      <c r="AM51" s="26">
        <f>'MASTER STOCK'!L48</f>
        <v>3300</v>
      </c>
      <c r="AN51" s="26">
        <f t="shared" si="7"/>
        <v>0</v>
      </c>
      <c r="AO51" s="26">
        <f t="shared" si="8"/>
        <v>0</v>
      </c>
      <c r="AP51" s="114">
        <f t="shared" si="9"/>
        <v>0</v>
      </c>
      <c r="AQ51" s="10"/>
    </row>
    <row r="52">
      <c r="A52" s="20" t="str">
        <f>'MASTER STOCK'!F49</f>
        <v>Kapi plamir plastik PVC 5" (12cm)</v>
      </c>
      <c r="B52" s="21">
        <f>'JULI 25'!AJ52:AJ409</f>
        <v>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23">
        <f t="shared" si="3"/>
        <v>0</v>
      </c>
      <c r="AI52" s="24">
        <f t="shared" si="4"/>
        <v>5</v>
      </c>
      <c r="AJ52" s="23">
        <f t="shared" si="5"/>
        <v>5</v>
      </c>
      <c r="AK52" s="23">
        <f t="shared" si="6"/>
        <v>0</v>
      </c>
      <c r="AL52" s="114">
        <f>'MASTER STOCK'!I49</f>
        <v>1100</v>
      </c>
      <c r="AM52" s="26">
        <f>'MASTER STOCK'!L49</f>
        <v>1650</v>
      </c>
      <c r="AN52" s="26">
        <f t="shared" si="7"/>
        <v>0</v>
      </c>
      <c r="AO52" s="26">
        <f t="shared" si="8"/>
        <v>0</v>
      </c>
      <c r="AP52" s="114">
        <f t="shared" si="9"/>
        <v>0</v>
      </c>
      <c r="AQ52" s="10"/>
    </row>
    <row r="53">
      <c r="A53" s="20" t="str">
        <f>'MASTER STOCK'!F50</f>
        <v>Kapi plamir plastik PVC 7" (18cm)</v>
      </c>
      <c r="B53" s="21">
        <f>'JULI 25'!AJ53:AJ410</f>
        <v>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23">
        <f t="shared" si="3"/>
        <v>0</v>
      </c>
      <c r="AI53" s="24">
        <f t="shared" si="4"/>
        <v>10</v>
      </c>
      <c r="AJ53" s="23">
        <f t="shared" si="5"/>
        <v>10</v>
      </c>
      <c r="AK53" s="23">
        <f t="shared" si="6"/>
        <v>0</v>
      </c>
      <c r="AL53" s="114">
        <f>'MASTER STOCK'!I50</f>
        <v>1500</v>
      </c>
      <c r="AM53" s="26">
        <f>'MASTER STOCK'!L50</f>
        <v>2250</v>
      </c>
      <c r="AN53" s="26">
        <f t="shared" si="7"/>
        <v>0</v>
      </c>
      <c r="AO53" s="26">
        <f t="shared" si="8"/>
        <v>0</v>
      </c>
      <c r="AP53" s="114">
        <f t="shared" si="9"/>
        <v>0</v>
      </c>
      <c r="AQ53" s="10"/>
    </row>
    <row r="54">
      <c r="A54" s="20" t="str">
        <f>'MASTER STOCK'!F51</f>
        <v>Tang Kombinasi karet 8"</v>
      </c>
      <c r="B54" s="21">
        <f>'JULI 25'!AJ54:AJ411</f>
        <v>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23">
        <f t="shared" si="3"/>
        <v>0</v>
      </c>
      <c r="AI54" s="24">
        <f t="shared" si="4"/>
        <v>5</v>
      </c>
      <c r="AJ54" s="23">
        <f t="shared" si="5"/>
        <v>5</v>
      </c>
      <c r="AK54" s="23">
        <f t="shared" si="6"/>
        <v>0</v>
      </c>
      <c r="AL54" s="114">
        <f>'MASTER STOCK'!I51</f>
        <v>12000</v>
      </c>
      <c r="AM54" s="26">
        <f>'MASTER STOCK'!L51</f>
        <v>15600</v>
      </c>
      <c r="AN54" s="26">
        <f t="shared" si="7"/>
        <v>0</v>
      </c>
      <c r="AO54" s="26">
        <f t="shared" si="8"/>
        <v>0</v>
      </c>
      <c r="AP54" s="114">
        <f t="shared" si="9"/>
        <v>0</v>
      </c>
      <c r="AQ54" s="10"/>
    </row>
    <row r="55">
      <c r="A55" s="20" t="str">
        <f>'MASTER STOCK'!F52</f>
        <v>Tang Kombinasi 8"</v>
      </c>
      <c r="B55" s="21">
        <f>'JULI 25'!AJ55:AJ412</f>
        <v>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23">
        <f t="shared" si="3"/>
        <v>0</v>
      </c>
      <c r="AI55" s="24">
        <f t="shared" si="4"/>
        <v>5</v>
      </c>
      <c r="AJ55" s="23">
        <f t="shared" si="5"/>
        <v>5</v>
      </c>
      <c r="AK55" s="23">
        <f t="shared" si="6"/>
        <v>0</v>
      </c>
      <c r="AL55" s="114">
        <f>'MASTER STOCK'!I52</f>
        <v>12500</v>
      </c>
      <c r="AM55" s="26">
        <f>'MASTER STOCK'!L52</f>
        <v>16250</v>
      </c>
      <c r="AN55" s="26">
        <f t="shared" si="7"/>
        <v>0</v>
      </c>
      <c r="AO55" s="26">
        <f t="shared" si="8"/>
        <v>0</v>
      </c>
      <c r="AP55" s="114">
        <f t="shared" si="9"/>
        <v>0</v>
      </c>
      <c r="AQ55" s="10"/>
    </row>
    <row r="56">
      <c r="A56" s="20" t="str">
        <f>'MASTER STOCK'!F53</f>
        <v>Stop Kontak Hitam 3L 5M </v>
      </c>
      <c r="B56" s="21">
        <f>'JULI 25'!AJ56:AJ413</f>
        <v>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23">
        <f t="shared" si="3"/>
        <v>0</v>
      </c>
      <c r="AI56" s="24">
        <f t="shared" si="4"/>
        <v>2</v>
      </c>
      <c r="AJ56" s="23">
        <f t="shared" si="5"/>
        <v>2</v>
      </c>
      <c r="AK56" s="23">
        <f t="shared" si="6"/>
        <v>0</v>
      </c>
      <c r="AL56" s="114">
        <f>'MASTER STOCK'!I53</f>
        <v>18400</v>
      </c>
      <c r="AM56" s="26">
        <f>'MASTER STOCK'!L53</f>
        <v>27600</v>
      </c>
      <c r="AN56" s="26">
        <f t="shared" si="7"/>
        <v>0</v>
      </c>
      <c r="AO56" s="26">
        <f t="shared" si="8"/>
        <v>0</v>
      </c>
      <c r="AP56" s="114">
        <f t="shared" si="9"/>
        <v>0</v>
      </c>
      <c r="AQ56" s="10"/>
    </row>
    <row r="57">
      <c r="A57" s="20" t="str">
        <f>'MASTER STOCK'!F54</f>
        <v>Stop Kontak Hitam 4L 5M </v>
      </c>
      <c r="B57" s="21">
        <f>'JULI 25'!AJ57:AJ414</f>
        <v>3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23">
        <f t="shared" si="3"/>
        <v>0</v>
      </c>
      <c r="AI57" s="24">
        <f t="shared" si="4"/>
        <v>3</v>
      </c>
      <c r="AJ57" s="23">
        <f t="shared" si="5"/>
        <v>3</v>
      </c>
      <c r="AK57" s="23">
        <f t="shared" si="6"/>
        <v>0</v>
      </c>
      <c r="AL57" s="114">
        <f>'MASTER STOCK'!I54</f>
        <v>19600</v>
      </c>
      <c r="AM57" s="26">
        <f>'MASTER STOCK'!L54</f>
        <v>29400</v>
      </c>
      <c r="AN57" s="26">
        <f t="shared" si="7"/>
        <v>0</v>
      </c>
      <c r="AO57" s="26">
        <f t="shared" si="8"/>
        <v>0</v>
      </c>
      <c r="AP57" s="114">
        <f t="shared" si="9"/>
        <v>0</v>
      </c>
      <c r="AQ57" s="10"/>
    </row>
    <row r="58">
      <c r="A58" s="20" t="str">
        <f>'MASTER STOCK'!F55</f>
        <v>Stop Kontak Hitam 5L 5M </v>
      </c>
      <c r="B58" s="21">
        <f>'JULI 25'!AJ58:AJ415</f>
        <v>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23">
        <f t="shared" si="3"/>
        <v>0</v>
      </c>
      <c r="AI58" s="24">
        <f t="shared" si="4"/>
        <v>6</v>
      </c>
      <c r="AJ58" s="23">
        <f t="shared" si="5"/>
        <v>6</v>
      </c>
      <c r="AK58" s="23">
        <f t="shared" si="6"/>
        <v>0</v>
      </c>
      <c r="AL58" s="114">
        <f>'MASTER STOCK'!I55</f>
        <v>21000</v>
      </c>
      <c r="AM58" s="26">
        <f>'MASTER STOCK'!L55</f>
        <v>31500</v>
      </c>
      <c r="AN58" s="26">
        <f t="shared" si="7"/>
        <v>0</v>
      </c>
      <c r="AO58" s="26">
        <f t="shared" si="8"/>
        <v>0</v>
      </c>
      <c r="AP58" s="114">
        <f t="shared" si="9"/>
        <v>0</v>
      </c>
      <c r="AQ58" s="10"/>
    </row>
    <row r="59">
      <c r="A59" s="20" t="str">
        <f>'MASTER STOCK'!F56</f>
        <v>Stop Kontak Hitam 2L 5M </v>
      </c>
      <c r="B59" s="21">
        <f>'JULI 25'!AJ59:AJ416</f>
        <v>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23">
        <f t="shared" si="3"/>
        <v>0</v>
      </c>
      <c r="AI59" s="24">
        <f t="shared" si="4"/>
        <v>2</v>
      </c>
      <c r="AJ59" s="23">
        <f t="shared" si="5"/>
        <v>2</v>
      </c>
      <c r="AK59" s="23">
        <f t="shared" si="6"/>
        <v>0</v>
      </c>
      <c r="AL59" s="114">
        <f>'MASTER STOCK'!I56</f>
        <v>17000</v>
      </c>
      <c r="AM59" s="26">
        <f>'MASTER STOCK'!L56</f>
        <v>25500</v>
      </c>
      <c r="AN59" s="26">
        <f t="shared" si="7"/>
        <v>0</v>
      </c>
      <c r="AO59" s="26">
        <f t="shared" si="8"/>
        <v>0</v>
      </c>
      <c r="AP59" s="114">
        <f t="shared" si="9"/>
        <v>0</v>
      </c>
      <c r="AQ59" s="10"/>
    </row>
    <row r="60">
      <c r="A60" s="20" t="str">
        <f>'MASTER STOCK'!F57</f>
        <v>Palu Konde besi cor gagang kayu ukuran 1LB</v>
      </c>
      <c r="B60" s="21">
        <f>'JULI 25'!AJ60:AJ417</f>
        <v>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23">
        <f t="shared" si="3"/>
        <v>0</v>
      </c>
      <c r="AI60" s="24">
        <f t="shared" si="4"/>
        <v>3</v>
      </c>
      <c r="AJ60" s="23">
        <f t="shared" si="5"/>
        <v>3</v>
      </c>
      <c r="AK60" s="23">
        <f t="shared" si="6"/>
        <v>0</v>
      </c>
      <c r="AL60" s="114">
        <f>'MASTER STOCK'!I57</f>
        <v>17000</v>
      </c>
      <c r="AM60" s="26">
        <f>'MASTER STOCK'!L57</f>
        <v>22100</v>
      </c>
      <c r="AN60" s="26">
        <f t="shared" si="7"/>
        <v>0</v>
      </c>
      <c r="AO60" s="26">
        <f t="shared" si="8"/>
        <v>0</v>
      </c>
      <c r="AP60" s="114">
        <f t="shared" si="9"/>
        <v>0</v>
      </c>
      <c r="AQ60" s="10"/>
    </row>
    <row r="61">
      <c r="A61" s="20" t="str">
        <f>'MASTER STOCK'!F58</f>
        <v>Lem kuning 100gr</v>
      </c>
      <c r="B61" s="21">
        <f>'JULI 25'!AJ61:AJ418</f>
        <v>24</v>
      </c>
      <c r="C61" s="22">
        <v>1.0</v>
      </c>
      <c r="D61" s="22">
        <v>1.0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23">
        <f t="shared" si="3"/>
        <v>2</v>
      </c>
      <c r="AI61" s="24">
        <f t="shared" si="4"/>
        <v>22</v>
      </c>
      <c r="AJ61" s="23">
        <f t="shared" si="5"/>
        <v>22</v>
      </c>
      <c r="AK61" s="23">
        <f t="shared" si="6"/>
        <v>0</v>
      </c>
      <c r="AL61" s="114">
        <f>'MASTER STOCK'!I58</f>
        <v>10000</v>
      </c>
      <c r="AM61" s="26">
        <f>'MASTER STOCK'!L58</f>
        <v>15000</v>
      </c>
      <c r="AN61" s="26">
        <f t="shared" si="7"/>
        <v>30000</v>
      </c>
      <c r="AO61" s="26">
        <f t="shared" si="8"/>
        <v>10000</v>
      </c>
      <c r="AP61" s="114">
        <f t="shared" si="9"/>
        <v>20000</v>
      </c>
      <c r="AQ61" s="10"/>
    </row>
    <row r="62">
      <c r="A62" s="20" t="str">
        <f>'MASTER STOCK'!F59</f>
        <v>Lem aica aibon kuning 125gr</v>
      </c>
      <c r="B62" s="21">
        <f>'JULI 25'!AJ62:AJ419</f>
        <v>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22">
        <v>1.0</v>
      </c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23">
        <f t="shared" si="3"/>
        <v>1</v>
      </c>
      <c r="AI62" s="24">
        <f t="shared" si="4"/>
        <v>1</v>
      </c>
      <c r="AJ62" s="23">
        <f t="shared" si="5"/>
        <v>1</v>
      </c>
      <c r="AK62" s="23">
        <f t="shared" si="6"/>
        <v>0</v>
      </c>
      <c r="AL62" s="114">
        <f>'MASTER STOCK'!I59</f>
        <v>18200</v>
      </c>
      <c r="AM62" s="26">
        <f>'MASTER STOCK'!L59</f>
        <v>27300</v>
      </c>
      <c r="AN62" s="26">
        <f t="shared" si="7"/>
        <v>27300</v>
      </c>
      <c r="AO62" s="26">
        <f t="shared" si="8"/>
        <v>9100</v>
      </c>
      <c r="AP62" s="114">
        <f t="shared" si="9"/>
        <v>18200</v>
      </c>
      <c r="AQ62" s="10"/>
    </row>
    <row r="63">
      <c r="A63" s="20" t="str">
        <f>'MASTER STOCK'!F60</f>
        <v>Kuas 4" incco</v>
      </c>
      <c r="B63" s="21">
        <f>'JULI 25'!AJ63:AJ420</f>
        <v>3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22">
        <v>1.0</v>
      </c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23">
        <f t="shared" si="3"/>
        <v>1</v>
      </c>
      <c r="AI63" s="24">
        <f t="shared" si="4"/>
        <v>2</v>
      </c>
      <c r="AJ63" s="23">
        <f t="shared" si="5"/>
        <v>2</v>
      </c>
      <c r="AK63" s="23">
        <f t="shared" si="6"/>
        <v>0</v>
      </c>
      <c r="AL63" s="114">
        <f>'MASTER STOCK'!I60</f>
        <v>15000</v>
      </c>
      <c r="AM63" s="26">
        <f>'MASTER STOCK'!L60</f>
        <v>19500</v>
      </c>
      <c r="AN63" s="26">
        <f t="shared" si="7"/>
        <v>19500</v>
      </c>
      <c r="AO63" s="26">
        <f t="shared" si="8"/>
        <v>4500</v>
      </c>
      <c r="AP63" s="114">
        <f t="shared" si="9"/>
        <v>15000</v>
      </c>
      <c r="AQ63" s="10"/>
    </row>
    <row r="64">
      <c r="A64" s="20" t="str">
        <f>'MASTER STOCK'!F61</f>
        <v>Meteran Autostop Wilmer 5m*19mm</v>
      </c>
      <c r="B64" s="21">
        <f>'JULI 25'!AJ64:AJ421</f>
        <v>2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23">
        <f t="shared" si="3"/>
        <v>0</v>
      </c>
      <c r="AI64" s="24">
        <f t="shared" si="4"/>
        <v>2</v>
      </c>
      <c r="AJ64" s="23">
        <f t="shared" si="5"/>
        <v>2</v>
      </c>
      <c r="AK64" s="23">
        <f t="shared" si="6"/>
        <v>0</v>
      </c>
      <c r="AL64" s="114">
        <f>'MASTER STOCK'!I61</f>
        <v>25000</v>
      </c>
      <c r="AM64" s="26">
        <f>'MASTER STOCK'!L61</f>
        <v>30000</v>
      </c>
      <c r="AN64" s="26">
        <f t="shared" si="7"/>
        <v>0</v>
      </c>
      <c r="AO64" s="26">
        <f t="shared" si="8"/>
        <v>0</v>
      </c>
      <c r="AP64" s="114">
        <f t="shared" si="9"/>
        <v>0</v>
      </c>
      <c r="AQ64" s="10"/>
    </row>
    <row r="65">
      <c r="A65" s="20" t="str">
        <f>'MASTER STOCK'!F62</f>
        <v>Precision S/Driver Obeng 6S DIY</v>
      </c>
      <c r="B65" s="21">
        <f>'JULI 25'!AJ65:AJ422</f>
        <v>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23">
        <f t="shared" si="3"/>
        <v>0</v>
      </c>
      <c r="AI65" s="24">
        <f t="shared" si="4"/>
        <v>2</v>
      </c>
      <c r="AJ65" s="23">
        <f t="shared" si="5"/>
        <v>2</v>
      </c>
      <c r="AK65" s="23">
        <f t="shared" si="6"/>
        <v>0</v>
      </c>
      <c r="AL65" s="114">
        <f>'MASTER STOCK'!I62</f>
        <v>9500</v>
      </c>
      <c r="AM65" s="26">
        <f>'MASTER STOCK'!L62</f>
        <v>13300</v>
      </c>
      <c r="AN65" s="26">
        <f t="shared" si="7"/>
        <v>0</v>
      </c>
      <c r="AO65" s="26">
        <f t="shared" si="8"/>
        <v>0</v>
      </c>
      <c r="AP65" s="114">
        <f t="shared" si="9"/>
        <v>0</v>
      </c>
      <c r="AQ65" s="10"/>
    </row>
    <row r="66">
      <c r="A66" s="20" t="str">
        <f>'MASTER STOCK'!F63</f>
        <v>Blades / Isi Cutter Besar DIY</v>
      </c>
      <c r="B66" s="21">
        <f>'JULI 25'!AJ66:AJ423</f>
        <v>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23">
        <f t="shared" si="3"/>
        <v>0</v>
      </c>
      <c r="AI66" s="24">
        <f t="shared" si="4"/>
        <v>20</v>
      </c>
      <c r="AJ66" s="23">
        <f t="shared" si="5"/>
        <v>20</v>
      </c>
      <c r="AK66" s="23">
        <f t="shared" si="6"/>
        <v>0</v>
      </c>
      <c r="AL66" s="114">
        <f>'MASTER STOCK'!I63</f>
        <v>1150</v>
      </c>
      <c r="AM66" s="26">
        <f>'MASTER STOCK'!L63</f>
        <v>1495</v>
      </c>
      <c r="AN66" s="26">
        <f t="shared" si="7"/>
        <v>0</v>
      </c>
      <c r="AO66" s="26">
        <f t="shared" si="8"/>
        <v>0</v>
      </c>
      <c r="AP66" s="114">
        <f t="shared" si="9"/>
        <v>0</v>
      </c>
      <c r="AQ66" s="10"/>
    </row>
    <row r="67">
      <c r="A67" s="20" t="str">
        <f>'MASTER STOCK'!F64</f>
        <v>Blades / Isi Cutter Kecil DIY</v>
      </c>
      <c r="B67" s="21">
        <f>'JULI 25'!AJ67:AJ424</f>
        <v>20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23">
        <f t="shared" si="3"/>
        <v>0</v>
      </c>
      <c r="AI67" s="24">
        <f t="shared" si="4"/>
        <v>20</v>
      </c>
      <c r="AJ67" s="23">
        <f t="shared" si="5"/>
        <v>20</v>
      </c>
      <c r="AK67" s="23">
        <f t="shared" si="6"/>
        <v>0</v>
      </c>
      <c r="AL67" s="114">
        <f>'MASTER STOCK'!I64</f>
        <v>700</v>
      </c>
      <c r="AM67" s="26">
        <f>'MASTER STOCK'!L64</f>
        <v>1050</v>
      </c>
      <c r="AN67" s="26">
        <f t="shared" si="7"/>
        <v>0</v>
      </c>
      <c r="AO67" s="26">
        <f t="shared" si="8"/>
        <v>0</v>
      </c>
      <c r="AP67" s="114">
        <f t="shared" si="9"/>
        <v>0</v>
      </c>
      <c r="AQ67" s="10"/>
    </row>
    <row r="68">
      <c r="A68" s="20" t="str">
        <f>'MASTER STOCK'!F65</f>
        <v>Screwdriver  / Obeng 4" isi 2 DIY</v>
      </c>
      <c r="B68" s="21">
        <f>'JULI 25'!AJ68:AJ425</f>
        <v>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23">
        <f t="shared" si="3"/>
        <v>0</v>
      </c>
      <c r="AI68" s="24">
        <f t="shared" si="4"/>
        <v>2</v>
      </c>
      <c r="AJ68" s="23">
        <f t="shared" si="5"/>
        <v>2</v>
      </c>
      <c r="AK68" s="23">
        <f t="shared" si="6"/>
        <v>0</v>
      </c>
      <c r="AL68" s="114">
        <f>'MASTER STOCK'!I65</f>
        <v>12000</v>
      </c>
      <c r="AM68" s="26">
        <f>'MASTER STOCK'!L65</f>
        <v>15600</v>
      </c>
      <c r="AN68" s="26">
        <f t="shared" si="7"/>
        <v>0</v>
      </c>
      <c r="AO68" s="26">
        <f t="shared" si="8"/>
        <v>0</v>
      </c>
      <c r="AP68" s="114">
        <f t="shared" si="9"/>
        <v>0</v>
      </c>
      <c r="AQ68" s="10"/>
    </row>
    <row r="69">
      <c r="A69" s="20" t="str">
        <f>'MASTER STOCK'!F66</f>
        <v>Test Pen DIY</v>
      </c>
      <c r="B69" s="21">
        <f>'JULI 25'!AJ69:AJ426</f>
        <v>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23">
        <f t="shared" si="3"/>
        <v>0</v>
      </c>
      <c r="AI69" s="24">
        <f t="shared" si="4"/>
        <v>2</v>
      </c>
      <c r="AJ69" s="23">
        <f t="shared" si="5"/>
        <v>2</v>
      </c>
      <c r="AK69" s="23">
        <f t="shared" si="6"/>
        <v>0</v>
      </c>
      <c r="AL69" s="114">
        <f>'MASTER STOCK'!I66</f>
        <v>12000</v>
      </c>
      <c r="AM69" s="26">
        <f>'MASTER STOCK'!L66</f>
        <v>15600</v>
      </c>
      <c r="AN69" s="26">
        <f t="shared" si="7"/>
        <v>0</v>
      </c>
      <c r="AO69" s="26">
        <f t="shared" si="8"/>
        <v>0</v>
      </c>
      <c r="AP69" s="114">
        <f t="shared" si="9"/>
        <v>0</v>
      </c>
      <c r="AQ69" s="10"/>
    </row>
    <row r="70">
      <c r="A70" s="20" t="str">
        <f>'MASTER STOCK'!F67</f>
        <v>Door Bolt / Selot Pintu DIY 4"</v>
      </c>
      <c r="B70" s="21">
        <f>'JULI 25'!AJ70:AJ427</f>
        <v>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23">
        <f t="shared" si="3"/>
        <v>0</v>
      </c>
      <c r="AI70" s="24">
        <f t="shared" si="4"/>
        <v>3</v>
      </c>
      <c r="AJ70" s="23">
        <f t="shared" si="5"/>
        <v>3</v>
      </c>
      <c r="AK70" s="23">
        <f t="shared" si="6"/>
        <v>0</v>
      </c>
      <c r="AL70" s="114">
        <f>'MASTER STOCK'!I67</f>
        <v>7500</v>
      </c>
      <c r="AM70" s="26">
        <f>'MASTER STOCK'!L67</f>
        <v>9750</v>
      </c>
      <c r="AN70" s="26">
        <f t="shared" si="7"/>
        <v>0</v>
      </c>
      <c r="AO70" s="26">
        <f t="shared" si="8"/>
        <v>0</v>
      </c>
      <c r="AP70" s="114">
        <f t="shared" si="9"/>
        <v>0</v>
      </c>
      <c r="AQ70" s="10"/>
    </row>
    <row r="71">
      <c r="A71" s="20" t="str">
        <f>'MASTER STOCK'!F68</f>
        <v>Door Bolt / Selot Pintu DIY 3"</v>
      </c>
      <c r="B71" s="21">
        <f>'JULI 25'!AJ71:AJ428</f>
        <v>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23">
        <f t="shared" si="3"/>
        <v>0</v>
      </c>
      <c r="AI71" s="24">
        <f t="shared" si="4"/>
        <v>2</v>
      </c>
      <c r="AJ71" s="23">
        <f t="shared" si="5"/>
        <v>2</v>
      </c>
      <c r="AK71" s="23">
        <f t="shared" si="6"/>
        <v>0</v>
      </c>
      <c r="AL71" s="114">
        <f>'MASTER STOCK'!I68</f>
        <v>10500</v>
      </c>
      <c r="AM71" s="26">
        <f>'MASTER STOCK'!L68</f>
        <v>13650</v>
      </c>
      <c r="AN71" s="26">
        <f t="shared" si="7"/>
        <v>0</v>
      </c>
      <c r="AO71" s="26">
        <f t="shared" si="8"/>
        <v>0</v>
      </c>
      <c r="AP71" s="114">
        <f t="shared" si="9"/>
        <v>0</v>
      </c>
      <c r="AQ71" s="10"/>
    </row>
    <row r="72">
      <c r="A72" s="20" t="str">
        <f>'MASTER STOCK'!F69</f>
        <v>Kuas 2" incco</v>
      </c>
      <c r="B72" s="21">
        <f>'JULI 25'!AJ72:AJ429</f>
        <v>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23">
        <f t="shared" si="3"/>
        <v>0</v>
      </c>
      <c r="AI72" s="24">
        <f t="shared" si="4"/>
        <v>3</v>
      </c>
      <c r="AJ72" s="23">
        <f t="shared" si="5"/>
        <v>3</v>
      </c>
      <c r="AK72" s="23">
        <f t="shared" si="6"/>
        <v>0</v>
      </c>
      <c r="AL72" s="114">
        <f>'MASTER STOCK'!I69</f>
        <v>7000</v>
      </c>
      <c r="AM72" s="26">
        <f>'MASTER STOCK'!L69</f>
        <v>9100</v>
      </c>
      <c r="AN72" s="26">
        <f t="shared" si="7"/>
        <v>0</v>
      </c>
      <c r="AO72" s="26">
        <f t="shared" si="8"/>
        <v>0</v>
      </c>
      <c r="AP72" s="114">
        <f t="shared" si="9"/>
        <v>0</v>
      </c>
      <c r="AQ72" s="10"/>
    </row>
    <row r="73">
      <c r="A73" s="20" t="str">
        <f>'MASTER STOCK'!F70</f>
        <v>Kuas 1" incco </v>
      </c>
      <c r="B73" s="21">
        <f>'JULI 25'!AJ73:AJ430</f>
        <v>5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23">
        <f t="shared" si="3"/>
        <v>0</v>
      </c>
      <c r="AI73" s="24">
        <f t="shared" si="4"/>
        <v>5</v>
      </c>
      <c r="AJ73" s="23">
        <f t="shared" si="5"/>
        <v>5</v>
      </c>
      <c r="AK73" s="23">
        <f t="shared" si="6"/>
        <v>0</v>
      </c>
      <c r="AL73" s="114">
        <f>'MASTER STOCK'!I70</f>
        <v>3500</v>
      </c>
      <c r="AM73" s="26">
        <f>'MASTER STOCK'!L70</f>
        <v>4550</v>
      </c>
      <c r="AN73" s="26">
        <f t="shared" si="7"/>
        <v>0</v>
      </c>
      <c r="AO73" s="26">
        <f t="shared" si="8"/>
        <v>0</v>
      </c>
      <c r="AP73" s="114">
        <f t="shared" si="9"/>
        <v>0</v>
      </c>
      <c r="AQ73" s="10"/>
    </row>
    <row r="74">
      <c r="A74" s="20" t="str">
        <f>'MASTER STOCK'!F71</f>
        <v>Kapi Plastik Kuning DIY</v>
      </c>
      <c r="B74" s="21">
        <f>'JULI 25'!AJ74:AJ431</f>
        <v>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23">
        <f t="shared" si="3"/>
        <v>0</v>
      </c>
      <c r="AI74" s="24">
        <f t="shared" si="4"/>
        <v>4</v>
      </c>
      <c r="AJ74" s="23">
        <f t="shared" si="5"/>
        <v>4</v>
      </c>
      <c r="AK74" s="23">
        <f t="shared" si="6"/>
        <v>0</v>
      </c>
      <c r="AL74" s="114">
        <f>'MASTER STOCK'!I71</f>
        <v>5500</v>
      </c>
      <c r="AM74" s="26">
        <f>'MASTER STOCK'!L71</f>
        <v>7150</v>
      </c>
      <c r="AN74" s="26">
        <f t="shared" si="7"/>
        <v>0</v>
      </c>
      <c r="AO74" s="26">
        <f t="shared" si="8"/>
        <v>0</v>
      </c>
      <c r="AP74" s="114">
        <f t="shared" si="9"/>
        <v>0</v>
      </c>
      <c r="AQ74" s="10"/>
    </row>
    <row r="75">
      <c r="A75" s="20" t="str">
        <f>'MASTER STOCK'!F72</f>
        <v>Kabel Ties 3.6x300mm (85 gram) isi 100 pcs</v>
      </c>
      <c r="B75" s="21">
        <f>'JULI 25'!AJ75:AJ432</f>
        <v>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23">
        <f t="shared" si="3"/>
        <v>0</v>
      </c>
      <c r="AI75" s="24">
        <f t="shared" si="4"/>
        <v>1</v>
      </c>
      <c r="AJ75" s="23">
        <f t="shared" si="5"/>
        <v>1</v>
      </c>
      <c r="AK75" s="23">
        <f t="shared" si="6"/>
        <v>0</v>
      </c>
      <c r="AL75" s="114">
        <f>'MASTER STOCK'!I72</f>
        <v>11000</v>
      </c>
      <c r="AM75" s="26">
        <f>'MASTER STOCK'!L72</f>
        <v>16500</v>
      </c>
      <c r="AN75" s="26">
        <f t="shared" si="7"/>
        <v>0</v>
      </c>
      <c r="AO75" s="26">
        <f t="shared" si="8"/>
        <v>0</v>
      </c>
      <c r="AP75" s="114">
        <f t="shared" si="9"/>
        <v>0</v>
      </c>
      <c r="AQ75" s="10"/>
    </row>
    <row r="76">
      <c r="A76" s="20" t="str">
        <f>'MASTER STOCK'!F73</f>
        <v>Kabel Ties 3.6x150mm (60 gram) isi 100 pcs</v>
      </c>
      <c r="B76" s="21">
        <f>'JULI 25'!AJ76:AJ433</f>
        <v>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23">
        <f t="shared" si="3"/>
        <v>0</v>
      </c>
      <c r="AI76" s="24">
        <f t="shared" si="4"/>
        <v>1</v>
      </c>
      <c r="AJ76" s="23">
        <f t="shared" si="5"/>
        <v>1</v>
      </c>
      <c r="AK76" s="23">
        <f t="shared" si="6"/>
        <v>0</v>
      </c>
      <c r="AL76" s="114">
        <f>'MASTER STOCK'!I73</f>
        <v>6500</v>
      </c>
      <c r="AM76" s="26">
        <f>'MASTER STOCK'!L73</f>
        <v>9750</v>
      </c>
      <c r="AN76" s="26">
        <f t="shared" si="7"/>
        <v>0</v>
      </c>
      <c r="AO76" s="26">
        <f t="shared" si="8"/>
        <v>0</v>
      </c>
      <c r="AP76" s="114">
        <f t="shared" si="9"/>
        <v>0</v>
      </c>
      <c r="AQ76" s="10"/>
    </row>
    <row r="77">
      <c r="A77" s="20" t="str">
        <f>'MASTER STOCK'!F74</f>
        <v>Kabel Ties 2.5x200mm (50 gram) isi 100 pcs</v>
      </c>
      <c r="B77" s="21">
        <f>'JULI 25'!AJ77:AJ434</f>
        <v>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23">
        <f t="shared" si="3"/>
        <v>0</v>
      </c>
      <c r="AI77" s="24">
        <f t="shared" si="4"/>
        <v>1</v>
      </c>
      <c r="AJ77" s="23">
        <f t="shared" si="5"/>
        <v>1</v>
      </c>
      <c r="AK77" s="23">
        <f t="shared" si="6"/>
        <v>0</v>
      </c>
      <c r="AL77" s="114">
        <f>'MASTER STOCK'!I74</f>
        <v>5300</v>
      </c>
      <c r="AM77" s="26">
        <f>'MASTER STOCK'!L74</f>
        <v>7950</v>
      </c>
      <c r="AN77" s="26">
        <f t="shared" si="7"/>
        <v>0</v>
      </c>
      <c r="AO77" s="26">
        <f t="shared" si="8"/>
        <v>0</v>
      </c>
      <c r="AP77" s="114">
        <f t="shared" si="9"/>
        <v>0</v>
      </c>
      <c r="AQ77" s="10"/>
    </row>
    <row r="78">
      <c r="A78" s="20" t="str">
        <f>'MASTER STOCK'!F75</f>
        <v>Kabel Ties 2.5x100mm (50 gram) isi 100 pcs</v>
      </c>
      <c r="B78" s="21">
        <f>'JULI 25'!AJ78:AJ435</f>
        <v>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23">
        <f t="shared" si="3"/>
        <v>0</v>
      </c>
      <c r="AI78" s="24">
        <f t="shared" si="4"/>
        <v>3</v>
      </c>
      <c r="AJ78" s="23">
        <f t="shared" si="5"/>
        <v>3</v>
      </c>
      <c r="AK78" s="23">
        <f t="shared" si="6"/>
        <v>0</v>
      </c>
      <c r="AL78" s="114">
        <f>'MASTER STOCK'!I75</f>
        <v>2850</v>
      </c>
      <c r="AM78" s="26">
        <f>'MASTER STOCK'!L75</f>
        <v>4275</v>
      </c>
      <c r="AN78" s="26">
        <f t="shared" si="7"/>
        <v>0</v>
      </c>
      <c r="AO78" s="26">
        <f t="shared" si="8"/>
        <v>0</v>
      </c>
      <c r="AP78" s="114">
        <f t="shared" si="9"/>
        <v>0</v>
      </c>
      <c r="AQ78" s="10"/>
    </row>
    <row r="79">
      <c r="A79" s="20" t="str">
        <f>'MASTER STOCK'!F76</f>
        <v>Kabel Ties 3.6x300mm (85 gram) isi 100 pcs</v>
      </c>
      <c r="B79" s="21">
        <f>'JULI 25'!AJ79:AJ436</f>
        <v>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23">
        <f t="shared" si="3"/>
        <v>0</v>
      </c>
      <c r="AI79" s="24">
        <f t="shared" si="4"/>
        <v>1</v>
      </c>
      <c r="AJ79" s="23">
        <f t="shared" si="5"/>
        <v>1</v>
      </c>
      <c r="AK79" s="23">
        <f t="shared" si="6"/>
        <v>0</v>
      </c>
      <c r="AL79" s="114">
        <f>'MASTER STOCK'!I76</f>
        <v>11000</v>
      </c>
      <c r="AM79" s="26">
        <f>'MASTER STOCK'!L76</f>
        <v>16500</v>
      </c>
      <c r="AN79" s="26">
        <f t="shared" si="7"/>
        <v>0</v>
      </c>
      <c r="AO79" s="26">
        <f t="shared" si="8"/>
        <v>0</v>
      </c>
      <c r="AP79" s="114">
        <f t="shared" si="9"/>
        <v>0</v>
      </c>
      <c r="AQ79" s="10"/>
    </row>
    <row r="80">
      <c r="A80" s="20" t="str">
        <f>'MASTER STOCK'!F77</f>
        <v>Kabel Ties 2.5x150mm (50 gram) isi 100 pcs</v>
      </c>
      <c r="B80" s="21">
        <f>'JULI 25'!AJ80:AJ437</f>
        <v>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23">
        <f t="shared" si="3"/>
        <v>0</v>
      </c>
      <c r="AI80" s="24">
        <f t="shared" si="4"/>
        <v>1</v>
      </c>
      <c r="AJ80" s="23">
        <f t="shared" si="5"/>
        <v>1</v>
      </c>
      <c r="AK80" s="23">
        <f t="shared" si="6"/>
        <v>0</v>
      </c>
      <c r="AL80" s="114">
        <f>'MASTER STOCK'!I77</f>
        <v>4100</v>
      </c>
      <c r="AM80" s="26">
        <f>'MASTER STOCK'!L77</f>
        <v>6150</v>
      </c>
      <c r="AN80" s="26">
        <f t="shared" si="7"/>
        <v>0</v>
      </c>
      <c r="AO80" s="26">
        <f t="shared" si="8"/>
        <v>0</v>
      </c>
      <c r="AP80" s="114">
        <f t="shared" si="9"/>
        <v>0</v>
      </c>
      <c r="AQ80" s="10"/>
    </row>
    <row r="81">
      <c r="A81" s="20" t="str">
        <f>'MASTER STOCK'!F78</f>
        <v>Kabel Ties 3.6x250mm (80 gram) isi 100 pcs</v>
      </c>
      <c r="B81" s="21">
        <f>'JULI 25'!AJ81:AJ438</f>
        <v>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23">
        <f t="shared" si="3"/>
        <v>0</v>
      </c>
      <c r="AI81" s="24">
        <f t="shared" si="4"/>
        <v>1</v>
      </c>
      <c r="AJ81" s="23">
        <f t="shared" si="5"/>
        <v>1</v>
      </c>
      <c r="AK81" s="23">
        <f t="shared" si="6"/>
        <v>0</v>
      </c>
      <c r="AL81" s="114">
        <f>'MASTER STOCK'!I78</f>
        <v>10300</v>
      </c>
      <c r="AM81" s="26">
        <f>'MASTER STOCK'!L78</f>
        <v>15450</v>
      </c>
      <c r="AN81" s="26">
        <f t="shared" si="7"/>
        <v>0</v>
      </c>
      <c r="AO81" s="26">
        <f t="shared" si="8"/>
        <v>0</v>
      </c>
      <c r="AP81" s="114">
        <f t="shared" si="9"/>
        <v>0</v>
      </c>
      <c r="AQ81" s="10"/>
    </row>
    <row r="82">
      <c r="A82" s="20" t="str">
        <f>'MASTER STOCK'!F79</f>
        <v>Kabel Ties 4.8x200mm (85 gram) isi 100 pcs</v>
      </c>
      <c r="B82" s="21">
        <f>'JULI 25'!AJ82:AJ439</f>
        <v>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23">
        <f t="shared" si="3"/>
        <v>0</v>
      </c>
      <c r="AI82" s="24">
        <f t="shared" si="4"/>
        <v>1</v>
      </c>
      <c r="AJ82" s="23">
        <f t="shared" si="5"/>
        <v>1</v>
      </c>
      <c r="AK82" s="23">
        <f t="shared" si="6"/>
        <v>0</v>
      </c>
      <c r="AL82" s="114">
        <f>'MASTER STOCK'!I79</f>
        <v>11000</v>
      </c>
      <c r="AM82" s="26">
        <f>'MASTER STOCK'!L79</f>
        <v>16500</v>
      </c>
      <c r="AN82" s="26">
        <f t="shared" si="7"/>
        <v>0</v>
      </c>
      <c r="AO82" s="26">
        <f t="shared" si="8"/>
        <v>0</v>
      </c>
      <c r="AP82" s="114">
        <f t="shared" si="9"/>
        <v>0</v>
      </c>
      <c r="AQ82" s="10"/>
    </row>
    <row r="83">
      <c r="A83" s="20" t="str">
        <f>'MASTER STOCK'!F80</f>
        <v>Kabel Ties 2.5x100mm (50 gram) isi 100 pcs</v>
      </c>
      <c r="B83" s="21">
        <f>'JULI 25'!AJ83:AJ440</f>
        <v>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23">
        <f t="shared" si="3"/>
        <v>0</v>
      </c>
      <c r="AI83" s="24">
        <f t="shared" si="4"/>
        <v>1</v>
      </c>
      <c r="AJ83" s="23">
        <f t="shared" si="5"/>
        <v>1</v>
      </c>
      <c r="AK83" s="23">
        <f t="shared" si="6"/>
        <v>0</v>
      </c>
      <c r="AL83" s="114">
        <f>'MASTER STOCK'!I80</f>
        <v>2850</v>
      </c>
      <c r="AM83" s="26">
        <f>'MASTER STOCK'!L80</f>
        <v>4275</v>
      </c>
      <c r="AN83" s="26">
        <f t="shared" si="7"/>
        <v>0</v>
      </c>
      <c r="AO83" s="26">
        <f t="shared" si="8"/>
        <v>0</v>
      </c>
      <c r="AP83" s="114">
        <f t="shared" si="9"/>
        <v>0</v>
      </c>
      <c r="AQ83" s="10"/>
    </row>
    <row r="84">
      <c r="A84" s="20" t="str">
        <f>'MASTER STOCK'!F81</f>
        <v>Kabel Ties 3.6x150mm (70 gram) isi 100 pcs</v>
      </c>
      <c r="B84" s="21">
        <f>'JULI 25'!AJ84:AJ441</f>
        <v>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23">
        <f t="shared" si="3"/>
        <v>0</v>
      </c>
      <c r="AI84" s="24">
        <f t="shared" si="4"/>
        <v>1</v>
      </c>
      <c r="AJ84" s="23">
        <f t="shared" si="5"/>
        <v>1</v>
      </c>
      <c r="AK84" s="23">
        <f t="shared" si="6"/>
        <v>0</v>
      </c>
      <c r="AL84" s="114">
        <f>'MASTER STOCK'!I81</f>
        <v>6500</v>
      </c>
      <c r="AM84" s="26">
        <f>'MASTER STOCK'!L81</f>
        <v>9750</v>
      </c>
      <c r="AN84" s="26">
        <f t="shared" si="7"/>
        <v>0</v>
      </c>
      <c r="AO84" s="26">
        <f t="shared" si="8"/>
        <v>0</v>
      </c>
      <c r="AP84" s="114">
        <f t="shared" si="9"/>
        <v>0</v>
      </c>
      <c r="AQ84" s="10"/>
    </row>
    <row r="85">
      <c r="A85" s="20" t="str">
        <f>'MASTER STOCK'!F82</f>
        <v>Kabel Ties 4.8x200mm (85 gram) isi 100 pcs</v>
      </c>
      <c r="B85" s="21">
        <f>'JULI 25'!AJ85:AJ442</f>
        <v>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23">
        <f t="shared" si="3"/>
        <v>0</v>
      </c>
      <c r="AI85" s="24">
        <f t="shared" si="4"/>
        <v>1</v>
      </c>
      <c r="AJ85" s="23">
        <f t="shared" si="5"/>
        <v>1</v>
      </c>
      <c r="AK85" s="23">
        <f t="shared" si="6"/>
        <v>0</v>
      </c>
      <c r="AL85" s="114">
        <f>'MASTER STOCK'!I82</f>
        <v>11000</v>
      </c>
      <c r="AM85" s="26">
        <f>'MASTER STOCK'!L82</f>
        <v>16500</v>
      </c>
      <c r="AN85" s="26">
        <f t="shared" si="7"/>
        <v>0</v>
      </c>
      <c r="AO85" s="26">
        <f t="shared" si="8"/>
        <v>0</v>
      </c>
      <c r="AP85" s="114">
        <f t="shared" si="9"/>
        <v>0</v>
      </c>
      <c r="AQ85" s="10"/>
    </row>
    <row r="86">
      <c r="A86" s="20" t="str">
        <f>'MASTER STOCK'!F83</f>
        <v>Kabel Ties 3.6x250mm (70 gram) isi 100 pcs</v>
      </c>
      <c r="B86" s="21">
        <f>'JULI 25'!AJ86:AJ443</f>
        <v>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23">
        <f t="shared" si="3"/>
        <v>0</v>
      </c>
      <c r="AI86" s="24">
        <f t="shared" si="4"/>
        <v>1</v>
      </c>
      <c r="AJ86" s="23">
        <f t="shared" si="5"/>
        <v>1</v>
      </c>
      <c r="AK86" s="23">
        <f t="shared" si="6"/>
        <v>0</v>
      </c>
      <c r="AL86" s="114">
        <f>'MASTER STOCK'!I83</f>
        <v>10300</v>
      </c>
      <c r="AM86" s="26">
        <f>'MASTER STOCK'!L83</f>
        <v>15450</v>
      </c>
      <c r="AN86" s="26">
        <f t="shared" si="7"/>
        <v>0</v>
      </c>
      <c r="AO86" s="26">
        <f t="shared" si="8"/>
        <v>0</v>
      </c>
      <c r="AP86" s="114">
        <f t="shared" si="9"/>
        <v>0</v>
      </c>
      <c r="AQ86" s="10"/>
    </row>
    <row r="87">
      <c r="A87" s="20" t="str">
        <f>'MASTER STOCK'!F84</f>
        <v>Kabel Transparan 2x30 90M full serabut per roll 2line</v>
      </c>
      <c r="B87" s="21">
        <f>'JULI 25'!AJ87:AJ444</f>
        <v>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23">
        <f t="shared" si="3"/>
        <v>0</v>
      </c>
      <c r="AI87" s="24">
        <f t="shared" si="4"/>
        <v>1</v>
      </c>
      <c r="AJ87" s="23">
        <f t="shared" si="5"/>
        <v>1</v>
      </c>
      <c r="AK87" s="23">
        <f t="shared" si="6"/>
        <v>0</v>
      </c>
      <c r="AL87" s="114">
        <f>'MASTER STOCK'!I84</f>
        <v>80000</v>
      </c>
      <c r="AM87" s="26">
        <f>'MASTER STOCK'!L84</f>
        <v>136000</v>
      </c>
      <c r="AN87" s="26">
        <f t="shared" si="7"/>
        <v>0</v>
      </c>
      <c r="AO87" s="26">
        <f t="shared" si="8"/>
        <v>0</v>
      </c>
      <c r="AP87" s="114">
        <f t="shared" si="9"/>
        <v>0</v>
      </c>
      <c r="AQ87" s="10"/>
    </row>
    <row r="88">
      <c r="A88" s="20" t="str">
        <f>'MASTER STOCK'!F85</f>
        <v>Kabel Transparan 2x80 90M full serabut per roll 2line</v>
      </c>
      <c r="B88" s="21">
        <f>'JULI 25'!AJ88:AJ445</f>
        <v>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23">
        <f t="shared" si="3"/>
        <v>0</v>
      </c>
      <c r="AI88" s="24">
        <f t="shared" si="4"/>
        <v>1</v>
      </c>
      <c r="AJ88" s="23">
        <f t="shared" si="5"/>
        <v>1</v>
      </c>
      <c r="AK88" s="23">
        <f t="shared" si="6"/>
        <v>0</v>
      </c>
      <c r="AL88" s="114">
        <f>'MASTER STOCK'!I85</f>
        <v>165000</v>
      </c>
      <c r="AM88" s="26">
        <f>'MASTER STOCK'!L85</f>
        <v>280500</v>
      </c>
      <c r="AN88" s="26">
        <f t="shared" si="7"/>
        <v>0</v>
      </c>
      <c r="AO88" s="26">
        <f t="shared" si="8"/>
        <v>0</v>
      </c>
      <c r="AP88" s="114">
        <f t="shared" si="9"/>
        <v>0</v>
      </c>
      <c r="AQ88" s="10"/>
    </row>
    <row r="89">
      <c r="A89" s="20" t="str">
        <f>'MASTER STOCK'!F86</f>
        <v>Kabel Transparan 2x50 90M full serabut per roll 2line</v>
      </c>
      <c r="B89" s="21">
        <f>'JULI 25'!AJ89:AJ446</f>
        <v>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23">
        <f t="shared" si="3"/>
        <v>0</v>
      </c>
      <c r="AI89" s="24">
        <f t="shared" si="4"/>
        <v>1</v>
      </c>
      <c r="AJ89" s="23">
        <f t="shared" si="5"/>
        <v>1</v>
      </c>
      <c r="AK89" s="23">
        <f t="shared" si="6"/>
        <v>0</v>
      </c>
      <c r="AL89" s="114">
        <f>'MASTER STOCK'!I86</f>
        <v>140000</v>
      </c>
      <c r="AM89" s="26">
        <f>'MASTER STOCK'!L86</f>
        <v>238000</v>
      </c>
      <c r="AN89" s="26">
        <f t="shared" si="7"/>
        <v>0</v>
      </c>
      <c r="AO89" s="26">
        <f t="shared" si="8"/>
        <v>0</v>
      </c>
      <c r="AP89" s="114">
        <f t="shared" si="9"/>
        <v>0</v>
      </c>
      <c r="AQ89" s="10"/>
    </row>
    <row r="90">
      <c r="A90" s="20" t="str">
        <f>'MASTER STOCK'!F87</f>
        <v>Solder listrik gagang kayu 60watt</v>
      </c>
      <c r="B90" s="21">
        <f>'JULI 25'!AJ90:AJ447</f>
        <v>5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23">
        <f t="shared" si="3"/>
        <v>0</v>
      </c>
      <c r="AI90" s="24">
        <f t="shared" si="4"/>
        <v>5</v>
      </c>
      <c r="AJ90" s="23">
        <f t="shared" si="5"/>
        <v>5</v>
      </c>
      <c r="AK90" s="23">
        <f t="shared" si="6"/>
        <v>0</v>
      </c>
      <c r="AL90" s="114">
        <f>'MASTER STOCK'!I87</f>
        <v>13000</v>
      </c>
      <c r="AM90" s="26">
        <f>'MASTER STOCK'!L87</f>
        <v>16900</v>
      </c>
      <c r="AN90" s="26">
        <f t="shared" si="7"/>
        <v>0</v>
      </c>
      <c r="AO90" s="26">
        <f t="shared" si="8"/>
        <v>0</v>
      </c>
      <c r="AP90" s="114">
        <f t="shared" si="9"/>
        <v>0</v>
      </c>
      <c r="AQ90" s="10"/>
    </row>
    <row r="91">
      <c r="A91" s="20" t="str">
        <f>'MASTER STOCK'!F88</f>
        <v>Timah gulung solder tenol elektrik</v>
      </c>
      <c r="B91" s="21">
        <f>'JULI 25'!AJ91:AJ448</f>
        <v>3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23">
        <f t="shared" si="3"/>
        <v>0</v>
      </c>
      <c r="AI91" s="24">
        <f t="shared" si="4"/>
        <v>3</v>
      </c>
      <c r="AJ91" s="23">
        <f t="shared" si="5"/>
        <v>3</v>
      </c>
      <c r="AK91" s="23">
        <f t="shared" si="6"/>
        <v>0</v>
      </c>
      <c r="AL91" s="114">
        <f>'MASTER STOCK'!I88</f>
        <v>10500</v>
      </c>
      <c r="AM91" s="26">
        <f>'MASTER STOCK'!L88</f>
        <v>13650</v>
      </c>
      <c r="AN91" s="26">
        <f t="shared" si="7"/>
        <v>0</v>
      </c>
      <c r="AO91" s="26">
        <f t="shared" si="8"/>
        <v>0</v>
      </c>
      <c r="AP91" s="114">
        <f t="shared" si="9"/>
        <v>0</v>
      </c>
      <c r="AQ91" s="10"/>
    </row>
    <row r="92">
      <c r="A92" s="20" t="str">
        <f>'MASTER STOCK'!F89</f>
        <v>Solasi lakban coklat</v>
      </c>
      <c r="B92" s="21">
        <f>'JULI 25'!AJ92:AJ449</f>
        <v>6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23">
        <f t="shared" si="3"/>
        <v>0</v>
      </c>
      <c r="AI92" s="24">
        <f t="shared" si="4"/>
        <v>6</v>
      </c>
      <c r="AJ92" s="23">
        <f t="shared" si="5"/>
        <v>6</v>
      </c>
      <c r="AK92" s="23">
        <f t="shared" si="6"/>
        <v>0</v>
      </c>
      <c r="AL92" s="114">
        <f>'MASTER STOCK'!I89</f>
        <v>3600</v>
      </c>
      <c r="AM92" s="26">
        <f>'MASTER STOCK'!L89</f>
        <v>5400</v>
      </c>
      <c r="AN92" s="26">
        <f t="shared" si="7"/>
        <v>0</v>
      </c>
      <c r="AO92" s="26">
        <f t="shared" si="8"/>
        <v>0</v>
      </c>
      <c r="AP92" s="114">
        <f t="shared" si="9"/>
        <v>0</v>
      </c>
      <c r="AQ92" s="10"/>
    </row>
    <row r="93">
      <c r="A93" s="20" t="str">
        <f>'MASTER STOCK'!F90</f>
        <v>Spidol Kecil snowman Hitam</v>
      </c>
      <c r="B93" s="21">
        <f>'JULI 25'!AJ93:AJ450</f>
        <v>12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23">
        <f t="shared" si="3"/>
        <v>0</v>
      </c>
      <c r="AI93" s="24">
        <f t="shared" si="4"/>
        <v>12</v>
      </c>
      <c r="AJ93" s="23">
        <f t="shared" si="5"/>
        <v>12</v>
      </c>
      <c r="AK93" s="23">
        <f t="shared" si="6"/>
        <v>0</v>
      </c>
      <c r="AL93" s="114">
        <f>'MASTER STOCK'!I90</f>
        <v>1700</v>
      </c>
      <c r="AM93" s="26">
        <f>'MASTER STOCK'!L90</f>
        <v>2550</v>
      </c>
      <c r="AN93" s="26">
        <f t="shared" si="7"/>
        <v>0</v>
      </c>
      <c r="AO93" s="26">
        <f t="shared" si="8"/>
        <v>0</v>
      </c>
      <c r="AP93" s="114">
        <f t="shared" si="9"/>
        <v>0</v>
      </c>
      <c r="AQ93" s="10"/>
    </row>
    <row r="94">
      <c r="A94" s="20" t="str">
        <f>'MASTER STOCK'!F91</f>
        <v>Spidol Kecil snowman Merah</v>
      </c>
      <c r="B94" s="21">
        <f>'JULI 25'!AJ94:AJ451</f>
        <v>12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23">
        <f t="shared" si="3"/>
        <v>0</v>
      </c>
      <c r="AI94" s="24">
        <f t="shared" si="4"/>
        <v>12</v>
      </c>
      <c r="AJ94" s="23">
        <f t="shared" si="5"/>
        <v>12</v>
      </c>
      <c r="AK94" s="23">
        <f t="shared" si="6"/>
        <v>0</v>
      </c>
      <c r="AL94" s="114">
        <f>'MASTER STOCK'!I91</f>
        <v>1700</v>
      </c>
      <c r="AM94" s="26">
        <f>'MASTER STOCK'!L91</f>
        <v>2550</v>
      </c>
      <c r="AN94" s="26">
        <f t="shared" si="7"/>
        <v>0</v>
      </c>
      <c r="AO94" s="26">
        <f t="shared" si="8"/>
        <v>0</v>
      </c>
      <c r="AP94" s="114">
        <f t="shared" si="9"/>
        <v>0</v>
      </c>
      <c r="AQ94" s="10"/>
    </row>
    <row r="95">
      <c r="A95" s="20" t="str">
        <f>'MASTER STOCK'!F92</f>
        <v>isolasi Lakban Packing bening</v>
      </c>
      <c r="B95" s="21">
        <f>'JULI 25'!AJ95:AJ452</f>
        <v>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23">
        <f t="shared" si="3"/>
        <v>0</v>
      </c>
      <c r="AI95" s="24">
        <f t="shared" si="4"/>
        <v>6</v>
      </c>
      <c r="AJ95" s="23">
        <f t="shared" si="5"/>
        <v>6</v>
      </c>
      <c r="AK95" s="23">
        <f t="shared" si="6"/>
        <v>0</v>
      </c>
      <c r="AL95" s="114">
        <f>'MASTER STOCK'!I92</f>
        <v>4500</v>
      </c>
      <c r="AM95" s="26">
        <f>'MASTER STOCK'!L92</f>
        <v>5850</v>
      </c>
      <c r="AN95" s="26">
        <f t="shared" si="7"/>
        <v>0</v>
      </c>
      <c r="AO95" s="26">
        <f t="shared" si="8"/>
        <v>0</v>
      </c>
      <c r="AP95" s="114">
        <f t="shared" si="9"/>
        <v>0</v>
      </c>
      <c r="AQ95" s="10"/>
    </row>
    <row r="96">
      <c r="A96" s="20" t="str">
        <f>'MASTER STOCK'!F93</f>
        <v>Tali tampar/ Tali tukang</v>
      </c>
      <c r="B96" s="21">
        <f>'JULI 25'!AJ96:AJ453</f>
        <v>20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23">
        <f t="shared" si="3"/>
        <v>0</v>
      </c>
      <c r="AI96" s="24">
        <f t="shared" si="4"/>
        <v>20</v>
      </c>
      <c r="AJ96" s="23">
        <f t="shared" si="5"/>
        <v>20</v>
      </c>
      <c r="AK96" s="23">
        <f t="shared" si="6"/>
        <v>0</v>
      </c>
      <c r="AL96" s="114">
        <f>'MASTER STOCK'!I93</f>
        <v>1750</v>
      </c>
      <c r="AM96" s="26">
        <f>'MASTER STOCK'!L93</f>
        <v>2275</v>
      </c>
      <c r="AN96" s="26">
        <f t="shared" si="7"/>
        <v>0</v>
      </c>
      <c r="AO96" s="26">
        <f t="shared" si="8"/>
        <v>0</v>
      </c>
      <c r="AP96" s="114">
        <f t="shared" si="9"/>
        <v>0</v>
      </c>
      <c r="AQ96" s="10"/>
    </row>
    <row r="97">
      <c r="A97" s="20" t="str">
        <f>'MASTER STOCK'!F94</f>
        <v>Keranjang serbaguna</v>
      </c>
      <c r="B97" s="21">
        <f>'JULI 25'!AJ97:AJ454</f>
        <v>24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23">
        <f t="shared" si="3"/>
        <v>0</v>
      </c>
      <c r="AI97" s="24">
        <f t="shared" si="4"/>
        <v>24</v>
      </c>
      <c r="AJ97" s="23">
        <f t="shared" si="5"/>
        <v>24</v>
      </c>
      <c r="AK97" s="23">
        <f t="shared" si="6"/>
        <v>0</v>
      </c>
      <c r="AL97" s="114">
        <f>'MASTER STOCK'!I94</f>
        <v>4700</v>
      </c>
      <c r="AM97" s="26" t="str">
        <f>'MASTER STOCK'!L94</f>
        <v/>
      </c>
      <c r="AN97" s="26">
        <f t="shared" si="7"/>
        <v>0</v>
      </c>
      <c r="AO97" s="26">
        <f t="shared" si="8"/>
        <v>0</v>
      </c>
      <c r="AP97" s="114">
        <f t="shared" si="9"/>
        <v>0</v>
      </c>
      <c r="AQ97" s="10"/>
    </row>
    <row r="98">
      <c r="A98" s="20" t="str">
        <f>'MASTER STOCK'!F95</f>
        <v>Paku (Nail 2000) 1 1/2"</v>
      </c>
      <c r="B98" s="21">
        <f>'JULI 25'!AJ98:AJ455</f>
        <v>4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22"/>
      <c r="W98" s="10"/>
      <c r="X98" s="10"/>
      <c r="Y98" s="10"/>
      <c r="Z98" s="22">
        <v>2.7</v>
      </c>
      <c r="AA98" s="10"/>
      <c r="AB98" s="10"/>
      <c r="AC98" s="10"/>
      <c r="AD98" s="10"/>
      <c r="AE98" s="10"/>
      <c r="AF98" s="10"/>
      <c r="AG98" s="10"/>
      <c r="AH98" s="23">
        <f t="shared" si="3"/>
        <v>2.7</v>
      </c>
      <c r="AI98" s="24">
        <f t="shared" si="4"/>
        <v>1.3</v>
      </c>
      <c r="AJ98" s="23">
        <f t="shared" si="5"/>
        <v>1.3</v>
      </c>
      <c r="AK98" s="23">
        <f t="shared" si="6"/>
        <v>0</v>
      </c>
      <c r="AL98" s="114">
        <f>'MASTER STOCK'!I95</f>
        <v>14400</v>
      </c>
      <c r="AM98" s="26">
        <f>'MASTER STOCK'!L95</f>
        <v>18720</v>
      </c>
      <c r="AN98" s="26">
        <f t="shared" si="7"/>
        <v>50544</v>
      </c>
      <c r="AO98" s="26">
        <f t="shared" si="8"/>
        <v>11664</v>
      </c>
      <c r="AP98" s="114">
        <f t="shared" si="9"/>
        <v>38880</v>
      </c>
      <c r="AQ98" s="10"/>
    </row>
    <row r="99">
      <c r="A99" s="20" t="str">
        <f>'MASTER STOCK'!F96</f>
        <v>Paku (Nail 2000) 2 1/2"</v>
      </c>
      <c r="B99" s="21">
        <f>'JULI 25'!AJ99:AJ456</f>
        <v>20</v>
      </c>
      <c r="C99" s="22">
        <v>0.1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23">
        <f t="shared" si="3"/>
        <v>0.1</v>
      </c>
      <c r="AI99" s="24">
        <f t="shared" si="4"/>
        <v>19.9</v>
      </c>
      <c r="AJ99" s="23">
        <f t="shared" si="5"/>
        <v>19.9</v>
      </c>
      <c r="AK99" s="23">
        <f t="shared" si="6"/>
        <v>0</v>
      </c>
      <c r="AL99" s="114">
        <f>'MASTER STOCK'!I96</f>
        <v>13500</v>
      </c>
      <c r="AM99" s="26">
        <f>'MASTER STOCK'!L96</f>
        <v>17550</v>
      </c>
      <c r="AN99" s="26">
        <f t="shared" si="7"/>
        <v>1755</v>
      </c>
      <c r="AO99" s="26">
        <f t="shared" si="8"/>
        <v>405</v>
      </c>
      <c r="AP99" s="114">
        <f t="shared" si="9"/>
        <v>1350</v>
      </c>
      <c r="AQ99" s="10"/>
    </row>
    <row r="100">
      <c r="A100" s="20" t="str">
        <f>'MASTER STOCK'!F97</f>
        <v>Paku (Nail 2000) 3"</v>
      </c>
      <c r="B100" s="21">
        <f>'JULI 25'!AJ100:AJ457</f>
        <v>20</v>
      </c>
      <c r="C100" s="22"/>
      <c r="D100" s="10"/>
      <c r="E100" s="10"/>
      <c r="F100" s="22">
        <v>0.5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22">
        <v>0.7</v>
      </c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23">
        <f t="shared" si="3"/>
        <v>1.2</v>
      </c>
      <c r="AI100" s="24">
        <f t="shared" si="4"/>
        <v>18.8</v>
      </c>
      <c r="AJ100" s="23">
        <f t="shared" si="5"/>
        <v>18.8</v>
      </c>
      <c r="AK100" s="23">
        <f t="shared" si="6"/>
        <v>0</v>
      </c>
      <c r="AL100" s="114">
        <f>'MASTER STOCK'!I97</f>
        <v>13500</v>
      </c>
      <c r="AM100" s="26">
        <f>'MASTER STOCK'!L97</f>
        <v>17550</v>
      </c>
      <c r="AN100" s="26">
        <f t="shared" si="7"/>
        <v>21060</v>
      </c>
      <c r="AO100" s="26">
        <f t="shared" si="8"/>
        <v>4860</v>
      </c>
      <c r="AP100" s="114">
        <f t="shared" si="9"/>
        <v>16200</v>
      </c>
      <c r="AQ100" s="10"/>
    </row>
    <row r="101">
      <c r="A101" s="20" t="str">
        <f>'MASTER STOCK'!F98</f>
        <v>Paku (Nail 2000) 1"</v>
      </c>
      <c r="B101" s="21">
        <f>'JULI 25'!AJ101:AJ458</f>
        <v>4</v>
      </c>
      <c r="C101" s="22">
        <v>0.15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22">
        <v>0.5</v>
      </c>
      <c r="AH101" s="23">
        <f t="shared" si="3"/>
        <v>0.65</v>
      </c>
      <c r="AI101" s="24">
        <f t="shared" si="4"/>
        <v>3.35</v>
      </c>
      <c r="AJ101" s="23">
        <f t="shared" si="5"/>
        <v>3.35</v>
      </c>
      <c r="AK101" s="23">
        <f t="shared" si="6"/>
        <v>0</v>
      </c>
      <c r="AL101" s="114">
        <f>'MASTER STOCK'!I98</f>
        <v>15200</v>
      </c>
      <c r="AM101" s="26">
        <f>'MASTER STOCK'!L98</f>
        <v>19760</v>
      </c>
      <c r="AN101" s="26">
        <f t="shared" si="7"/>
        <v>12844</v>
      </c>
      <c r="AO101" s="26">
        <f t="shared" si="8"/>
        <v>2964</v>
      </c>
      <c r="AP101" s="114">
        <f t="shared" si="9"/>
        <v>9880</v>
      </c>
      <c r="AQ101" s="10"/>
    </row>
    <row r="102">
      <c r="A102" s="20" t="str">
        <f>'MASTER STOCK'!F99</f>
        <v>Paku (Nail 20000 1 3/4"</v>
      </c>
      <c r="B102" s="21">
        <f>'JULI 25'!AJ102:AJ459</f>
        <v>4</v>
      </c>
      <c r="C102" s="22">
        <v>0.1</v>
      </c>
      <c r="D102" s="10"/>
      <c r="E102" s="10"/>
      <c r="F102" s="22">
        <v>0.35</v>
      </c>
      <c r="G102" s="10"/>
      <c r="H102" s="10"/>
      <c r="I102" s="22">
        <v>0.15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22">
        <v>0.35</v>
      </c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23">
        <f t="shared" si="3"/>
        <v>0.95</v>
      </c>
      <c r="AI102" s="24">
        <f t="shared" si="4"/>
        <v>3.05</v>
      </c>
      <c r="AJ102" s="23">
        <f t="shared" si="5"/>
        <v>3.05</v>
      </c>
      <c r="AK102" s="23">
        <f t="shared" si="6"/>
        <v>0</v>
      </c>
      <c r="AL102" s="114">
        <f>'MASTER STOCK'!I99</f>
        <v>14100</v>
      </c>
      <c r="AM102" s="26">
        <f>'MASTER STOCK'!L99</f>
        <v>18330</v>
      </c>
      <c r="AN102" s="26">
        <f t="shared" si="7"/>
        <v>17413.5</v>
      </c>
      <c r="AO102" s="26">
        <f t="shared" si="8"/>
        <v>4018.5</v>
      </c>
      <c r="AP102" s="114">
        <f t="shared" si="9"/>
        <v>13395</v>
      </c>
      <c r="AQ102" s="10"/>
    </row>
    <row r="103">
      <c r="A103" s="20" t="str">
        <f>'MASTER STOCK'!F100</f>
        <v>Paku (Nail 2000) 2"</v>
      </c>
      <c r="B103" s="21">
        <f>'JULI 25'!AJ103:AJ460</f>
        <v>15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22">
        <v>1.0</v>
      </c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23">
        <f t="shared" si="3"/>
        <v>1</v>
      </c>
      <c r="AI103" s="24">
        <f t="shared" si="4"/>
        <v>14</v>
      </c>
      <c r="AJ103" s="23">
        <f t="shared" si="5"/>
        <v>14</v>
      </c>
      <c r="AK103" s="23">
        <f t="shared" si="6"/>
        <v>0</v>
      </c>
      <c r="AL103" s="114">
        <f>'MASTER STOCK'!I100</f>
        <v>13500</v>
      </c>
      <c r="AM103" s="26">
        <f>'MASTER STOCK'!L100</f>
        <v>17550</v>
      </c>
      <c r="AN103" s="26">
        <f t="shared" si="7"/>
        <v>17550</v>
      </c>
      <c r="AO103" s="26">
        <f t="shared" si="8"/>
        <v>4050</v>
      </c>
      <c r="AP103" s="114">
        <f t="shared" si="9"/>
        <v>13500</v>
      </c>
      <c r="AQ103" s="10"/>
    </row>
    <row r="104">
      <c r="A104" s="20" t="str">
        <f>'MASTER STOCK'!F101</f>
        <v>Besi Beton 6mm SNI (U)</v>
      </c>
      <c r="B104" s="21">
        <f>'JULI 25'!AJ104:AJ461</f>
        <v>10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23">
        <f t="shared" si="3"/>
        <v>0</v>
      </c>
      <c r="AI104" s="24">
        <f t="shared" si="4"/>
        <v>10</v>
      </c>
      <c r="AJ104" s="23">
        <f t="shared" si="5"/>
        <v>10</v>
      </c>
      <c r="AK104" s="23">
        <f t="shared" si="6"/>
        <v>0</v>
      </c>
      <c r="AL104" s="114">
        <f>'MASTER STOCK'!I101</f>
        <v>22000</v>
      </c>
      <c r="AM104" s="26">
        <f>'MASTER STOCK'!L101</f>
        <v>26000</v>
      </c>
      <c r="AN104" s="26">
        <f t="shared" si="7"/>
        <v>0</v>
      </c>
      <c r="AO104" s="26">
        <f t="shared" si="8"/>
        <v>0</v>
      </c>
      <c r="AP104" s="114">
        <f t="shared" si="9"/>
        <v>0</v>
      </c>
      <c r="AQ104" s="10"/>
    </row>
    <row r="105">
      <c r="A105" s="20" t="str">
        <f>'MASTER STOCK'!F102</f>
        <v>Besi Beton 8mm SNI (U)</v>
      </c>
      <c r="B105" s="21">
        <f>'JULI 25'!AJ105:AJ462</f>
        <v>10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22">
        <v>2.0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23">
        <f t="shared" si="3"/>
        <v>2</v>
      </c>
      <c r="AI105" s="24">
        <f t="shared" si="4"/>
        <v>8</v>
      </c>
      <c r="AJ105" s="23">
        <f t="shared" si="5"/>
        <v>8</v>
      </c>
      <c r="AK105" s="23">
        <f t="shared" si="6"/>
        <v>0</v>
      </c>
      <c r="AL105" s="114">
        <f>'MASTER STOCK'!I102</f>
        <v>37000</v>
      </c>
      <c r="AM105" s="26">
        <f>'MASTER STOCK'!L102</f>
        <v>43000</v>
      </c>
      <c r="AN105" s="26">
        <f t="shared" si="7"/>
        <v>86000</v>
      </c>
      <c r="AO105" s="26">
        <f t="shared" si="8"/>
        <v>12000</v>
      </c>
      <c r="AP105" s="114">
        <f t="shared" si="9"/>
        <v>74000</v>
      </c>
      <c r="AQ105" s="10"/>
    </row>
    <row r="106">
      <c r="A106" s="20" t="str">
        <f>'MASTER STOCK'!F103</f>
        <v>Besi Beton 10mm SNI (U)</v>
      </c>
      <c r="B106" s="21">
        <f>'JULI 25'!AJ106:AJ463</f>
        <v>5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23">
        <f t="shared" si="3"/>
        <v>0</v>
      </c>
      <c r="AI106" s="24">
        <f t="shared" si="4"/>
        <v>5</v>
      </c>
      <c r="AJ106" s="23">
        <f t="shared" si="5"/>
        <v>5</v>
      </c>
      <c r="AK106" s="23">
        <f t="shared" si="6"/>
        <v>0</v>
      </c>
      <c r="AL106" s="114">
        <f>'MASTER STOCK'!I103</f>
        <v>58000</v>
      </c>
      <c r="AM106" s="26">
        <f>'MASTER STOCK'!L103</f>
        <v>73000</v>
      </c>
      <c r="AN106" s="26">
        <f t="shared" si="7"/>
        <v>0</v>
      </c>
      <c r="AO106" s="26">
        <f t="shared" si="8"/>
        <v>0</v>
      </c>
      <c r="AP106" s="114">
        <f t="shared" si="9"/>
        <v>0</v>
      </c>
      <c r="AQ106" s="10"/>
    </row>
    <row r="107">
      <c r="A107" s="20" t="str">
        <f>'MASTER STOCK'!F104</f>
        <v>Hollow G Tube 20x40x0.4</v>
      </c>
      <c r="B107" s="21">
        <f>'JULI 25'!AJ107:AJ464</f>
        <v>20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22">
        <v>2.0</v>
      </c>
      <c r="AE107" s="10"/>
      <c r="AF107" s="10"/>
      <c r="AG107" s="10"/>
      <c r="AH107" s="23">
        <f t="shared" si="3"/>
        <v>2</v>
      </c>
      <c r="AI107" s="24">
        <f t="shared" si="4"/>
        <v>18</v>
      </c>
      <c r="AJ107" s="23">
        <f t="shared" si="5"/>
        <v>18</v>
      </c>
      <c r="AK107" s="23">
        <f t="shared" si="6"/>
        <v>0</v>
      </c>
      <c r="AL107" s="114">
        <f>'MASTER STOCK'!I104</f>
        <v>21500</v>
      </c>
      <c r="AM107" s="26">
        <f>'MASTER STOCK'!L104</f>
        <v>25800</v>
      </c>
      <c r="AN107" s="26">
        <f t="shared" si="7"/>
        <v>51600</v>
      </c>
      <c r="AO107" s="26">
        <f t="shared" si="8"/>
        <v>8600</v>
      </c>
      <c r="AP107" s="114">
        <f t="shared" si="9"/>
        <v>43000</v>
      </c>
      <c r="AQ107" s="10"/>
    </row>
    <row r="108">
      <c r="A108" s="20" t="str">
        <f>'MASTER STOCK'!F105</f>
        <v>Hollow G Tube 40x40x0.4</v>
      </c>
      <c r="B108" s="21">
        <f>'JULI 25'!AJ108:AJ465</f>
        <v>10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23">
        <f t="shared" si="3"/>
        <v>0</v>
      </c>
      <c r="AI108" s="24">
        <f t="shared" si="4"/>
        <v>10</v>
      </c>
      <c r="AJ108" s="23">
        <f t="shared" si="5"/>
        <v>10</v>
      </c>
      <c r="AK108" s="23">
        <f t="shared" si="6"/>
        <v>0</v>
      </c>
      <c r="AL108" s="114">
        <f>'MASTER STOCK'!I105</f>
        <v>28500</v>
      </c>
      <c r="AM108" s="26">
        <f>'MASTER STOCK'!L105</f>
        <v>34200</v>
      </c>
      <c r="AN108" s="26">
        <f t="shared" si="7"/>
        <v>0</v>
      </c>
      <c r="AO108" s="26">
        <f t="shared" si="8"/>
        <v>0</v>
      </c>
      <c r="AP108" s="114">
        <f t="shared" si="9"/>
        <v>0</v>
      </c>
      <c r="AQ108" s="10"/>
    </row>
    <row r="109">
      <c r="A109" s="20" t="str">
        <f>'MASTER STOCK'!F106</f>
        <v>Reng Galvalum Kenana 0.45 (M)</v>
      </c>
      <c r="B109" s="21">
        <f>'JULI 25'!AJ109:AJ466</f>
        <v>10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23">
        <f t="shared" si="3"/>
        <v>0</v>
      </c>
      <c r="AI109" s="24">
        <f t="shared" si="4"/>
        <v>10</v>
      </c>
      <c r="AJ109" s="23">
        <f t="shared" si="5"/>
        <v>10</v>
      </c>
      <c r="AK109" s="23">
        <f t="shared" si="6"/>
        <v>0</v>
      </c>
      <c r="AL109" s="114">
        <f>'MASTER STOCK'!I106</f>
        <v>39000</v>
      </c>
      <c r="AM109" s="26">
        <f>'MASTER STOCK'!L106</f>
        <v>42900</v>
      </c>
      <c r="AN109" s="26">
        <f t="shared" si="7"/>
        <v>0</v>
      </c>
      <c r="AO109" s="26">
        <f t="shared" si="8"/>
        <v>0</v>
      </c>
      <c r="AP109" s="114">
        <f t="shared" si="9"/>
        <v>0</v>
      </c>
      <c r="AQ109" s="10"/>
    </row>
    <row r="110">
      <c r="A110" s="20" t="str">
        <f>'MASTER STOCK'!F107</f>
        <v>C Truss Kencana 75x0.85 (0.75) MM</v>
      </c>
      <c r="B110" s="21">
        <f>'JULI 25'!AJ110:AJ467</f>
        <v>10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23">
        <f t="shared" si="3"/>
        <v>0</v>
      </c>
      <c r="AI110" s="24">
        <f t="shared" si="4"/>
        <v>10</v>
      </c>
      <c r="AJ110" s="23">
        <f t="shared" si="5"/>
        <v>10</v>
      </c>
      <c r="AK110" s="23">
        <f t="shared" si="6"/>
        <v>0</v>
      </c>
      <c r="AL110" s="114">
        <f>'MASTER STOCK'!I107</f>
        <v>85000</v>
      </c>
      <c r="AM110" s="26">
        <f>'MASTER STOCK'!L107</f>
        <v>93500</v>
      </c>
      <c r="AN110" s="26">
        <f t="shared" si="7"/>
        <v>0</v>
      </c>
      <c r="AO110" s="26">
        <f t="shared" si="8"/>
        <v>0</v>
      </c>
      <c r="AP110" s="114">
        <f t="shared" si="9"/>
        <v>0</v>
      </c>
      <c r="AQ110" s="10"/>
    </row>
    <row r="111">
      <c r="A111" s="20" t="str">
        <f>'MASTER STOCK'!F108</f>
        <v>KAYU BALOK 4X6X4</v>
      </c>
      <c r="B111" s="21">
        <f>'JULI 25'!AJ111:AJ468</f>
        <v>12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23">
        <f t="shared" si="3"/>
        <v>0</v>
      </c>
      <c r="AI111" s="24">
        <f t="shared" si="4"/>
        <v>12</v>
      </c>
      <c r="AJ111" s="23">
        <f t="shared" si="5"/>
        <v>12</v>
      </c>
      <c r="AK111" s="23">
        <f t="shared" si="6"/>
        <v>0</v>
      </c>
      <c r="AL111" s="114">
        <f>'MASTER STOCK'!I108</f>
        <v>39000</v>
      </c>
      <c r="AM111" s="26">
        <f>'MASTER STOCK'!L108</f>
        <v>42900</v>
      </c>
      <c r="AN111" s="26">
        <f t="shared" si="7"/>
        <v>0</v>
      </c>
      <c r="AO111" s="26">
        <f t="shared" si="8"/>
        <v>0</v>
      </c>
      <c r="AP111" s="114">
        <f t="shared" si="9"/>
        <v>0</v>
      </c>
      <c r="AQ111" s="10"/>
    </row>
    <row r="112">
      <c r="A112" s="20" t="str">
        <f>'MASTER STOCK'!F109</f>
        <v>KAYU BALOK 3X5X4</v>
      </c>
      <c r="B112" s="21">
        <f>'JULI 25'!AJ112:AJ469</f>
        <v>10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23">
        <f t="shared" si="3"/>
        <v>0</v>
      </c>
      <c r="AI112" s="24">
        <f t="shared" si="4"/>
        <v>10</v>
      </c>
      <c r="AJ112" s="23">
        <f t="shared" si="5"/>
        <v>10</v>
      </c>
      <c r="AK112" s="23">
        <f t="shared" si="6"/>
        <v>0</v>
      </c>
      <c r="AL112" s="114">
        <f>'MASTER STOCK'!I109</f>
        <v>24000</v>
      </c>
      <c r="AM112" s="26">
        <f>'MASTER STOCK'!L109</f>
        <v>26400</v>
      </c>
      <c r="AN112" s="26">
        <f t="shared" si="7"/>
        <v>0</v>
      </c>
      <c r="AO112" s="26">
        <f t="shared" si="8"/>
        <v>0</v>
      </c>
      <c r="AP112" s="114">
        <f t="shared" si="9"/>
        <v>0</v>
      </c>
      <c r="AQ112" s="10"/>
    </row>
    <row r="113">
      <c r="A113" s="20" t="str">
        <f>'MASTER STOCK'!F110</f>
        <v>KAYU BALOK 2X3X4</v>
      </c>
      <c r="B113" s="21">
        <f>'JULI 25'!AJ113:AJ470</f>
        <v>25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23">
        <f t="shared" si="3"/>
        <v>0</v>
      </c>
      <c r="AI113" s="24">
        <f t="shared" si="4"/>
        <v>25</v>
      </c>
      <c r="AJ113" s="23">
        <f t="shared" si="5"/>
        <v>25</v>
      </c>
      <c r="AK113" s="23">
        <f t="shared" si="6"/>
        <v>0</v>
      </c>
      <c r="AL113" s="114">
        <f>'MASTER STOCK'!I110</f>
        <v>9600</v>
      </c>
      <c r="AM113" s="26">
        <f>'MASTER STOCK'!L110</f>
        <v>10560</v>
      </c>
      <c r="AN113" s="26">
        <f t="shared" si="7"/>
        <v>0</v>
      </c>
      <c r="AO113" s="26">
        <f t="shared" si="8"/>
        <v>0</v>
      </c>
      <c r="AP113" s="114">
        <f t="shared" si="9"/>
        <v>0</v>
      </c>
      <c r="AQ113" s="10"/>
    </row>
    <row r="114">
      <c r="A114" s="20" t="str">
        <f>'MASTER STOCK'!F111</f>
        <v>CANGKUL </v>
      </c>
      <c r="B114" s="21">
        <f>'JULI 25'!AJ114:AJ471</f>
        <v>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23">
        <f t="shared" si="3"/>
        <v>0</v>
      </c>
      <c r="AI114" s="24">
        <f t="shared" si="4"/>
        <v>1</v>
      </c>
      <c r="AJ114" s="23">
        <f t="shared" si="5"/>
        <v>1</v>
      </c>
      <c r="AK114" s="23">
        <f t="shared" si="6"/>
        <v>0</v>
      </c>
      <c r="AL114" s="114">
        <f>'MASTER STOCK'!I111</f>
        <v>33580</v>
      </c>
      <c r="AM114" s="26">
        <f>'MASTER STOCK'!L111</f>
        <v>57086</v>
      </c>
      <c r="AN114" s="26">
        <f t="shared" si="7"/>
        <v>0</v>
      </c>
      <c r="AO114" s="26">
        <f t="shared" si="8"/>
        <v>0</v>
      </c>
      <c r="AP114" s="114">
        <f t="shared" si="9"/>
        <v>0</v>
      </c>
      <c r="AQ114" s="10"/>
    </row>
    <row r="115">
      <c r="A115" s="20" t="str">
        <f>'MASTER STOCK'!F112</f>
        <v>SEKOP PASIR</v>
      </c>
      <c r="B115" s="21">
        <f>'JULI 25'!AJ115:AJ472</f>
        <v>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23">
        <f t="shared" si="3"/>
        <v>0</v>
      </c>
      <c r="AI115" s="24">
        <f t="shared" si="4"/>
        <v>2</v>
      </c>
      <c r="AJ115" s="23">
        <f t="shared" si="5"/>
        <v>2</v>
      </c>
      <c r="AK115" s="23">
        <f t="shared" si="6"/>
        <v>0</v>
      </c>
      <c r="AL115" s="114">
        <f>'MASTER STOCK'!I112</f>
        <v>20000</v>
      </c>
      <c r="AM115" s="26">
        <f>'MASTER STOCK'!L112</f>
        <v>34000</v>
      </c>
      <c r="AN115" s="26">
        <f t="shared" si="7"/>
        <v>0</v>
      </c>
      <c r="AO115" s="26">
        <f t="shared" si="8"/>
        <v>0</v>
      </c>
      <c r="AP115" s="114">
        <f t="shared" si="9"/>
        <v>0</v>
      </c>
      <c r="AQ115" s="10"/>
    </row>
    <row r="116">
      <c r="A116" s="20" t="str">
        <f>'MASTER STOCK'!F113</f>
        <v>Baut Drilling Galvalum Baja Ringan 100
Pcs Per Plastik - WL 12x50 100Pcs</v>
      </c>
      <c r="B116" s="21">
        <f>'JULI 25'!AJ116:AJ473</f>
        <v>100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23">
        <f t="shared" si="3"/>
        <v>0</v>
      </c>
      <c r="AI116" s="24">
        <f t="shared" si="4"/>
        <v>100</v>
      </c>
      <c r="AJ116" s="23">
        <f t="shared" si="5"/>
        <v>100</v>
      </c>
      <c r="AK116" s="23">
        <f t="shared" si="6"/>
        <v>0</v>
      </c>
      <c r="AL116" s="114">
        <f>'MASTER STOCK'!I113</f>
        <v>250</v>
      </c>
      <c r="AM116" s="26">
        <f>'MASTER STOCK'!L113</f>
        <v>500</v>
      </c>
      <c r="AN116" s="26">
        <f t="shared" si="7"/>
        <v>0</v>
      </c>
      <c r="AO116" s="26">
        <f t="shared" si="8"/>
        <v>0</v>
      </c>
      <c r="AP116" s="114">
        <f t="shared" si="9"/>
        <v>0</v>
      </c>
      <c r="AQ116" s="10"/>
    </row>
    <row r="117">
      <c r="A117" s="20" t="str">
        <f>'MASTER STOCK'!F114</f>
        <v>Baut Drilling Galvalum Baja Ringan 100
Pcs Per Plastik - WL 12x60 100Pcs</v>
      </c>
      <c r="B117" s="21">
        <f>'JULI 25'!AJ117:AJ474</f>
        <v>100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23">
        <f t="shared" si="3"/>
        <v>0</v>
      </c>
      <c r="AI117" s="24">
        <f t="shared" si="4"/>
        <v>100</v>
      </c>
      <c r="AJ117" s="23">
        <f t="shared" si="5"/>
        <v>100</v>
      </c>
      <c r="AK117" s="23">
        <f t="shared" si="6"/>
        <v>0</v>
      </c>
      <c r="AL117" s="114">
        <f>'MASTER STOCK'!I114</f>
        <v>300</v>
      </c>
      <c r="AM117" s="26">
        <f>'MASTER STOCK'!L114</f>
        <v>600</v>
      </c>
      <c r="AN117" s="26">
        <f t="shared" si="7"/>
        <v>0</v>
      </c>
      <c r="AO117" s="26">
        <f t="shared" si="8"/>
        <v>0</v>
      </c>
      <c r="AP117" s="114">
        <f t="shared" si="9"/>
        <v>0</v>
      </c>
      <c r="AQ117" s="10"/>
    </row>
    <row r="118">
      <c r="A118" s="20" t="str">
        <f>'MASTER STOCK'!F115</f>
        <v>Baut Drilling Galvalum Baja Ringan 100
Pcs Per Plastik - WL 12x30 100Pcs</v>
      </c>
      <c r="B118" s="21">
        <f>'JULI 25'!AJ118:AJ475</f>
        <v>100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23">
        <f t="shared" si="3"/>
        <v>0</v>
      </c>
      <c r="AI118" s="24">
        <f t="shared" si="4"/>
        <v>100</v>
      </c>
      <c r="AJ118" s="23">
        <f t="shared" si="5"/>
        <v>100</v>
      </c>
      <c r="AK118" s="23">
        <f t="shared" si="6"/>
        <v>0</v>
      </c>
      <c r="AL118" s="114">
        <f>'MASTER STOCK'!I115</f>
        <v>170</v>
      </c>
      <c r="AM118" s="26">
        <f>'MASTER STOCK'!L115</f>
        <v>340</v>
      </c>
      <c r="AN118" s="26">
        <f t="shared" si="7"/>
        <v>0</v>
      </c>
      <c r="AO118" s="26">
        <f t="shared" si="8"/>
        <v>0</v>
      </c>
      <c r="AP118" s="114">
        <f t="shared" si="9"/>
        <v>0</v>
      </c>
      <c r="AQ118" s="10"/>
    </row>
    <row r="119">
      <c r="A119" s="20" t="str">
        <f>'MASTER STOCK'!F116</f>
        <v>Baut Drilling Galvalum Baja Ringan 100
Pcs Per Plastik - WL 12x40 100Pcs</v>
      </c>
      <c r="B119" s="21">
        <f>'JULI 25'!AJ119:AJ476</f>
        <v>100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23">
        <f t="shared" si="3"/>
        <v>0</v>
      </c>
      <c r="AI119" s="24">
        <f t="shared" si="4"/>
        <v>100</v>
      </c>
      <c r="AJ119" s="23">
        <f t="shared" si="5"/>
        <v>100</v>
      </c>
      <c r="AK119" s="23">
        <f t="shared" si="6"/>
        <v>0</v>
      </c>
      <c r="AL119" s="114">
        <f>'MASTER STOCK'!I116</f>
        <v>220</v>
      </c>
      <c r="AM119" s="26">
        <f>'MASTER STOCK'!L116</f>
        <v>440</v>
      </c>
      <c r="AN119" s="26">
        <f t="shared" si="7"/>
        <v>0</v>
      </c>
      <c r="AO119" s="26">
        <f t="shared" si="8"/>
        <v>0</v>
      </c>
      <c r="AP119" s="114">
        <f t="shared" si="9"/>
        <v>0</v>
      </c>
      <c r="AQ119" s="10"/>
    </row>
    <row r="120">
      <c r="A120" s="20" t="str">
        <f>'MASTER STOCK'!F117</f>
        <v>Baut Drilling Galvalum Baja Ringan 100
Pcs Per Plastik - WL 12x20 100Pcs</v>
      </c>
      <c r="B120" s="21">
        <f>'JULI 25'!AJ120:AJ477</f>
        <v>100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23">
        <f t="shared" si="3"/>
        <v>0</v>
      </c>
      <c r="AI120" s="24">
        <f t="shared" si="4"/>
        <v>100</v>
      </c>
      <c r="AJ120" s="23">
        <f t="shared" si="5"/>
        <v>100</v>
      </c>
      <c r="AK120" s="23">
        <f t="shared" si="6"/>
        <v>0</v>
      </c>
      <c r="AL120" s="114">
        <f>'MASTER STOCK'!I117</f>
        <v>150</v>
      </c>
      <c r="AM120" s="26">
        <f>'MASTER STOCK'!L117</f>
        <v>300</v>
      </c>
      <c r="AN120" s="26">
        <f t="shared" si="7"/>
        <v>0</v>
      </c>
      <c r="AO120" s="26">
        <f t="shared" si="8"/>
        <v>0</v>
      </c>
      <c r="AP120" s="114">
        <f t="shared" si="9"/>
        <v>0</v>
      </c>
      <c r="AQ120" s="10"/>
    </row>
    <row r="121">
      <c r="A121" s="20" t="str">
        <f>'MASTER STOCK'!F118</f>
        <v>Batu Kumbung</v>
      </c>
      <c r="B121" s="21">
        <f>'JULI 25'!AJ121:AJ478</f>
        <v>570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22">
        <v>42.0</v>
      </c>
      <c r="Z121" s="10"/>
      <c r="AA121" s="10"/>
      <c r="AB121" s="10"/>
      <c r="AC121" s="10"/>
      <c r="AD121" s="10"/>
      <c r="AE121" s="10"/>
      <c r="AF121" s="10"/>
      <c r="AG121" s="10"/>
      <c r="AH121" s="23">
        <f t="shared" si="3"/>
        <v>42</v>
      </c>
      <c r="AI121" s="24">
        <f t="shared" si="4"/>
        <v>528</v>
      </c>
      <c r="AJ121" s="23">
        <f t="shared" si="5"/>
        <v>528</v>
      </c>
      <c r="AK121" s="23">
        <f t="shared" si="6"/>
        <v>0</v>
      </c>
      <c r="AL121" s="114">
        <f>'MASTER STOCK'!I118</f>
        <v>8000</v>
      </c>
      <c r="AM121" s="26">
        <f>'MASTER STOCK'!L118</f>
        <v>12000</v>
      </c>
      <c r="AN121" s="26">
        <f t="shared" si="7"/>
        <v>504000</v>
      </c>
      <c r="AO121" s="26">
        <f t="shared" si="8"/>
        <v>168000</v>
      </c>
      <c r="AP121" s="114">
        <f t="shared" si="9"/>
        <v>336000</v>
      </c>
      <c r="AQ121" s="10"/>
    </row>
    <row r="122">
      <c r="A122" s="20" t="str">
        <f>'MASTER STOCK'!F119</f>
        <v>Triplek 8m sengon</v>
      </c>
      <c r="B122" s="21">
        <f>'JULI 25'!AJ122:AJ479</f>
        <v>5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23">
        <f t="shared" si="3"/>
        <v>0</v>
      </c>
      <c r="AI122" s="24">
        <f t="shared" si="4"/>
        <v>5</v>
      </c>
      <c r="AJ122" s="23">
        <f t="shared" si="5"/>
        <v>5</v>
      </c>
      <c r="AK122" s="23">
        <f t="shared" si="6"/>
        <v>0</v>
      </c>
      <c r="AL122" s="114">
        <f>'MASTER STOCK'!I119</f>
        <v>67000</v>
      </c>
      <c r="AM122" s="26">
        <f>'MASTER STOCK'!L119</f>
        <v>70350</v>
      </c>
      <c r="AN122" s="26">
        <f t="shared" si="7"/>
        <v>0</v>
      </c>
      <c r="AO122" s="26">
        <f t="shared" si="8"/>
        <v>0</v>
      </c>
      <c r="AP122" s="114">
        <f t="shared" si="9"/>
        <v>0</v>
      </c>
      <c r="AQ122" s="10"/>
    </row>
    <row r="123">
      <c r="A123" s="20" t="str">
        <f>'MASTER STOCK'!F120</f>
        <v>Triplek 6m sengon</v>
      </c>
      <c r="B123" s="21">
        <f>'JULI 25'!AJ123:AJ480</f>
        <v>10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23">
        <f t="shared" si="3"/>
        <v>0</v>
      </c>
      <c r="AI123" s="24">
        <f t="shared" si="4"/>
        <v>10</v>
      </c>
      <c r="AJ123" s="23">
        <f t="shared" si="5"/>
        <v>10</v>
      </c>
      <c r="AK123" s="23">
        <f t="shared" si="6"/>
        <v>0</v>
      </c>
      <c r="AL123" s="114">
        <f>'MASTER STOCK'!I120</f>
        <v>56500</v>
      </c>
      <c r="AM123" s="26">
        <f>'MASTER STOCK'!L120</f>
        <v>59325</v>
      </c>
      <c r="AN123" s="26">
        <f t="shared" si="7"/>
        <v>0</v>
      </c>
      <c r="AO123" s="26">
        <f t="shared" si="8"/>
        <v>0</v>
      </c>
      <c r="AP123" s="114">
        <f t="shared" si="9"/>
        <v>0</v>
      </c>
      <c r="AQ123" s="10"/>
    </row>
    <row r="124">
      <c r="A124" s="20" t="str">
        <f>'MASTER STOCK'!F121</f>
        <v>Triplek 3m sengon</v>
      </c>
      <c r="B124" s="21">
        <f>'JULI 25'!AJ124:AJ481</f>
        <v>10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23">
        <f t="shared" si="3"/>
        <v>0</v>
      </c>
      <c r="AI124" s="24">
        <f t="shared" si="4"/>
        <v>10</v>
      </c>
      <c r="AJ124" s="23">
        <f t="shared" si="5"/>
        <v>10</v>
      </c>
      <c r="AK124" s="23">
        <f t="shared" si="6"/>
        <v>0</v>
      </c>
      <c r="AL124" s="114">
        <f>'MASTER STOCK'!I121</f>
        <v>38500</v>
      </c>
      <c r="AM124" s="26">
        <f>'MASTER STOCK'!L121</f>
        <v>40425</v>
      </c>
      <c r="AN124" s="26">
        <f t="shared" si="7"/>
        <v>0</v>
      </c>
      <c r="AO124" s="26">
        <f t="shared" si="8"/>
        <v>0</v>
      </c>
      <c r="AP124" s="114">
        <f t="shared" si="9"/>
        <v>0</v>
      </c>
      <c r="AQ124" s="10"/>
    </row>
    <row r="125">
      <c r="A125" s="20" t="str">
        <f>'MASTER STOCK'!F122</f>
        <v>Semen Gresik</v>
      </c>
      <c r="B125" s="21">
        <f>'JULI 25'!AJ125:AJ482</f>
        <v>105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22">
        <v>1.0</v>
      </c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23">
        <f t="shared" si="3"/>
        <v>1</v>
      </c>
      <c r="AI125" s="24">
        <f t="shared" si="4"/>
        <v>104</v>
      </c>
      <c r="AJ125" s="23">
        <f t="shared" si="5"/>
        <v>104</v>
      </c>
      <c r="AK125" s="23">
        <f t="shared" si="6"/>
        <v>0</v>
      </c>
      <c r="AL125" s="114">
        <f>'MASTER STOCK'!I122</f>
        <v>55000</v>
      </c>
      <c r="AM125" s="26">
        <f>'MASTER STOCK'!L122</f>
        <v>56485</v>
      </c>
      <c r="AN125" s="26">
        <f t="shared" si="7"/>
        <v>56485</v>
      </c>
      <c r="AO125" s="26">
        <f t="shared" si="8"/>
        <v>1485</v>
      </c>
      <c r="AP125" s="114">
        <f t="shared" si="9"/>
        <v>55000</v>
      </c>
      <c r="AQ125" s="10"/>
    </row>
    <row r="126">
      <c r="A126" s="20" t="str">
        <f>'MASTER STOCK'!F123</f>
        <v>Kapur</v>
      </c>
      <c r="B126" s="21">
        <f>'JULI 25'!AJ126:AJ483</f>
        <v>100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23">
        <f t="shared" si="3"/>
        <v>0</v>
      </c>
      <c r="AI126" s="24">
        <f t="shared" si="4"/>
        <v>100</v>
      </c>
      <c r="AJ126" s="23">
        <f t="shared" si="5"/>
        <v>100</v>
      </c>
      <c r="AK126" s="23">
        <f t="shared" si="6"/>
        <v>0</v>
      </c>
      <c r="AL126" s="114">
        <f>'MASTER STOCK'!I123</f>
        <v>17000</v>
      </c>
      <c r="AM126" s="26">
        <f>'MASTER STOCK'!L123</f>
        <v>18700</v>
      </c>
      <c r="AN126" s="26">
        <f t="shared" si="7"/>
        <v>0</v>
      </c>
      <c r="AO126" s="26">
        <f t="shared" si="8"/>
        <v>0</v>
      </c>
      <c r="AP126" s="114">
        <f t="shared" si="9"/>
        <v>0</v>
      </c>
      <c r="AQ126" s="10"/>
    </row>
    <row r="127">
      <c r="A127" s="20" t="str">
        <f>'MASTER STOCK'!F124</f>
        <v>Pasir</v>
      </c>
      <c r="B127" s="21">
        <f>'JULI 25'!AJ127:AJ484</f>
        <v>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23">
        <f t="shared" si="3"/>
        <v>0</v>
      </c>
      <c r="AI127" s="24">
        <f t="shared" si="4"/>
        <v>1</v>
      </c>
      <c r="AJ127" s="23">
        <f t="shared" si="5"/>
        <v>1</v>
      </c>
      <c r="AK127" s="23">
        <f t="shared" si="6"/>
        <v>0</v>
      </c>
      <c r="AL127" s="114">
        <f>'MASTER STOCK'!I124</f>
        <v>1000000</v>
      </c>
      <c r="AM127" s="26">
        <f>'MASTER STOCK'!L124</f>
        <v>1100000</v>
      </c>
      <c r="AN127" s="26">
        <f t="shared" si="7"/>
        <v>0</v>
      </c>
      <c r="AO127" s="26">
        <f t="shared" si="8"/>
        <v>0</v>
      </c>
      <c r="AP127" s="114">
        <f t="shared" si="9"/>
        <v>0</v>
      </c>
      <c r="AQ127" s="10"/>
    </row>
    <row r="128">
      <c r="A128" s="20" t="str">
        <f>'MASTER STOCK'!F125</f>
        <v>Stop kontak 1 lubang</v>
      </c>
      <c r="B128" s="21">
        <f>'JULI 25'!AJ128:AJ485</f>
        <v>5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23">
        <f t="shared" si="3"/>
        <v>0</v>
      </c>
      <c r="AI128" s="24">
        <f t="shared" si="4"/>
        <v>5</v>
      </c>
      <c r="AJ128" s="23">
        <f t="shared" si="5"/>
        <v>5</v>
      </c>
      <c r="AK128" s="23">
        <f t="shared" si="6"/>
        <v>0</v>
      </c>
      <c r="AL128" s="114">
        <f>'MASTER STOCK'!I125</f>
        <v>4125</v>
      </c>
      <c r="AM128" s="26">
        <f>'MASTER STOCK'!L125</f>
        <v>416625</v>
      </c>
      <c r="AN128" s="26">
        <f t="shared" si="7"/>
        <v>0</v>
      </c>
      <c r="AO128" s="26">
        <f t="shared" si="8"/>
        <v>0</v>
      </c>
      <c r="AP128" s="114">
        <f t="shared" si="9"/>
        <v>0</v>
      </c>
      <c r="AQ128" s="10"/>
    </row>
    <row r="129">
      <c r="A129" s="20" t="str">
        <f>'MASTER STOCK'!F126</f>
        <v>Stop kontak 2 lubang</v>
      </c>
      <c r="B129" s="21">
        <f>'JULI 25'!AJ129:AJ486</f>
        <v>5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23">
        <f t="shared" si="3"/>
        <v>0</v>
      </c>
      <c r="AI129" s="24">
        <f t="shared" si="4"/>
        <v>5</v>
      </c>
      <c r="AJ129" s="23">
        <f t="shared" si="5"/>
        <v>5</v>
      </c>
      <c r="AK129" s="23">
        <f t="shared" si="6"/>
        <v>0</v>
      </c>
      <c r="AL129" s="114">
        <f>'MASTER STOCK'!I126</f>
        <v>5250</v>
      </c>
      <c r="AM129" s="26">
        <f>'MASTER STOCK'!L126</f>
        <v>8925</v>
      </c>
      <c r="AN129" s="26">
        <f t="shared" si="7"/>
        <v>0</v>
      </c>
      <c r="AO129" s="26">
        <f t="shared" si="8"/>
        <v>0</v>
      </c>
      <c r="AP129" s="114">
        <f t="shared" si="9"/>
        <v>0</v>
      </c>
      <c r="AQ129" s="10"/>
    </row>
    <row r="130">
      <c r="A130" s="20" t="str">
        <f>'MASTER STOCK'!F127</f>
        <v>Stop kontak 3 lubang</v>
      </c>
      <c r="B130" s="21">
        <f>'JULI 25'!AJ130:AJ487</f>
        <v>5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23">
        <f t="shared" si="3"/>
        <v>0</v>
      </c>
      <c r="AI130" s="24">
        <f t="shared" si="4"/>
        <v>5</v>
      </c>
      <c r="AJ130" s="23">
        <f t="shared" si="5"/>
        <v>5</v>
      </c>
      <c r="AK130" s="23">
        <f t="shared" si="6"/>
        <v>0</v>
      </c>
      <c r="AL130" s="114">
        <f>'MASTER STOCK'!I127</f>
        <v>6750</v>
      </c>
      <c r="AM130" s="26">
        <f>'MASTER STOCK'!L127</f>
        <v>14000</v>
      </c>
      <c r="AN130" s="26">
        <f t="shared" si="7"/>
        <v>0</v>
      </c>
      <c r="AO130" s="26">
        <f t="shared" si="8"/>
        <v>0</v>
      </c>
      <c r="AP130" s="114">
        <f t="shared" si="9"/>
        <v>0</v>
      </c>
      <c r="AQ130" s="10"/>
    </row>
    <row r="131">
      <c r="A131" s="20" t="str">
        <f>'MASTER STOCK'!F128</f>
        <v>Stop kontak 4 lubang</v>
      </c>
      <c r="B131" s="21">
        <f>'JULI 25'!AJ131:AJ488</f>
        <v>5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23">
        <f t="shared" si="3"/>
        <v>0</v>
      </c>
      <c r="AI131" s="24">
        <f t="shared" si="4"/>
        <v>5</v>
      </c>
      <c r="AJ131" s="23">
        <f t="shared" si="5"/>
        <v>5</v>
      </c>
      <c r="AK131" s="23">
        <f t="shared" si="6"/>
        <v>0</v>
      </c>
      <c r="AL131" s="114">
        <f>'MASTER STOCK'!I128</f>
        <v>8100</v>
      </c>
      <c r="AM131" s="26">
        <f>'MASTER STOCK'!L128</f>
        <v>16000</v>
      </c>
      <c r="AN131" s="26">
        <f t="shared" si="7"/>
        <v>0</v>
      </c>
      <c r="AO131" s="26">
        <f t="shared" si="8"/>
        <v>0</v>
      </c>
      <c r="AP131" s="114">
        <f t="shared" si="9"/>
        <v>0</v>
      </c>
      <c r="AQ131" s="10"/>
    </row>
    <row r="132">
      <c r="A132" s="20" t="str">
        <f>'MASTER STOCK'!F129</f>
        <v>Stop kontak 5 lubang</v>
      </c>
      <c r="B132" s="21">
        <f>'JULI 25'!AJ132:AJ489</f>
        <v>5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23">
        <f t="shared" si="3"/>
        <v>0</v>
      </c>
      <c r="AI132" s="24">
        <f t="shared" si="4"/>
        <v>5</v>
      </c>
      <c r="AJ132" s="23">
        <f t="shared" si="5"/>
        <v>5</v>
      </c>
      <c r="AK132" s="23">
        <f t="shared" si="6"/>
        <v>0</v>
      </c>
      <c r="AL132" s="114">
        <f>'MASTER STOCK'!I129</f>
        <v>9750</v>
      </c>
      <c r="AM132" s="26">
        <f>'MASTER STOCK'!L129</f>
        <v>16575</v>
      </c>
      <c r="AN132" s="26">
        <f t="shared" si="7"/>
        <v>0</v>
      </c>
      <c r="AO132" s="26">
        <f t="shared" si="8"/>
        <v>0</v>
      </c>
      <c r="AP132" s="114">
        <f t="shared" si="9"/>
        <v>0</v>
      </c>
      <c r="AQ132" s="10"/>
    </row>
    <row r="133">
      <c r="A133" s="20" t="str">
        <f>'MASTER STOCK'!F130</f>
        <v>Baterai ABC</v>
      </c>
      <c r="B133" s="21">
        <f>'JULI 25'!AJ133:AJ490</f>
        <v>24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23">
        <f t="shared" si="3"/>
        <v>0</v>
      </c>
      <c r="AI133" s="24">
        <f t="shared" si="4"/>
        <v>24</v>
      </c>
      <c r="AJ133" s="23">
        <f t="shared" si="5"/>
        <v>24</v>
      </c>
      <c r="AK133" s="23">
        <f t="shared" si="6"/>
        <v>0</v>
      </c>
      <c r="AL133" s="114">
        <f>'MASTER STOCK'!I130</f>
        <v>2600</v>
      </c>
      <c r="AM133" s="26">
        <f>'MASTER STOCK'!L130</f>
        <v>3900</v>
      </c>
      <c r="AN133" s="26">
        <f t="shared" si="7"/>
        <v>0</v>
      </c>
      <c r="AO133" s="26">
        <f t="shared" si="8"/>
        <v>0</v>
      </c>
      <c r="AP133" s="114">
        <f t="shared" si="9"/>
        <v>0</v>
      </c>
      <c r="AQ133" s="10"/>
    </row>
    <row r="134">
      <c r="A134" s="20" t="str">
        <f>'MASTER STOCK'!F131</f>
        <v>NAIL  PAKU PAYUNG 2"</v>
      </c>
      <c r="B134" s="21">
        <f>'JULI 25'!AJ134:AJ491</f>
        <v>5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23">
        <f t="shared" si="3"/>
        <v>0</v>
      </c>
      <c r="AI134" s="24">
        <f t="shared" si="4"/>
        <v>5</v>
      </c>
      <c r="AJ134" s="23">
        <f t="shared" si="5"/>
        <v>5</v>
      </c>
      <c r="AK134" s="23">
        <f t="shared" si="6"/>
        <v>0</v>
      </c>
      <c r="AL134" s="114">
        <f>'MASTER STOCK'!I131</f>
        <v>17500</v>
      </c>
      <c r="AM134" s="26">
        <f>'MASTER STOCK'!L131</f>
        <v>26250</v>
      </c>
      <c r="AN134" s="26">
        <f t="shared" si="7"/>
        <v>0</v>
      </c>
      <c r="AO134" s="26">
        <f t="shared" si="8"/>
        <v>0</v>
      </c>
      <c r="AP134" s="114">
        <f t="shared" si="9"/>
        <v>0</v>
      </c>
      <c r="AQ134" s="10"/>
    </row>
    <row r="135">
      <c r="A135" s="20" t="str">
        <f>'MASTER STOCK'!F132</f>
        <v>NAIL PAKU PAYUNG ULIR 3"</v>
      </c>
      <c r="B135" s="21">
        <f>'JULI 25'!AJ135:AJ492</f>
        <v>5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23">
        <f t="shared" si="3"/>
        <v>0</v>
      </c>
      <c r="AI135" s="24">
        <f t="shared" si="4"/>
        <v>5</v>
      </c>
      <c r="AJ135" s="23">
        <f t="shared" si="5"/>
        <v>5</v>
      </c>
      <c r="AK135" s="23">
        <f t="shared" si="6"/>
        <v>0</v>
      </c>
      <c r="AL135" s="114">
        <f>'MASTER STOCK'!I132</f>
        <v>18500</v>
      </c>
      <c r="AM135" s="26">
        <f>'MASTER STOCK'!L132</f>
        <v>27750</v>
      </c>
      <c r="AN135" s="26">
        <f t="shared" si="7"/>
        <v>0</v>
      </c>
      <c r="AO135" s="26">
        <f t="shared" si="8"/>
        <v>0</v>
      </c>
      <c r="AP135" s="114">
        <f t="shared" si="9"/>
        <v>0</v>
      </c>
      <c r="AQ135" s="10"/>
    </row>
    <row r="136">
      <c r="A136" s="20" t="str">
        <f>'MASTER STOCK'!F133</f>
        <v>NAIL PAKU PAYUNG ULIR 4"</v>
      </c>
      <c r="B136" s="21">
        <f>'JULI 25'!AJ136:AJ493</f>
        <v>5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23">
        <f t="shared" si="3"/>
        <v>0</v>
      </c>
      <c r="AI136" s="24">
        <f t="shared" si="4"/>
        <v>5</v>
      </c>
      <c r="AJ136" s="23">
        <f t="shared" si="5"/>
        <v>5</v>
      </c>
      <c r="AK136" s="23">
        <f t="shared" si="6"/>
        <v>0</v>
      </c>
      <c r="AL136" s="114">
        <f>'MASTER STOCK'!I133</f>
        <v>16500</v>
      </c>
      <c r="AM136" s="26">
        <f>'MASTER STOCK'!L133</f>
        <v>24750</v>
      </c>
      <c r="AN136" s="26">
        <f t="shared" si="7"/>
        <v>0</v>
      </c>
      <c r="AO136" s="26">
        <f t="shared" si="8"/>
        <v>0</v>
      </c>
      <c r="AP136" s="114">
        <f t="shared" si="9"/>
        <v>0</v>
      </c>
      <c r="AQ136" s="10"/>
    </row>
    <row r="137">
      <c r="A137" s="20" t="str">
        <f>'MASTER STOCK'!F134</f>
        <v>PAKU PINES </v>
      </c>
      <c r="B137" s="21">
        <f>'JULI 25'!AJ137:AJ494</f>
        <v>9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22">
        <v>1.0</v>
      </c>
      <c r="AE137" s="10"/>
      <c r="AF137" s="22">
        <v>1.0</v>
      </c>
      <c r="AG137" s="10"/>
      <c r="AH137" s="23">
        <f t="shared" si="3"/>
        <v>2</v>
      </c>
      <c r="AI137" s="24">
        <f t="shared" si="4"/>
        <v>7</v>
      </c>
      <c r="AJ137" s="23">
        <f t="shared" si="5"/>
        <v>7</v>
      </c>
      <c r="AK137" s="23">
        <f t="shared" si="6"/>
        <v>0</v>
      </c>
      <c r="AL137" s="114">
        <f>'MASTER STOCK'!I134</f>
        <v>1200</v>
      </c>
      <c r="AM137" s="26">
        <f>'MASTER STOCK'!L134</f>
        <v>2040</v>
      </c>
      <c r="AN137" s="26">
        <f t="shared" si="7"/>
        <v>4080</v>
      </c>
      <c r="AO137" s="26">
        <f t="shared" si="8"/>
        <v>1680</v>
      </c>
      <c r="AP137" s="114">
        <f t="shared" si="9"/>
        <v>2400</v>
      </c>
      <c r="AQ137" s="10"/>
    </row>
    <row r="138">
      <c r="A138" s="20" t="str">
        <f>'MASTER STOCK'!F135</f>
        <v>KIKIR 3 INC</v>
      </c>
      <c r="B138" s="21">
        <f>'JULI 25'!AJ138:AJ495</f>
        <v>5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23">
        <f t="shared" si="3"/>
        <v>0</v>
      </c>
      <c r="AI138" s="24">
        <f t="shared" si="4"/>
        <v>5</v>
      </c>
      <c r="AJ138" s="23">
        <f t="shared" si="5"/>
        <v>5</v>
      </c>
      <c r="AK138" s="23">
        <f t="shared" si="6"/>
        <v>0</v>
      </c>
      <c r="AL138" s="114">
        <f>'MASTER STOCK'!I135</f>
        <v>8000</v>
      </c>
      <c r="AM138" s="26">
        <f>'MASTER STOCK'!L135</f>
        <v>17200</v>
      </c>
      <c r="AN138" s="26">
        <f t="shared" si="7"/>
        <v>0</v>
      </c>
      <c r="AO138" s="26">
        <f t="shared" si="8"/>
        <v>0</v>
      </c>
      <c r="AP138" s="114">
        <f t="shared" si="9"/>
        <v>0</v>
      </c>
      <c r="AQ138" s="10"/>
    </row>
    <row r="139">
      <c r="A139" s="20" t="str">
        <f>'MASTER STOCK'!F136</f>
        <v>KIKIR 3.5 INC</v>
      </c>
      <c r="B139" s="21">
        <f>'JULI 25'!AJ139:AJ496</f>
        <v>2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23">
        <f t="shared" si="3"/>
        <v>0</v>
      </c>
      <c r="AI139" s="24">
        <f t="shared" si="4"/>
        <v>2</v>
      </c>
      <c r="AJ139" s="23">
        <f t="shared" si="5"/>
        <v>2</v>
      </c>
      <c r="AK139" s="23">
        <f t="shared" si="6"/>
        <v>0</v>
      </c>
      <c r="AL139" s="114">
        <f>'MASTER STOCK'!I136</f>
        <v>7500</v>
      </c>
      <c r="AM139" s="26">
        <f>'MASTER STOCK'!L136</f>
        <v>19125</v>
      </c>
      <c r="AN139" s="26">
        <f t="shared" si="7"/>
        <v>0</v>
      </c>
      <c r="AO139" s="26">
        <f t="shared" si="8"/>
        <v>0</v>
      </c>
      <c r="AP139" s="114">
        <f t="shared" si="9"/>
        <v>0</v>
      </c>
      <c r="AQ139" s="10"/>
    </row>
    <row r="140">
      <c r="A140" s="20" t="str">
        <f>'MASTER STOCK'!F137</f>
        <v>KIKIR 4 INC</v>
      </c>
      <c r="B140" s="21">
        <f>'JULI 25'!AJ140:AJ497</f>
        <v>2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23">
        <f t="shared" si="3"/>
        <v>0</v>
      </c>
      <c r="AI140" s="24">
        <f t="shared" si="4"/>
        <v>2</v>
      </c>
      <c r="AJ140" s="23">
        <f t="shared" si="5"/>
        <v>2</v>
      </c>
      <c r="AK140" s="23">
        <f t="shared" si="6"/>
        <v>0</v>
      </c>
      <c r="AL140" s="114">
        <f>'MASTER STOCK'!I137</f>
        <v>9000</v>
      </c>
      <c r="AM140" s="26">
        <f>'MASTER STOCK'!L137</f>
        <v>20700</v>
      </c>
      <c r="AN140" s="26">
        <f t="shared" si="7"/>
        <v>0</v>
      </c>
      <c r="AO140" s="26">
        <f t="shared" si="8"/>
        <v>0</v>
      </c>
      <c r="AP140" s="114">
        <f t="shared" si="9"/>
        <v>0</v>
      </c>
      <c r="AQ140" s="10"/>
    </row>
    <row r="141">
      <c r="A141" s="20" t="str">
        <f>'MASTER STOCK'!F138</f>
        <v>AVIAN 192 VERMILLION 25CC</v>
      </c>
      <c r="B141" s="21">
        <f>'JULI 25'!AJ141:AJ498</f>
        <v>5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23">
        <f t="shared" si="3"/>
        <v>0</v>
      </c>
      <c r="AI141" s="24">
        <f t="shared" si="4"/>
        <v>5</v>
      </c>
      <c r="AJ141" s="23">
        <f t="shared" si="5"/>
        <v>5</v>
      </c>
      <c r="AK141" s="23">
        <f t="shared" si="6"/>
        <v>0</v>
      </c>
      <c r="AL141" s="114">
        <f>'MASTER STOCK'!I138</f>
        <v>4500</v>
      </c>
      <c r="AM141" s="26">
        <f>'MASTER STOCK'!L138</f>
        <v>5580</v>
      </c>
      <c r="AN141" s="26">
        <f t="shared" si="7"/>
        <v>0</v>
      </c>
      <c r="AO141" s="26">
        <f t="shared" si="8"/>
        <v>0</v>
      </c>
      <c r="AP141" s="114">
        <f t="shared" si="9"/>
        <v>0</v>
      </c>
      <c r="AQ141" s="10"/>
    </row>
    <row r="142">
      <c r="A142" s="20" t="str">
        <f>'MASTER STOCK'!F139</f>
        <v>AVIAN SB 25CC</v>
      </c>
      <c r="B142" s="21">
        <f>'JULI 25'!AJ142:AJ499</f>
        <v>5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23">
        <f t="shared" si="3"/>
        <v>0</v>
      </c>
      <c r="AI142" s="24">
        <f t="shared" si="4"/>
        <v>5</v>
      </c>
      <c r="AJ142" s="23">
        <f t="shared" si="5"/>
        <v>5</v>
      </c>
      <c r="AK142" s="23">
        <f t="shared" si="6"/>
        <v>0</v>
      </c>
      <c r="AL142" s="114">
        <f>'MASTER STOCK'!I139</f>
        <v>4500</v>
      </c>
      <c r="AM142" s="26">
        <f>'MASTER STOCK'!L139</f>
        <v>5580</v>
      </c>
      <c r="AN142" s="26">
        <f t="shared" si="7"/>
        <v>0</v>
      </c>
      <c r="AO142" s="26">
        <f t="shared" si="8"/>
        <v>0</v>
      </c>
      <c r="AP142" s="114">
        <f t="shared" si="9"/>
        <v>0</v>
      </c>
      <c r="AQ142" s="10"/>
    </row>
    <row r="143">
      <c r="A143" s="20" t="str">
        <f>'MASTER STOCK'!F140</f>
        <v>AVIAN 465 MEDIUM YELLOW 25CC</v>
      </c>
      <c r="B143" s="21">
        <f>'JULI 25'!AJ143:AJ500</f>
        <v>5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23">
        <f t="shared" si="3"/>
        <v>0</v>
      </c>
      <c r="AI143" s="24">
        <f t="shared" si="4"/>
        <v>5</v>
      </c>
      <c r="AJ143" s="23">
        <f t="shared" si="5"/>
        <v>5</v>
      </c>
      <c r="AK143" s="23">
        <f t="shared" si="6"/>
        <v>0</v>
      </c>
      <c r="AL143" s="114">
        <f>'MASTER STOCK'!I140</f>
        <v>4500</v>
      </c>
      <c r="AM143" s="26">
        <f>'MASTER STOCK'!L140</f>
        <v>5580</v>
      </c>
      <c r="AN143" s="26">
        <f t="shared" si="7"/>
        <v>0</v>
      </c>
      <c r="AO143" s="26">
        <f t="shared" si="8"/>
        <v>0</v>
      </c>
      <c r="AP143" s="114">
        <f t="shared" si="9"/>
        <v>0</v>
      </c>
      <c r="AQ143" s="10"/>
    </row>
    <row r="144">
      <c r="A144" s="20" t="str">
        <f>'MASTER STOCK'!F141</f>
        <v>AVIAN 733 OCEAN BLUE 25CC</v>
      </c>
      <c r="B144" s="21">
        <f>'JULI 25'!AJ144:AJ501</f>
        <v>5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23">
        <f t="shared" si="3"/>
        <v>0</v>
      </c>
      <c r="AI144" s="24">
        <f t="shared" si="4"/>
        <v>5</v>
      </c>
      <c r="AJ144" s="23">
        <f t="shared" si="5"/>
        <v>5</v>
      </c>
      <c r="AK144" s="23">
        <f t="shared" si="6"/>
        <v>0</v>
      </c>
      <c r="AL144" s="114">
        <f>'MASTER STOCK'!I141</f>
        <v>4500</v>
      </c>
      <c r="AM144" s="26">
        <f>'MASTER STOCK'!L141</f>
        <v>5580</v>
      </c>
      <c r="AN144" s="26">
        <f t="shared" si="7"/>
        <v>0</v>
      </c>
      <c r="AO144" s="26">
        <f t="shared" si="8"/>
        <v>0</v>
      </c>
      <c r="AP144" s="114">
        <f t="shared" si="9"/>
        <v>0</v>
      </c>
      <c r="AQ144" s="10"/>
    </row>
    <row r="145">
      <c r="A145" s="20" t="str">
        <f>'MASTER STOCK'!F142</f>
        <v>AVIAN SW 25CC</v>
      </c>
      <c r="B145" s="21">
        <f>'JULI 25'!AJ145:AJ502</f>
        <v>5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23">
        <f t="shared" si="3"/>
        <v>0</v>
      </c>
      <c r="AI145" s="24">
        <f t="shared" si="4"/>
        <v>5</v>
      </c>
      <c r="AJ145" s="23">
        <f t="shared" si="5"/>
        <v>5</v>
      </c>
      <c r="AK145" s="23">
        <f t="shared" si="6"/>
        <v>0</v>
      </c>
      <c r="AL145" s="114">
        <f>'MASTER STOCK'!I142</f>
        <v>4500</v>
      </c>
      <c r="AM145" s="26">
        <f>'MASTER STOCK'!L142</f>
        <v>5580</v>
      </c>
      <c r="AN145" s="26">
        <f t="shared" si="7"/>
        <v>0</v>
      </c>
      <c r="AO145" s="26">
        <f t="shared" si="8"/>
        <v>0</v>
      </c>
      <c r="AP145" s="114">
        <f t="shared" si="9"/>
        <v>0</v>
      </c>
      <c r="AQ145" s="10"/>
    </row>
    <row r="146">
      <c r="A146" s="20" t="str">
        <f>'MASTER STOCK'!F143</f>
        <v>AVIAN KAYU BESI SB</v>
      </c>
      <c r="B146" s="21">
        <f>'JULI 25'!AJ146:AJ503</f>
        <v>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23">
        <f t="shared" si="3"/>
        <v>0</v>
      </c>
      <c r="AI146" s="24">
        <f t="shared" si="4"/>
        <v>1</v>
      </c>
      <c r="AJ146" s="23">
        <f t="shared" si="5"/>
        <v>1</v>
      </c>
      <c r="AK146" s="23">
        <f t="shared" si="6"/>
        <v>0</v>
      </c>
      <c r="AL146" s="114">
        <f>'MASTER STOCK'!I143</f>
        <v>73000</v>
      </c>
      <c r="AM146" s="26">
        <f>'MASTER STOCK'!L143</f>
        <v>76650</v>
      </c>
      <c r="AN146" s="26">
        <f t="shared" si="7"/>
        <v>0</v>
      </c>
      <c r="AO146" s="26">
        <f t="shared" si="8"/>
        <v>0</v>
      </c>
      <c r="AP146" s="114">
        <f t="shared" si="9"/>
        <v>0</v>
      </c>
      <c r="AQ146" s="10"/>
    </row>
    <row r="147">
      <c r="A147" s="20" t="str">
        <f>'MASTER STOCK'!F144</f>
        <v>AVIAN KAYU BESI 192</v>
      </c>
      <c r="B147" s="21">
        <f>'JULI 25'!AJ147:AJ504</f>
        <v>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23">
        <f t="shared" si="3"/>
        <v>0</v>
      </c>
      <c r="AI147" s="24">
        <f t="shared" si="4"/>
        <v>1</v>
      </c>
      <c r="AJ147" s="23">
        <f t="shared" si="5"/>
        <v>1</v>
      </c>
      <c r="AK147" s="23">
        <f t="shared" si="6"/>
        <v>0</v>
      </c>
      <c r="AL147" s="114">
        <f>'MASTER STOCK'!I144</f>
        <v>73000</v>
      </c>
      <c r="AM147" s="26">
        <f>'MASTER STOCK'!L144</f>
        <v>76650</v>
      </c>
      <c r="AN147" s="26">
        <f t="shared" si="7"/>
        <v>0</v>
      </c>
      <c r="AO147" s="26">
        <f t="shared" si="8"/>
        <v>0</v>
      </c>
      <c r="AP147" s="114">
        <f t="shared" si="9"/>
        <v>0</v>
      </c>
      <c r="AQ147" s="10"/>
    </row>
    <row r="148">
      <c r="A148" s="20" t="str">
        <f>'MASTER STOCK'!F145</f>
        <v>AVIAN KAYU BESI 480</v>
      </c>
      <c r="B148" s="21">
        <f>'JULI 25'!AJ148:AJ505</f>
        <v>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23">
        <f t="shared" si="3"/>
        <v>0</v>
      </c>
      <c r="AI148" s="24">
        <f t="shared" si="4"/>
        <v>1</v>
      </c>
      <c r="AJ148" s="23">
        <f t="shared" si="5"/>
        <v>1</v>
      </c>
      <c r="AK148" s="23">
        <f t="shared" si="6"/>
        <v>0</v>
      </c>
      <c r="AL148" s="114">
        <f>'MASTER STOCK'!I145</f>
        <v>73000</v>
      </c>
      <c r="AM148" s="26">
        <f>'MASTER STOCK'!L145</f>
        <v>76650</v>
      </c>
      <c r="AN148" s="26">
        <f t="shared" si="7"/>
        <v>0</v>
      </c>
      <c r="AO148" s="26">
        <f t="shared" si="8"/>
        <v>0</v>
      </c>
      <c r="AP148" s="114">
        <f t="shared" si="9"/>
        <v>0</v>
      </c>
      <c r="AQ148" s="10"/>
    </row>
    <row r="149">
      <c r="A149" s="20" t="str">
        <f>'MASTER STOCK'!F146</f>
        <v>AVIAN KAYU BESI SW</v>
      </c>
      <c r="B149" s="21">
        <f>'JULI 25'!AJ149:AJ506</f>
        <v>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23">
        <f t="shared" si="3"/>
        <v>0</v>
      </c>
      <c r="AI149" s="24">
        <f t="shared" si="4"/>
        <v>1</v>
      </c>
      <c r="AJ149" s="23">
        <f t="shared" si="5"/>
        <v>1</v>
      </c>
      <c r="AK149" s="23">
        <f t="shared" si="6"/>
        <v>0</v>
      </c>
      <c r="AL149" s="114">
        <f>'MASTER STOCK'!I146</f>
        <v>73000</v>
      </c>
      <c r="AM149" s="26">
        <f>'MASTER STOCK'!L146</f>
        <v>76650</v>
      </c>
      <c r="AN149" s="26">
        <f t="shared" si="7"/>
        <v>0</v>
      </c>
      <c r="AO149" s="26">
        <f t="shared" si="8"/>
        <v>0</v>
      </c>
      <c r="AP149" s="114">
        <f t="shared" si="9"/>
        <v>0</v>
      </c>
      <c r="AQ149" s="10"/>
    </row>
    <row r="150">
      <c r="A150" s="20" t="str">
        <f>'MASTER STOCK'!F147</f>
        <v>BEE BRAND KAYU BESI 126 GREEN</v>
      </c>
      <c r="B150" s="21">
        <f>'JULI 25'!AJ150:AJ507</f>
        <v>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23">
        <f t="shared" si="3"/>
        <v>0</v>
      </c>
      <c r="AI150" s="24">
        <f t="shared" si="4"/>
        <v>1</v>
      </c>
      <c r="AJ150" s="23">
        <f t="shared" si="5"/>
        <v>1</v>
      </c>
      <c r="AK150" s="23">
        <f t="shared" si="6"/>
        <v>0</v>
      </c>
      <c r="AL150" s="114">
        <f>'MASTER STOCK'!I147</f>
        <v>68000</v>
      </c>
      <c r="AM150" s="26">
        <f>'MASTER STOCK'!L147</f>
        <v>72760</v>
      </c>
      <c r="AN150" s="26">
        <f t="shared" si="7"/>
        <v>0</v>
      </c>
      <c r="AO150" s="26">
        <f t="shared" si="8"/>
        <v>0</v>
      </c>
      <c r="AP150" s="114">
        <f t="shared" si="9"/>
        <v>0</v>
      </c>
      <c r="AQ150" s="10"/>
    </row>
    <row r="151">
      <c r="A151" s="20" t="str">
        <f>'MASTER STOCK'!F148</f>
        <v>BEE BRAND KAYU BESI 1019 DEL FOGLIO</v>
      </c>
      <c r="B151" s="21">
        <f>'JULI 25'!AJ151:AJ508</f>
        <v>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23">
        <f t="shared" si="3"/>
        <v>0</v>
      </c>
      <c r="AI151" s="24">
        <f t="shared" si="4"/>
        <v>1</v>
      </c>
      <c r="AJ151" s="23">
        <f t="shared" si="5"/>
        <v>1</v>
      </c>
      <c r="AK151" s="23">
        <f t="shared" si="6"/>
        <v>0</v>
      </c>
      <c r="AL151" s="114">
        <f>'MASTER STOCK'!I148</f>
        <v>68000</v>
      </c>
      <c r="AM151" s="26">
        <f>'MASTER STOCK'!L148</f>
        <v>72760</v>
      </c>
      <c r="AN151" s="26">
        <f t="shared" si="7"/>
        <v>0</v>
      </c>
      <c r="AO151" s="26">
        <f t="shared" si="8"/>
        <v>0</v>
      </c>
      <c r="AP151" s="114">
        <f t="shared" si="9"/>
        <v>0</v>
      </c>
      <c r="AQ151" s="10"/>
    </row>
    <row r="152">
      <c r="A152" s="20" t="str">
        <f>'MASTER STOCK'!F149</f>
        <v>BEE BRAND KAYU BESI 115 SILVER</v>
      </c>
      <c r="B152" s="21">
        <f>'JULI 25'!AJ152:AJ509</f>
        <v>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23">
        <f t="shared" si="3"/>
        <v>0</v>
      </c>
      <c r="AI152" s="24">
        <f t="shared" si="4"/>
        <v>1</v>
      </c>
      <c r="AJ152" s="23">
        <f t="shared" si="5"/>
        <v>1</v>
      </c>
      <c r="AK152" s="23">
        <f t="shared" si="6"/>
        <v>0</v>
      </c>
      <c r="AL152" s="114">
        <f>'MASTER STOCK'!I149</f>
        <v>68000</v>
      </c>
      <c r="AM152" s="26">
        <f>'MASTER STOCK'!L149</f>
        <v>72760</v>
      </c>
      <c r="AN152" s="26">
        <f t="shared" si="7"/>
        <v>0</v>
      </c>
      <c r="AO152" s="26">
        <f t="shared" si="8"/>
        <v>0</v>
      </c>
      <c r="AP152" s="114">
        <f t="shared" si="9"/>
        <v>0</v>
      </c>
      <c r="AQ152" s="10"/>
    </row>
    <row r="153">
      <c r="A153" s="20" t="str">
        <f>'MASTER STOCK'!F150</f>
        <v>PARAGON TEMBOK SW 5KG</v>
      </c>
      <c r="B153" s="21">
        <f>'JULI 25'!AJ153:AJ510</f>
        <v>2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23">
        <f t="shared" si="3"/>
        <v>0</v>
      </c>
      <c r="AI153" s="24">
        <f t="shared" si="4"/>
        <v>2</v>
      </c>
      <c r="AJ153" s="23">
        <f t="shared" si="5"/>
        <v>2</v>
      </c>
      <c r="AK153" s="23">
        <f t="shared" si="6"/>
        <v>0</v>
      </c>
      <c r="AL153" s="114">
        <f>'MASTER STOCK'!I150</f>
        <v>122500</v>
      </c>
      <c r="AM153" s="26">
        <f>'MASTER STOCK'!L150</f>
        <v>134750</v>
      </c>
      <c r="AN153" s="26">
        <f t="shared" si="7"/>
        <v>0</v>
      </c>
      <c r="AO153" s="26">
        <f t="shared" si="8"/>
        <v>0</v>
      </c>
      <c r="AP153" s="114">
        <f t="shared" si="9"/>
        <v>0</v>
      </c>
      <c r="AQ153" s="10"/>
    </row>
    <row r="154">
      <c r="A154" s="20" t="str">
        <f>'MASTER STOCK'!F151</f>
        <v>PARAGON TEMBOK SW 1KG</v>
      </c>
      <c r="B154" s="21">
        <f>'JULI 25'!AJ154:AJ511</f>
        <v>4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23">
        <f t="shared" si="3"/>
        <v>0</v>
      </c>
      <c r="AI154" s="24">
        <f t="shared" si="4"/>
        <v>4</v>
      </c>
      <c r="AJ154" s="23">
        <f t="shared" si="5"/>
        <v>4</v>
      </c>
      <c r="AK154" s="23">
        <f t="shared" si="6"/>
        <v>0</v>
      </c>
      <c r="AL154" s="114">
        <f>'MASTER STOCK'!I151</f>
        <v>32500</v>
      </c>
      <c r="AM154" s="26">
        <f>'MASTER STOCK'!L151</f>
        <v>35750</v>
      </c>
      <c r="AN154" s="26">
        <f t="shared" si="7"/>
        <v>0</v>
      </c>
      <c r="AO154" s="26">
        <f t="shared" si="8"/>
        <v>0</v>
      </c>
      <c r="AP154" s="114">
        <f t="shared" si="9"/>
        <v>0</v>
      </c>
      <c r="AQ154" s="10"/>
    </row>
    <row r="155">
      <c r="A155" s="20" t="str">
        <f>'MASTER STOCK'!F152</f>
        <v>NODROP TEMBOK ABU-ABU 602 1KG</v>
      </c>
      <c r="B155" s="21">
        <f>'JULI 25'!AJ155:AJ512</f>
        <v>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23">
        <f t="shared" si="3"/>
        <v>0</v>
      </c>
      <c r="AI155" s="24">
        <f t="shared" si="4"/>
        <v>4</v>
      </c>
      <c r="AJ155" s="23">
        <f t="shared" si="5"/>
        <v>4</v>
      </c>
      <c r="AK155" s="23">
        <f t="shared" si="6"/>
        <v>0</v>
      </c>
      <c r="AL155" s="114">
        <f>'MASTER STOCK'!I152</f>
        <v>53500</v>
      </c>
      <c r="AM155" s="26">
        <f>'MASTER STOCK'!L152</f>
        <v>58850</v>
      </c>
      <c r="AN155" s="26">
        <f t="shared" si="7"/>
        <v>0</v>
      </c>
      <c r="AO155" s="26">
        <f t="shared" si="8"/>
        <v>0</v>
      </c>
      <c r="AP155" s="114">
        <f t="shared" si="9"/>
        <v>0</v>
      </c>
      <c r="AQ155" s="10"/>
    </row>
    <row r="156">
      <c r="A156" s="20" t="str">
        <f>'MASTER STOCK'!F153</f>
        <v>AVITEX TEMBOK 710 BLUE</v>
      </c>
      <c r="B156" s="21">
        <f>'JULI 25'!AJ156:AJ513</f>
        <v>2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23">
        <f t="shared" si="3"/>
        <v>0</v>
      </c>
      <c r="AI156" s="24">
        <f t="shared" si="4"/>
        <v>2</v>
      </c>
      <c r="AJ156" s="23">
        <f t="shared" si="5"/>
        <v>2</v>
      </c>
      <c r="AK156" s="23">
        <f t="shared" si="6"/>
        <v>0</v>
      </c>
      <c r="AL156" s="114">
        <f>'MASTER STOCK'!I153</f>
        <v>35500</v>
      </c>
      <c r="AM156" s="26">
        <f>'MASTER STOCK'!L153</f>
        <v>39050</v>
      </c>
      <c r="AN156" s="26">
        <f t="shared" si="7"/>
        <v>0</v>
      </c>
      <c r="AO156" s="26">
        <f t="shared" si="8"/>
        <v>0</v>
      </c>
      <c r="AP156" s="114">
        <f t="shared" si="9"/>
        <v>0</v>
      </c>
      <c r="AQ156" s="10"/>
    </row>
    <row r="157">
      <c r="A157" s="20" t="str">
        <f>'MASTER STOCK'!F154</f>
        <v>AVITEX TEMBOK 770 GREEN</v>
      </c>
      <c r="B157" s="21">
        <f>'JULI 25'!AJ157:AJ514</f>
        <v>2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23">
        <f t="shared" si="3"/>
        <v>0</v>
      </c>
      <c r="AI157" s="24">
        <f t="shared" si="4"/>
        <v>2</v>
      </c>
      <c r="AJ157" s="23">
        <f t="shared" si="5"/>
        <v>2</v>
      </c>
      <c r="AK157" s="23">
        <f t="shared" si="6"/>
        <v>0</v>
      </c>
      <c r="AL157" s="114">
        <f>'MASTER STOCK'!I154</f>
        <v>35500</v>
      </c>
      <c r="AM157" s="26">
        <f>'MASTER STOCK'!L154</f>
        <v>39050</v>
      </c>
      <c r="AN157" s="26">
        <f t="shared" si="7"/>
        <v>0</v>
      </c>
      <c r="AO157" s="26">
        <f t="shared" si="8"/>
        <v>0</v>
      </c>
      <c r="AP157" s="114">
        <f t="shared" si="9"/>
        <v>0</v>
      </c>
      <c r="AQ157" s="10"/>
    </row>
    <row r="158">
      <c r="A158" s="20" t="str">
        <f>'MASTER STOCK'!F155</f>
        <v>AVITEX TEMBOK 750 YELLOW</v>
      </c>
      <c r="B158" s="21">
        <f>'JULI 25'!AJ158:AJ515</f>
        <v>2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23">
        <f t="shared" si="3"/>
        <v>0</v>
      </c>
      <c r="AI158" s="24">
        <f t="shared" si="4"/>
        <v>2</v>
      </c>
      <c r="AJ158" s="23">
        <f t="shared" si="5"/>
        <v>2</v>
      </c>
      <c r="AK158" s="23">
        <f t="shared" si="6"/>
        <v>0</v>
      </c>
      <c r="AL158" s="114">
        <f>'MASTER STOCK'!I155</f>
        <v>35500</v>
      </c>
      <c r="AM158" s="26">
        <f>'MASTER STOCK'!L155</f>
        <v>39050</v>
      </c>
      <c r="AN158" s="26">
        <f t="shared" si="7"/>
        <v>0</v>
      </c>
      <c r="AO158" s="26">
        <f t="shared" si="8"/>
        <v>0</v>
      </c>
      <c r="AP158" s="114">
        <f t="shared" si="9"/>
        <v>0</v>
      </c>
      <c r="AQ158" s="10"/>
    </row>
    <row r="159">
      <c r="A159" s="20" t="str">
        <f>'MASTER STOCK'!F156</f>
        <v>AVITEX TEMBOK 831 CREAM</v>
      </c>
      <c r="B159" s="21">
        <f>'JULI 25'!AJ159:AJ516</f>
        <v>2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23">
        <f t="shared" si="3"/>
        <v>0</v>
      </c>
      <c r="AI159" s="24">
        <f t="shared" si="4"/>
        <v>2</v>
      </c>
      <c r="AJ159" s="23">
        <f t="shared" si="5"/>
        <v>2</v>
      </c>
      <c r="AK159" s="23">
        <f t="shared" si="6"/>
        <v>0</v>
      </c>
      <c r="AL159" s="114">
        <f>'MASTER STOCK'!I156</f>
        <v>35500</v>
      </c>
      <c r="AM159" s="26">
        <f>'MASTER STOCK'!L156</f>
        <v>39050</v>
      </c>
      <c r="AN159" s="26">
        <f t="shared" si="7"/>
        <v>0</v>
      </c>
      <c r="AO159" s="26">
        <f t="shared" si="8"/>
        <v>0</v>
      </c>
      <c r="AP159" s="114">
        <f t="shared" si="9"/>
        <v>0</v>
      </c>
      <c r="AQ159" s="10"/>
    </row>
    <row r="160">
      <c r="A160" s="20" t="str">
        <f>'MASTER STOCK'!F157</f>
        <v>AVITEX TEMBOK SB</v>
      </c>
      <c r="B160" s="21">
        <f>'JULI 25'!AJ160:AJ517</f>
        <v>2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23">
        <f t="shared" si="3"/>
        <v>0</v>
      </c>
      <c r="AI160" s="24">
        <f t="shared" si="4"/>
        <v>2</v>
      </c>
      <c r="AJ160" s="23">
        <f t="shared" si="5"/>
        <v>2</v>
      </c>
      <c r="AK160" s="23">
        <f t="shared" si="6"/>
        <v>0</v>
      </c>
      <c r="AL160" s="114">
        <f>'MASTER STOCK'!I157</f>
        <v>35500</v>
      </c>
      <c r="AM160" s="26">
        <f>'MASTER STOCK'!L157</f>
        <v>39050</v>
      </c>
      <c r="AN160" s="26">
        <f t="shared" si="7"/>
        <v>0</v>
      </c>
      <c r="AO160" s="26">
        <f t="shared" si="8"/>
        <v>0</v>
      </c>
      <c r="AP160" s="114">
        <f t="shared" si="9"/>
        <v>0</v>
      </c>
      <c r="AQ160" s="10"/>
    </row>
    <row r="161">
      <c r="A161" s="29" t="str">
        <f>'MASTER STOCK'!F158</f>
        <v>knee 1/2 dim</v>
      </c>
      <c r="B161" s="30">
        <f>'JULI 25'!AJ161:AJ518</f>
        <v>46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23">
        <f t="shared" si="3"/>
        <v>0</v>
      </c>
      <c r="AI161" s="31">
        <f t="shared" si="4"/>
        <v>46</v>
      </c>
      <c r="AJ161" s="32">
        <f t="shared" si="5"/>
        <v>46</v>
      </c>
      <c r="AK161" s="32">
        <f t="shared" si="6"/>
        <v>0</v>
      </c>
      <c r="AL161" s="114">
        <f>'MASTER STOCK'!I158</f>
        <v>2500</v>
      </c>
      <c r="AM161" s="26">
        <f>'MASTER STOCK'!L158</f>
        <v>2500</v>
      </c>
      <c r="AN161" s="26">
        <f t="shared" si="7"/>
        <v>0</v>
      </c>
      <c r="AO161" s="26">
        <f t="shared" si="8"/>
        <v>0</v>
      </c>
      <c r="AP161" s="114">
        <f t="shared" si="9"/>
        <v>0</v>
      </c>
      <c r="AQ161" s="10"/>
    </row>
    <row r="162">
      <c r="A162" s="29" t="str">
        <f>'MASTER STOCK'!F159</f>
        <v>knee 3/4 dim</v>
      </c>
      <c r="B162" s="30">
        <f>'JULI 25'!AJ162:AJ519</f>
        <v>38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23">
        <f t="shared" si="3"/>
        <v>0</v>
      </c>
      <c r="AI162" s="31">
        <f t="shared" si="4"/>
        <v>38</v>
      </c>
      <c r="AJ162" s="32">
        <f t="shared" si="5"/>
        <v>38</v>
      </c>
      <c r="AK162" s="32">
        <f t="shared" si="6"/>
        <v>0</v>
      </c>
      <c r="AL162" s="114">
        <f>'MASTER STOCK'!I159</f>
        <v>3500</v>
      </c>
      <c r="AM162" s="26">
        <f>'MASTER STOCK'!L159</f>
        <v>3500</v>
      </c>
      <c r="AN162" s="26">
        <f t="shared" si="7"/>
        <v>0</v>
      </c>
      <c r="AO162" s="26">
        <f t="shared" si="8"/>
        <v>0</v>
      </c>
      <c r="AP162" s="114">
        <f t="shared" si="9"/>
        <v>0</v>
      </c>
      <c r="AQ162" s="10"/>
    </row>
    <row r="163">
      <c r="A163" s="29" t="str">
        <f>'MASTER STOCK'!F160</f>
        <v>knee drat dalam 3/4 dim</v>
      </c>
      <c r="B163" s="30">
        <f>'JULI 25'!AJ163:AJ520</f>
        <v>8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23">
        <f t="shared" si="3"/>
        <v>0</v>
      </c>
      <c r="AI163" s="31">
        <f t="shared" si="4"/>
        <v>8</v>
      </c>
      <c r="AJ163" s="32">
        <f t="shared" si="5"/>
        <v>8</v>
      </c>
      <c r="AK163" s="32">
        <f t="shared" si="6"/>
        <v>0</v>
      </c>
      <c r="AL163" s="114">
        <f>'MASTER STOCK'!I160</f>
        <v>4500</v>
      </c>
      <c r="AM163" s="26">
        <f>'MASTER STOCK'!L160</f>
        <v>4500</v>
      </c>
      <c r="AN163" s="26">
        <f t="shared" si="7"/>
        <v>0</v>
      </c>
      <c r="AO163" s="26">
        <f t="shared" si="8"/>
        <v>0</v>
      </c>
      <c r="AP163" s="114">
        <f t="shared" si="9"/>
        <v>0</v>
      </c>
      <c r="AQ163" s="10"/>
    </row>
    <row r="164">
      <c r="A164" s="29" t="str">
        <f>'MASTER STOCK'!F161</f>
        <v>paku 1 1/2</v>
      </c>
      <c r="B164" s="30">
        <f>'JULI 25'!AJ164:AJ521</f>
        <v>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23">
        <f t="shared" si="3"/>
        <v>0</v>
      </c>
      <c r="AI164" s="31">
        <f t="shared" si="4"/>
        <v>1</v>
      </c>
      <c r="AJ164" s="32">
        <f t="shared" si="5"/>
        <v>1</v>
      </c>
      <c r="AK164" s="32">
        <f t="shared" si="6"/>
        <v>0</v>
      </c>
      <c r="AL164" s="114">
        <f>'MASTER STOCK'!I161</f>
        <v>25000</v>
      </c>
      <c r="AM164" s="26">
        <f>'MASTER STOCK'!L161</f>
        <v>25000</v>
      </c>
      <c r="AN164" s="26">
        <f t="shared" si="7"/>
        <v>0</v>
      </c>
      <c r="AO164" s="26">
        <f t="shared" si="8"/>
        <v>0</v>
      </c>
      <c r="AP164" s="114">
        <f t="shared" si="9"/>
        <v>0</v>
      </c>
      <c r="AQ164" s="10"/>
    </row>
    <row r="165">
      <c r="A165" s="29" t="str">
        <f>'MASTER STOCK'!F162</f>
        <v>paku 3/4</v>
      </c>
      <c r="B165" s="30">
        <f>'JULI 25'!AJ165:AJ522</f>
        <v>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23">
        <f t="shared" si="3"/>
        <v>0</v>
      </c>
      <c r="AI165" s="31">
        <f t="shared" si="4"/>
        <v>1</v>
      </c>
      <c r="AJ165" s="32">
        <f t="shared" si="5"/>
        <v>1</v>
      </c>
      <c r="AK165" s="32">
        <f t="shared" si="6"/>
        <v>0</v>
      </c>
      <c r="AL165" s="114">
        <f>'MASTER STOCK'!I162</f>
        <v>25000</v>
      </c>
      <c r="AM165" s="26">
        <f>'MASTER STOCK'!L162</f>
        <v>25000</v>
      </c>
      <c r="AN165" s="26">
        <f t="shared" si="7"/>
        <v>0</v>
      </c>
      <c r="AO165" s="26">
        <f t="shared" si="8"/>
        <v>0</v>
      </c>
      <c r="AP165" s="114">
        <f t="shared" si="9"/>
        <v>0</v>
      </c>
      <c r="AQ165" s="10"/>
    </row>
    <row r="166">
      <c r="A166" s="29" t="str">
        <f>'MASTER STOCK'!F163</f>
        <v>t  1/2 dim</v>
      </c>
      <c r="B166" s="30">
        <f>'JULI 25'!AJ166:AJ523</f>
        <v>9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23">
        <f t="shared" si="3"/>
        <v>0</v>
      </c>
      <c r="AI166" s="31">
        <f t="shared" si="4"/>
        <v>9</v>
      </c>
      <c r="AJ166" s="32">
        <f t="shared" si="5"/>
        <v>9</v>
      </c>
      <c r="AK166" s="32">
        <f t="shared" si="6"/>
        <v>0</v>
      </c>
      <c r="AL166" s="114">
        <f>'MASTER STOCK'!I163</f>
        <v>2500</v>
      </c>
      <c r="AM166" s="26">
        <f>'MASTER STOCK'!L163</f>
        <v>2500</v>
      </c>
      <c r="AN166" s="26">
        <f t="shared" si="7"/>
        <v>0</v>
      </c>
      <c r="AO166" s="26">
        <f t="shared" si="8"/>
        <v>0</v>
      </c>
      <c r="AP166" s="114">
        <f t="shared" si="9"/>
        <v>0</v>
      </c>
      <c r="AQ166" s="10"/>
    </row>
    <row r="167">
      <c r="A167" s="29" t="str">
        <f>'MASTER STOCK'!F164</f>
        <v>knee 1 dim</v>
      </c>
      <c r="B167" s="30">
        <f>'JULI 25'!AJ167:AJ524</f>
        <v>18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23">
        <f t="shared" si="3"/>
        <v>0</v>
      </c>
      <c r="AI167" s="31">
        <f t="shared" si="4"/>
        <v>18</v>
      </c>
      <c r="AJ167" s="32">
        <f t="shared" si="5"/>
        <v>18</v>
      </c>
      <c r="AK167" s="32">
        <f t="shared" si="6"/>
        <v>0</v>
      </c>
      <c r="AL167" s="114">
        <f>'MASTER STOCK'!I164</f>
        <v>4000</v>
      </c>
      <c r="AM167" s="26">
        <f>'MASTER STOCK'!L164</f>
        <v>4000</v>
      </c>
      <c r="AN167" s="26">
        <f t="shared" si="7"/>
        <v>0</v>
      </c>
      <c r="AO167" s="26">
        <f t="shared" si="8"/>
        <v>0</v>
      </c>
      <c r="AP167" s="114">
        <f t="shared" si="9"/>
        <v>0</v>
      </c>
      <c r="AQ167" s="10"/>
    </row>
    <row r="168">
      <c r="A168" s="29" t="str">
        <f>'MASTER STOCK'!F165</f>
        <v>t 1/2 dim</v>
      </c>
      <c r="B168" s="30">
        <f>'JULI 25'!AJ168:AJ525</f>
        <v>15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23">
        <f t="shared" si="3"/>
        <v>0</v>
      </c>
      <c r="AI168" s="31">
        <f t="shared" si="4"/>
        <v>15</v>
      </c>
      <c r="AJ168" s="32">
        <f t="shared" si="5"/>
        <v>15</v>
      </c>
      <c r="AK168" s="32">
        <f t="shared" si="6"/>
        <v>0</v>
      </c>
      <c r="AL168" s="114">
        <f>'MASTER STOCK'!I165</f>
        <v>2500</v>
      </c>
      <c r="AM168" s="26">
        <f>'MASTER STOCK'!L165</f>
        <v>2500</v>
      </c>
      <c r="AN168" s="26">
        <f t="shared" si="7"/>
        <v>0</v>
      </c>
      <c r="AO168" s="26">
        <f t="shared" si="8"/>
        <v>0</v>
      </c>
      <c r="AP168" s="114">
        <f t="shared" si="9"/>
        <v>0</v>
      </c>
      <c r="AQ168" s="10"/>
    </row>
    <row r="169">
      <c r="A169" s="29" t="str">
        <f>'MASTER STOCK'!F166</f>
        <v>t 1/4 dim</v>
      </c>
      <c r="B169" s="30">
        <f>'JULI 25'!AJ169:AJ526</f>
        <v>5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23">
        <f t="shared" si="3"/>
        <v>0</v>
      </c>
      <c r="AI169" s="31">
        <f t="shared" si="4"/>
        <v>5</v>
      </c>
      <c r="AJ169" s="32">
        <f t="shared" si="5"/>
        <v>5</v>
      </c>
      <c r="AK169" s="32">
        <f t="shared" si="6"/>
        <v>0</v>
      </c>
      <c r="AL169" s="114">
        <f>'MASTER STOCK'!I166</f>
        <v>2500</v>
      </c>
      <c r="AM169" s="26">
        <f>'MASTER STOCK'!L166</f>
        <v>2500</v>
      </c>
      <c r="AN169" s="26">
        <f t="shared" si="7"/>
        <v>0</v>
      </c>
      <c r="AO169" s="26">
        <f t="shared" si="8"/>
        <v>0</v>
      </c>
      <c r="AP169" s="114">
        <f t="shared" si="9"/>
        <v>0</v>
      </c>
      <c r="AQ169" s="10"/>
    </row>
    <row r="170">
      <c r="A170" s="29" t="str">
        <f>'MASTER STOCK'!F167</f>
        <v>t 2 dim</v>
      </c>
      <c r="B170" s="30">
        <f>'JULI 25'!AJ170:AJ527</f>
        <v>24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23">
        <f t="shared" si="3"/>
        <v>0</v>
      </c>
      <c r="AI170" s="31">
        <f t="shared" si="4"/>
        <v>24</v>
      </c>
      <c r="AJ170" s="32">
        <f t="shared" si="5"/>
        <v>24</v>
      </c>
      <c r="AK170" s="32">
        <f t="shared" si="6"/>
        <v>0</v>
      </c>
      <c r="AL170" s="114">
        <f>'MASTER STOCK'!I167</f>
        <v>5000</v>
      </c>
      <c r="AM170" s="26">
        <f>'MASTER STOCK'!L167</f>
        <v>5000</v>
      </c>
      <c r="AN170" s="26">
        <f t="shared" si="7"/>
        <v>0</v>
      </c>
      <c r="AO170" s="26">
        <f t="shared" si="8"/>
        <v>0</v>
      </c>
      <c r="AP170" s="114">
        <f t="shared" si="9"/>
        <v>0</v>
      </c>
      <c r="AQ170" s="10"/>
    </row>
    <row r="171">
      <c r="A171" s="29" t="str">
        <f>'MASTER STOCK'!F168</f>
        <v>t 3/4 dim</v>
      </c>
      <c r="B171" s="30">
        <f>'JULI 25'!AJ171:AJ528</f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23">
        <f t="shared" si="3"/>
        <v>0</v>
      </c>
      <c r="AI171" s="31">
        <f t="shared" si="4"/>
        <v>11</v>
      </c>
      <c r="AJ171" s="32">
        <f t="shared" si="5"/>
        <v>11</v>
      </c>
      <c r="AK171" s="32">
        <f t="shared" si="6"/>
        <v>0</v>
      </c>
      <c r="AL171" s="114">
        <f>'MASTER STOCK'!I168</f>
        <v>3500</v>
      </c>
      <c r="AM171" s="26">
        <f>'MASTER STOCK'!L168</f>
        <v>3500</v>
      </c>
      <c r="AN171" s="26">
        <f t="shared" si="7"/>
        <v>0</v>
      </c>
      <c r="AO171" s="26">
        <f t="shared" si="8"/>
        <v>0</v>
      </c>
      <c r="AP171" s="114">
        <f t="shared" si="9"/>
        <v>0</v>
      </c>
      <c r="AQ171" s="10"/>
    </row>
    <row r="172">
      <c r="A172" s="29" t="str">
        <f>'MASTER STOCK'!F169</f>
        <v>knee 1 1/2</v>
      </c>
      <c r="B172" s="30">
        <f>'JULI 25'!AJ172:AJ529</f>
        <v>10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23">
        <f t="shared" si="3"/>
        <v>0</v>
      </c>
      <c r="AI172" s="31">
        <f t="shared" si="4"/>
        <v>10</v>
      </c>
      <c r="AJ172" s="32">
        <f t="shared" si="5"/>
        <v>10</v>
      </c>
      <c r="AK172" s="32">
        <f t="shared" si="6"/>
        <v>0</v>
      </c>
      <c r="AL172" s="114">
        <f>'MASTER STOCK'!I169</f>
        <v>4500</v>
      </c>
      <c r="AM172" s="26">
        <f>'MASTER STOCK'!L169</f>
        <v>4500</v>
      </c>
      <c r="AN172" s="26">
        <f t="shared" si="7"/>
        <v>0</v>
      </c>
      <c r="AO172" s="26">
        <f t="shared" si="8"/>
        <v>0</v>
      </c>
      <c r="AP172" s="114">
        <f t="shared" si="9"/>
        <v>0</v>
      </c>
      <c r="AQ172" s="10"/>
    </row>
    <row r="173">
      <c r="A173" s="29" t="str">
        <f>'MASTER STOCK'!F170</f>
        <v>t drat dalam 1/2 dim</v>
      </c>
      <c r="B173" s="30">
        <f>'JULI 25'!AJ173:AJ530</f>
        <v>10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23">
        <f t="shared" si="3"/>
        <v>0</v>
      </c>
      <c r="AI173" s="31">
        <f t="shared" si="4"/>
        <v>10</v>
      </c>
      <c r="AJ173" s="32">
        <f t="shared" si="5"/>
        <v>10</v>
      </c>
      <c r="AK173" s="32">
        <f t="shared" si="6"/>
        <v>0</v>
      </c>
      <c r="AL173" s="114">
        <f>'MASTER STOCK'!I170</f>
        <v>3000</v>
      </c>
      <c r="AM173" s="26">
        <f>'MASTER STOCK'!L170</f>
        <v>3000</v>
      </c>
      <c r="AN173" s="26">
        <f t="shared" si="7"/>
        <v>0</v>
      </c>
      <c r="AO173" s="26">
        <f t="shared" si="8"/>
        <v>0</v>
      </c>
      <c r="AP173" s="114">
        <f t="shared" si="9"/>
        <v>0</v>
      </c>
      <c r="AQ173" s="10"/>
    </row>
    <row r="174">
      <c r="A174" s="29" t="str">
        <f>'MASTER STOCK'!F171</f>
        <v>t drat dalam 3/4</v>
      </c>
      <c r="B174" s="30">
        <f>'JULI 25'!AJ174:AJ531</f>
        <v>7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23">
        <f t="shared" si="3"/>
        <v>0</v>
      </c>
      <c r="AI174" s="31">
        <f t="shared" si="4"/>
        <v>7</v>
      </c>
      <c r="AJ174" s="32">
        <f t="shared" si="5"/>
        <v>7</v>
      </c>
      <c r="AK174" s="32">
        <f t="shared" si="6"/>
        <v>0</v>
      </c>
      <c r="AL174" s="114">
        <f>'MASTER STOCK'!I171</f>
        <v>4000</v>
      </c>
      <c r="AM174" s="26">
        <f>'MASTER STOCK'!L171</f>
        <v>4000</v>
      </c>
      <c r="AN174" s="26">
        <f t="shared" si="7"/>
        <v>0</v>
      </c>
      <c r="AO174" s="26">
        <f t="shared" si="8"/>
        <v>0</v>
      </c>
      <c r="AP174" s="114">
        <f t="shared" si="9"/>
        <v>0</v>
      </c>
      <c r="AQ174" s="10"/>
    </row>
    <row r="175">
      <c r="A175" s="29" t="str">
        <f>'MASTER STOCK'!F172</f>
        <v>sok darat luar 1/2</v>
      </c>
      <c r="B175" s="30">
        <f>'JULI 25'!AJ175:AJ532</f>
        <v>12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23">
        <f t="shared" si="3"/>
        <v>0</v>
      </c>
      <c r="AI175" s="31">
        <f t="shared" si="4"/>
        <v>12</v>
      </c>
      <c r="AJ175" s="32">
        <f t="shared" si="5"/>
        <v>12</v>
      </c>
      <c r="AK175" s="32">
        <f t="shared" si="6"/>
        <v>0</v>
      </c>
      <c r="AL175" s="114">
        <f>'MASTER STOCK'!I172</f>
        <v>2500</v>
      </c>
      <c r="AM175" s="26">
        <f>'MASTER STOCK'!L172</f>
        <v>2500</v>
      </c>
      <c r="AN175" s="26">
        <f t="shared" si="7"/>
        <v>0</v>
      </c>
      <c r="AO175" s="26">
        <f t="shared" si="8"/>
        <v>0</v>
      </c>
      <c r="AP175" s="114">
        <f t="shared" si="9"/>
        <v>0</v>
      </c>
      <c r="AQ175" s="10"/>
    </row>
    <row r="176">
      <c r="A176" s="29" t="str">
        <f>'MASTER STOCK'!F173</f>
        <v>knee 1 1/4</v>
      </c>
      <c r="B176" s="30">
        <f>'JULI 25'!AJ176:AJ533</f>
        <v>13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23">
        <f t="shared" si="3"/>
        <v>0</v>
      </c>
      <c r="AI176" s="31">
        <f t="shared" si="4"/>
        <v>13</v>
      </c>
      <c r="AJ176" s="32">
        <f t="shared" si="5"/>
        <v>13</v>
      </c>
      <c r="AK176" s="32">
        <f t="shared" si="6"/>
        <v>0</v>
      </c>
      <c r="AL176" s="114">
        <f>'MASTER STOCK'!I173</f>
        <v>3500</v>
      </c>
      <c r="AM176" s="26">
        <f>'MASTER STOCK'!L173</f>
        <v>3500</v>
      </c>
      <c r="AN176" s="26">
        <f t="shared" si="7"/>
        <v>0</v>
      </c>
      <c r="AO176" s="26">
        <f t="shared" si="8"/>
        <v>0</v>
      </c>
      <c r="AP176" s="114">
        <f t="shared" si="9"/>
        <v>0</v>
      </c>
      <c r="AQ176" s="10"/>
    </row>
    <row r="177">
      <c r="A177" s="29" t="str">
        <f>'MASTER STOCK'!F174</f>
        <v>sok drat dalam 1/2</v>
      </c>
      <c r="B177" s="30">
        <f>'JULI 25'!AJ177:AJ534</f>
        <v>320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23">
        <f t="shared" si="3"/>
        <v>0</v>
      </c>
      <c r="AI177" s="31">
        <f t="shared" si="4"/>
        <v>320</v>
      </c>
      <c r="AJ177" s="32">
        <f t="shared" si="5"/>
        <v>320</v>
      </c>
      <c r="AK177" s="32">
        <f t="shared" si="6"/>
        <v>0</v>
      </c>
      <c r="AL177" s="114">
        <f>'MASTER STOCK'!I174</f>
        <v>930</v>
      </c>
      <c r="AM177" s="26">
        <f>'MASTER STOCK'!L174</f>
        <v>2500</v>
      </c>
      <c r="AN177" s="26">
        <f t="shared" si="7"/>
        <v>0</v>
      </c>
      <c r="AO177" s="26">
        <f t="shared" si="8"/>
        <v>0</v>
      </c>
      <c r="AP177" s="114">
        <f t="shared" si="9"/>
        <v>0</v>
      </c>
      <c r="AQ177" s="10"/>
    </row>
    <row r="178">
      <c r="A178" s="29" t="str">
        <f>'MASTER STOCK'!F175</f>
        <v>sok 1/2</v>
      </c>
      <c r="B178" s="30">
        <f>'JULI 25'!AJ178:AJ535</f>
        <v>350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23">
        <f t="shared" si="3"/>
        <v>0</v>
      </c>
      <c r="AI178" s="31">
        <f t="shared" si="4"/>
        <v>350</v>
      </c>
      <c r="AJ178" s="32">
        <f t="shared" si="5"/>
        <v>350</v>
      </c>
      <c r="AK178" s="32">
        <f t="shared" si="6"/>
        <v>0</v>
      </c>
      <c r="AL178" s="114">
        <f>'MASTER STOCK'!I175</f>
        <v>622</v>
      </c>
      <c r="AM178" s="26">
        <f>'MASTER STOCK'!L175</f>
        <v>2000</v>
      </c>
      <c r="AN178" s="26">
        <f t="shared" si="7"/>
        <v>0</v>
      </c>
      <c r="AO178" s="26">
        <f t="shared" si="8"/>
        <v>0</v>
      </c>
      <c r="AP178" s="114">
        <f t="shared" si="9"/>
        <v>0</v>
      </c>
      <c r="AQ178" s="10"/>
    </row>
    <row r="179">
      <c r="A179" s="29" t="str">
        <f>'MASTER STOCK'!F176</f>
        <v>sok 3/4</v>
      </c>
      <c r="B179" s="30">
        <f>'JULI 25'!AJ179:AJ536</f>
        <v>350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23">
        <f t="shared" si="3"/>
        <v>0</v>
      </c>
      <c r="AI179" s="31">
        <f t="shared" si="4"/>
        <v>350</v>
      </c>
      <c r="AJ179" s="32">
        <f t="shared" si="5"/>
        <v>350</v>
      </c>
      <c r="AK179" s="32">
        <f t="shared" si="6"/>
        <v>0</v>
      </c>
      <c r="AL179" s="114">
        <f>'MASTER STOCK'!I176</f>
        <v>835</v>
      </c>
      <c r="AM179" s="26">
        <f>'MASTER STOCK'!L176</f>
        <v>3000</v>
      </c>
      <c r="AN179" s="26">
        <f t="shared" si="7"/>
        <v>0</v>
      </c>
      <c r="AO179" s="26">
        <f t="shared" si="8"/>
        <v>0</v>
      </c>
      <c r="AP179" s="114">
        <f t="shared" si="9"/>
        <v>0</v>
      </c>
      <c r="AQ179" s="10"/>
    </row>
    <row r="180">
      <c r="A180" s="29" t="str">
        <f>'MASTER STOCK'!F177</f>
        <v>sok 1 1/2</v>
      </c>
      <c r="B180" s="30">
        <f>'JULI 25'!AJ180:AJ537</f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23">
        <f t="shared" si="3"/>
        <v>0</v>
      </c>
      <c r="AI180" s="31">
        <f t="shared" si="4"/>
        <v>11</v>
      </c>
      <c r="AJ180" s="32">
        <f t="shared" si="5"/>
        <v>11</v>
      </c>
      <c r="AK180" s="32">
        <f t="shared" si="6"/>
        <v>0</v>
      </c>
      <c r="AL180" s="114">
        <f>'MASTER STOCK'!I177</f>
        <v>3500</v>
      </c>
      <c r="AM180" s="26">
        <f>'MASTER STOCK'!L177</f>
        <v>3500</v>
      </c>
      <c r="AN180" s="26">
        <f t="shared" si="7"/>
        <v>0</v>
      </c>
      <c r="AO180" s="26">
        <f t="shared" si="8"/>
        <v>0</v>
      </c>
      <c r="AP180" s="114">
        <f t="shared" si="9"/>
        <v>0</v>
      </c>
      <c r="AQ180" s="10"/>
    </row>
    <row r="181">
      <c r="A181" s="29" t="str">
        <f>'MASTER STOCK'!F178</f>
        <v>sok 2</v>
      </c>
      <c r="B181" s="30">
        <f>'JULI 25'!AJ181:AJ538</f>
        <v>8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23">
        <f t="shared" si="3"/>
        <v>0</v>
      </c>
      <c r="AI181" s="31">
        <f t="shared" si="4"/>
        <v>8</v>
      </c>
      <c r="AJ181" s="32">
        <f t="shared" si="5"/>
        <v>8</v>
      </c>
      <c r="AK181" s="32">
        <f t="shared" si="6"/>
        <v>0</v>
      </c>
      <c r="AL181" s="114">
        <f>'MASTER STOCK'!I178</f>
        <v>2000</v>
      </c>
      <c r="AM181" s="26">
        <f>'MASTER STOCK'!L178</f>
        <v>2000</v>
      </c>
      <c r="AN181" s="26">
        <f t="shared" si="7"/>
        <v>0</v>
      </c>
      <c r="AO181" s="26">
        <f t="shared" si="8"/>
        <v>0</v>
      </c>
      <c r="AP181" s="114">
        <f t="shared" si="9"/>
        <v>0</v>
      </c>
      <c r="AQ181" s="10"/>
    </row>
    <row r="182">
      <c r="A182" s="29" t="str">
        <f>'MASTER STOCK'!F179</f>
        <v>sok 1 1/4</v>
      </c>
      <c r="B182" s="30">
        <f>'JULI 25'!AJ182:AJ539</f>
        <v>17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23">
        <f t="shared" si="3"/>
        <v>0</v>
      </c>
      <c r="AI182" s="31">
        <f t="shared" si="4"/>
        <v>17</v>
      </c>
      <c r="AJ182" s="32">
        <f t="shared" si="5"/>
        <v>17</v>
      </c>
      <c r="AK182" s="32">
        <f t="shared" si="6"/>
        <v>0</v>
      </c>
      <c r="AL182" s="114">
        <f>'MASTER STOCK'!I179</f>
        <v>3500</v>
      </c>
      <c r="AM182" s="26">
        <f>'MASTER STOCK'!L179</f>
        <v>3500</v>
      </c>
      <c r="AN182" s="26">
        <f t="shared" si="7"/>
        <v>0</v>
      </c>
      <c r="AO182" s="26">
        <f t="shared" si="8"/>
        <v>0</v>
      </c>
      <c r="AP182" s="114">
        <f t="shared" si="9"/>
        <v>0</v>
      </c>
      <c r="AQ182" s="10"/>
    </row>
    <row r="183">
      <c r="A183" s="29" t="str">
        <f>'MASTER STOCK'!F180</f>
        <v>sok 3</v>
      </c>
      <c r="B183" s="30">
        <f>'JULI 25'!AJ183:AJ540</f>
        <v>8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23">
        <f t="shared" si="3"/>
        <v>0</v>
      </c>
      <c r="AI183" s="31">
        <f t="shared" si="4"/>
        <v>8</v>
      </c>
      <c r="AJ183" s="32">
        <f t="shared" si="5"/>
        <v>8</v>
      </c>
      <c r="AK183" s="32">
        <f t="shared" si="6"/>
        <v>0</v>
      </c>
      <c r="AL183" s="114">
        <f>'MASTER STOCK'!I180</f>
        <v>7500</v>
      </c>
      <c r="AM183" s="26">
        <f>'MASTER STOCK'!L180</f>
        <v>7500</v>
      </c>
      <c r="AN183" s="26">
        <f t="shared" si="7"/>
        <v>0</v>
      </c>
      <c r="AO183" s="26">
        <f t="shared" si="8"/>
        <v>0</v>
      </c>
      <c r="AP183" s="114">
        <f t="shared" si="9"/>
        <v>0</v>
      </c>
      <c r="AQ183" s="10"/>
    </row>
    <row r="184">
      <c r="A184" s="29" t="str">
        <f>'MASTER STOCK'!F181</f>
        <v>sok drat dalam 1</v>
      </c>
      <c r="B184" s="30">
        <f>'JULI 25'!AJ184:AJ541</f>
        <v>9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23">
        <f t="shared" si="3"/>
        <v>0</v>
      </c>
      <c r="AI184" s="31">
        <f t="shared" si="4"/>
        <v>9</v>
      </c>
      <c r="AJ184" s="32">
        <f t="shared" si="5"/>
        <v>9</v>
      </c>
      <c r="AK184" s="32">
        <f t="shared" si="6"/>
        <v>0</v>
      </c>
      <c r="AL184" s="114">
        <f>'MASTER STOCK'!I181</f>
        <v>3500</v>
      </c>
      <c r="AM184" s="26">
        <f>'MASTER STOCK'!L181</f>
        <v>3500</v>
      </c>
      <c r="AN184" s="26">
        <f t="shared" si="7"/>
        <v>0</v>
      </c>
      <c r="AO184" s="26">
        <f t="shared" si="8"/>
        <v>0</v>
      </c>
      <c r="AP184" s="114">
        <f t="shared" si="9"/>
        <v>0</v>
      </c>
      <c r="AQ184" s="10"/>
    </row>
    <row r="185">
      <c r="A185" s="29" t="str">
        <f>'MASTER STOCK'!F182</f>
        <v>sok drat dalam 3/4</v>
      </c>
      <c r="B185" s="30">
        <f>'JULI 25'!AJ185:AJ542</f>
        <v>5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23">
        <f t="shared" si="3"/>
        <v>0</v>
      </c>
      <c r="AI185" s="31">
        <f t="shared" si="4"/>
        <v>5</v>
      </c>
      <c r="AJ185" s="32">
        <f t="shared" si="5"/>
        <v>5</v>
      </c>
      <c r="AK185" s="32">
        <f t="shared" si="6"/>
        <v>0</v>
      </c>
      <c r="AL185" s="114">
        <f>'MASTER STOCK'!I182</f>
        <v>4000</v>
      </c>
      <c r="AM185" s="26">
        <f>'MASTER STOCK'!L182</f>
        <v>4000</v>
      </c>
      <c r="AN185" s="26">
        <f t="shared" si="7"/>
        <v>0</v>
      </c>
      <c r="AO185" s="26">
        <f t="shared" si="8"/>
        <v>0</v>
      </c>
      <c r="AP185" s="114">
        <f t="shared" si="9"/>
        <v>0</v>
      </c>
      <c r="AQ185" s="10"/>
    </row>
    <row r="186">
      <c r="A186" s="29" t="str">
        <f>'MASTER STOCK'!F183</f>
        <v>sok drat luar 3/4</v>
      </c>
      <c r="B186" s="30">
        <f>'JULI 25'!AJ186:AJ543</f>
        <v>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23">
        <f t="shared" si="3"/>
        <v>0</v>
      </c>
      <c r="AI186" s="31">
        <f t="shared" si="4"/>
        <v>7</v>
      </c>
      <c r="AJ186" s="32">
        <f t="shared" si="5"/>
        <v>7</v>
      </c>
      <c r="AK186" s="32">
        <f t="shared" si="6"/>
        <v>0</v>
      </c>
      <c r="AL186" s="114">
        <f>'MASTER STOCK'!I183</f>
        <v>3000</v>
      </c>
      <c r="AM186" s="26">
        <f>'MASTER STOCK'!L183</f>
        <v>3000</v>
      </c>
      <c r="AN186" s="26">
        <f t="shared" si="7"/>
        <v>0</v>
      </c>
      <c r="AO186" s="26">
        <f t="shared" si="8"/>
        <v>0</v>
      </c>
      <c r="AP186" s="114">
        <f t="shared" si="9"/>
        <v>0</v>
      </c>
      <c r="AQ186" s="10"/>
    </row>
    <row r="187">
      <c r="A187" s="29" t="str">
        <f>'MASTER STOCK'!F184</f>
        <v>overlup 1 x 3/4</v>
      </c>
      <c r="B187" s="30">
        <f>'JULI 25'!AJ187:AJ544</f>
        <v>26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23">
        <f t="shared" si="3"/>
        <v>0</v>
      </c>
      <c r="AI187" s="31">
        <f t="shared" si="4"/>
        <v>26</v>
      </c>
      <c r="AJ187" s="32">
        <f t="shared" si="5"/>
        <v>26</v>
      </c>
      <c r="AK187" s="32">
        <f t="shared" si="6"/>
        <v>0</v>
      </c>
      <c r="AL187" s="114">
        <f>'MASTER STOCK'!I184</f>
        <v>2500</v>
      </c>
      <c r="AM187" s="26">
        <f>'MASTER STOCK'!L184</f>
        <v>2500</v>
      </c>
      <c r="AN187" s="26">
        <f t="shared" si="7"/>
        <v>0</v>
      </c>
      <c r="AO187" s="26">
        <f t="shared" si="8"/>
        <v>0</v>
      </c>
      <c r="AP187" s="114">
        <f t="shared" si="9"/>
        <v>0</v>
      </c>
      <c r="AQ187" s="10"/>
    </row>
    <row r="188">
      <c r="A188" s="29" t="str">
        <f>'MASTER STOCK'!F185</f>
        <v>sok drat dalam 3/4 x 1/2</v>
      </c>
      <c r="B188" s="30">
        <f>'JULI 25'!AJ188:AJ545</f>
        <v>6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23">
        <f t="shared" si="3"/>
        <v>0</v>
      </c>
      <c r="AI188" s="31">
        <f t="shared" si="4"/>
        <v>6</v>
      </c>
      <c r="AJ188" s="32">
        <f t="shared" si="5"/>
        <v>6</v>
      </c>
      <c r="AK188" s="32">
        <f t="shared" si="6"/>
        <v>0</v>
      </c>
      <c r="AL188" s="114">
        <f>'MASTER STOCK'!I185</f>
        <v>3000</v>
      </c>
      <c r="AM188" s="26">
        <f>'MASTER STOCK'!L185</f>
        <v>3000</v>
      </c>
      <c r="AN188" s="26">
        <f t="shared" si="7"/>
        <v>0</v>
      </c>
      <c r="AO188" s="26">
        <f t="shared" si="8"/>
        <v>0</v>
      </c>
      <c r="AP188" s="114">
        <f t="shared" si="9"/>
        <v>0</v>
      </c>
      <c r="AQ188" s="10"/>
    </row>
    <row r="189">
      <c r="A189" s="29" t="str">
        <f>'MASTER STOCK'!F186</f>
        <v>overlup 2 x 1</v>
      </c>
      <c r="B189" s="30">
        <f>'JULI 25'!AJ189:AJ546</f>
        <v>13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23">
        <f t="shared" si="3"/>
        <v>0</v>
      </c>
      <c r="AI189" s="31">
        <f t="shared" si="4"/>
        <v>13</v>
      </c>
      <c r="AJ189" s="32">
        <f t="shared" si="5"/>
        <v>13</v>
      </c>
      <c r="AK189" s="32">
        <f t="shared" si="6"/>
        <v>0</v>
      </c>
      <c r="AL189" s="114">
        <f>'MASTER STOCK'!I186</f>
        <v>7500</v>
      </c>
      <c r="AM189" s="26">
        <f>'MASTER STOCK'!L186</f>
        <v>7500</v>
      </c>
      <c r="AN189" s="26">
        <f t="shared" si="7"/>
        <v>0</v>
      </c>
      <c r="AO189" s="26">
        <f t="shared" si="8"/>
        <v>0</v>
      </c>
      <c r="AP189" s="114">
        <f t="shared" si="9"/>
        <v>0</v>
      </c>
      <c r="AQ189" s="10"/>
    </row>
    <row r="190">
      <c r="A190" s="29" t="str">
        <f>'MASTER STOCK'!F187</f>
        <v>overlup 2 x 1 1/2</v>
      </c>
      <c r="B190" s="30">
        <f>'JULI 25'!AJ190:AJ547</f>
        <v>5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23">
        <f t="shared" si="3"/>
        <v>0</v>
      </c>
      <c r="AI190" s="31">
        <f t="shared" si="4"/>
        <v>5</v>
      </c>
      <c r="AJ190" s="32">
        <f t="shared" si="5"/>
        <v>5</v>
      </c>
      <c r="AK190" s="32">
        <f t="shared" si="6"/>
        <v>0</v>
      </c>
      <c r="AL190" s="114">
        <f>'MASTER STOCK'!I187</f>
        <v>5500</v>
      </c>
      <c r="AM190" s="26">
        <f>'MASTER STOCK'!L187</f>
        <v>5500</v>
      </c>
      <c r="AN190" s="26">
        <f t="shared" si="7"/>
        <v>0</v>
      </c>
      <c r="AO190" s="26">
        <f t="shared" si="8"/>
        <v>0</v>
      </c>
      <c r="AP190" s="114">
        <f t="shared" si="9"/>
        <v>0</v>
      </c>
      <c r="AQ190" s="10"/>
    </row>
    <row r="191">
      <c r="A191" s="29" t="str">
        <f>'MASTER STOCK'!F188</f>
        <v>overlup 1 x 1 1/2</v>
      </c>
      <c r="B191" s="30">
        <f>'JULI 25'!AJ191:AJ548</f>
        <v>5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23">
        <f t="shared" si="3"/>
        <v>0</v>
      </c>
      <c r="AI191" s="31">
        <f t="shared" si="4"/>
        <v>5</v>
      </c>
      <c r="AJ191" s="32">
        <f t="shared" si="5"/>
        <v>5</v>
      </c>
      <c r="AK191" s="32">
        <f t="shared" si="6"/>
        <v>0</v>
      </c>
      <c r="AL191" s="114">
        <f>'MASTER STOCK'!I188</f>
        <v>6500</v>
      </c>
      <c r="AM191" s="26">
        <f>'MASTER STOCK'!L188</f>
        <v>6500</v>
      </c>
      <c r="AN191" s="26">
        <f t="shared" si="7"/>
        <v>0</v>
      </c>
      <c r="AO191" s="26">
        <f t="shared" si="8"/>
        <v>0</v>
      </c>
      <c r="AP191" s="114">
        <f t="shared" si="9"/>
        <v>0</v>
      </c>
      <c r="AQ191" s="10"/>
    </row>
    <row r="192">
      <c r="A192" s="29" t="str">
        <f>'MASTER STOCK'!F189</f>
        <v>overlup 2 x 2 1/2</v>
      </c>
      <c r="B192" s="30">
        <f>'JULI 25'!AJ192:AJ549</f>
        <v>3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23">
        <f t="shared" si="3"/>
        <v>0</v>
      </c>
      <c r="AI192" s="31">
        <f t="shared" si="4"/>
        <v>3</v>
      </c>
      <c r="AJ192" s="32">
        <f t="shared" si="5"/>
        <v>3</v>
      </c>
      <c r="AK192" s="32">
        <f t="shared" si="6"/>
        <v>0</v>
      </c>
      <c r="AL192" s="114">
        <f>'MASTER STOCK'!I189</f>
        <v>8000</v>
      </c>
      <c r="AM192" s="26">
        <f>'MASTER STOCK'!L189</f>
        <v>8000</v>
      </c>
      <c r="AN192" s="26">
        <f t="shared" si="7"/>
        <v>0</v>
      </c>
      <c r="AO192" s="26">
        <f t="shared" si="8"/>
        <v>0</v>
      </c>
      <c r="AP192" s="114">
        <f t="shared" si="9"/>
        <v>0</v>
      </c>
      <c r="AQ192" s="10"/>
    </row>
    <row r="193">
      <c r="A193" s="29" t="str">
        <f>'MASTER STOCK'!F190</f>
        <v>t  3/4 x 1</v>
      </c>
      <c r="B193" s="30">
        <f>'JULI 25'!AJ193:AJ550</f>
        <v>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23">
        <f t="shared" si="3"/>
        <v>0</v>
      </c>
      <c r="AI193" s="31">
        <f t="shared" si="4"/>
        <v>1</v>
      </c>
      <c r="AJ193" s="32">
        <f t="shared" si="5"/>
        <v>1</v>
      </c>
      <c r="AK193" s="32">
        <f t="shared" si="6"/>
        <v>0</v>
      </c>
      <c r="AL193" s="114">
        <f>'MASTER STOCK'!I190</f>
        <v>3500</v>
      </c>
      <c r="AM193" s="26">
        <f>'MASTER STOCK'!L190</f>
        <v>3500</v>
      </c>
      <c r="AN193" s="26">
        <f t="shared" si="7"/>
        <v>0</v>
      </c>
      <c r="AO193" s="26">
        <f t="shared" si="8"/>
        <v>0</v>
      </c>
      <c r="AP193" s="114">
        <f t="shared" si="9"/>
        <v>0</v>
      </c>
      <c r="AQ193" s="10"/>
    </row>
    <row r="194">
      <c r="A194" s="29" t="str">
        <f>'MASTER STOCK'!F191</f>
        <v>knee 2 1/2</v>
      </c>
      <c r="B194" s="30">
        <f>'JULI 25'!AJ194:AJ551</f>
        <v>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23">
        <f t="shared" si="3"/>
        <v>0</v>
      </c>
      <c r="AI194" s="31">
        <f t="shared" si="4"/>
        <v>8</v>
      </c>
      <c r="AJ194" s="32">
        <f t="shared" si="5"/>
        <v>8</v>
      </c>
      <c r="AK194" s="32">
        <f t="shared" si="6"/>
        <v>0</v>
      </c>
      <c r="AL194" s="114">
        <f>'MASTER STOCK'!I191</f>
        <v>7500</v>
      </c>
      <c r="AM194" s="26">
        <f>'MASTER STOCK'!L191</f>
        <v>7500</v>
      </c>
      <c r="AN194" s="26">
        <f t="shared" si="7"/>
        <v>0</v>
      </c>
      <c r="AO194" s="26">
        <f t="shared" si="8"/>
        <v>0</v>
      </c>
      <c r="AP194" s="114">
        <f t="shared" si="9"/>
        <v>0</v>
      </c>
      <c r="AQ194" s="10"/>
    </row>
    <row r="195">
      <c r="A195" s="29" t="str">
        <f>'MASTER STOCK'!F192</f>
        <v>sok 4</v>
      </c>
      <c r="B195" s="30">
        <f>'JULI 25'!AJ195:AJ552</f>
        <v>22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23">
        <f t="shared" si="3"/>
        <v>0</v>
      </c>
      <c r="AI195" s="31">
        <f t="shared" si="4"/>
        <v>22</v>
      </c>
      <c r="AJ195" s="32">
        <f t="shared" si="5"/>
        <v>22</v>
      </c>
      <c r="AK195" s="32">
        <f t="shared" si="6"/>
        <v>0</v>
      </c>
      <c r="AL195" s="114">
        <f>'MASTER STOCK'!I192</f>
        <v>9000</v>
      </c>
      <c r="AM195" s="26">
        <f>'MASTER STOCK'!L192</f>
        <v>9000</v>
      </c>
      <c r="AN195" s="26">
        <f t="shared" si="7"/>
        <v>0</v>
      </c>
      <c r="AO195" s="26">
        <f t="shared" si="8"/>
        <v>0</v>
      </c>
      <c r="AP195" s="114">
        <f t="shared" si="9"/>
        <v>0</v>
      </c>
      <c r="AQ195" s="10"/>
    </row>
    <row r="196">
      <c r="A196" s="29" t="str">
        <f>'MASTER STOCK'!F193</f>
        <v>sok 2 1/2</v>
      </c>
      <c r="B196" s="30">
        <f>'JULI 25'!AJ196:AJ553</f>
        <v>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23">
        <f t="shared" si="3"/>
        <v>0</v>
      </c>
      <c r="AI196" s="31">
        <f t="shared" si="4"/>
        <v>2</v>
      </c>
      <c r="AJ196" s="32">
        <f t="shared" si="5"/>
        <v>2</v>
      </c>
      <c r="AK196" s="32">
        <f t="shared" si="6"/>
        <v>0</v>
      </c>
      <c r="AL196" s="114">
        <f>'MASTER STOCK'!I193</f>
        <v>5500</v>
      </c>
      <c r="AM196" s="26">
        <f>'MASTER STOCK'!L193</f>
        <v>5500</v>
      </c>
      <c r="AN196" s="26">
        <f t="shared" si="7"/>
        <v>0</v>
      </c>
      <c r="AO196" s="26">
        <f t="shared" si="8"/>
        <v>0</v>
      </c>
      <c r="AP196" s="114">
        <f t="shared" si="9"/>
        <v>0</v>
      </c>
      <c r="AQ196" s="10"/>
    </row>
    <row r="197">
      <c r="A197" s="29" t="str">
        <f>'MASTER STOCK'!F194</f>
        <v>sok drat luar 2</v>
      </c>
      <c r="B197" s="30">
        <f>'JULI 25'!AJ197:AJ554</f>
        <v>5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23">
        <f t="shared" si="3"/>
        <v>0</v>
      </c>
      <c r="AI197" s="31">
        <f t="shared" si="4"/>
        <v>5</v>
      </c>
      <c r="AJ197" s="32">
        <f t="shared" si="5"/>
        <v>5</v>
      </c>
      <c r="AK197" s="32">
        <f t="shared" si="6"/>
        <v>0</v>
      </c>
      <c r="AL197" s="114">
        <f>'MASTER STOCK'!I194</f>
        <v>7500</v>
      </c>
      <c r="AM197" s="26">
        <f>'MASTER STOCK'!L194</f>
        <v>7500</v>
      </c>
      <c r="AN197" s="26">
        <f t="shared" si="7"/>
        <v>0</v>
      </c>
      <c r="AO197" s="26">
        <f t="shared" si="8"/>
        <v>0</v>
      </c>
      <c r="AP197" s="114">
        <f t="shared" si="9"/>
        <v>0</v>
      </c>
      <c r="AQ197" s="10"/>
    </row>
    <row r="198">
      <c r="A198" s="29" t="str">
        <f>'MASTER STOCK'!F195</f>
        <v>t 4</v>
      </c>
      <c r="B198" s="30">
        <f>'JULI 25'!AJ198:AJ555</f>
        <v>10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23">
        <f t="shared" si="3"/>
        <v>0</v>
      </c>
      <c r="AI198" s="31">
        <f t="shared" si="4"/>
        <v>10</v>
      </c>
      <c r="AJ198" s="32">
        <f t="shared" si="5"/>
        <v>10</v>
      </c>
      <c r="AK198" s="32">
        <f t="shared" si="6"/>
        <v>0</v>
      </c>
      <c r="AL198" s="114">
        <f>'MASTER STOCK'!I195</f>
        <v>16500</v>
      </c>
      <c r="AM198" s="26">
        <f>'MASTER STOCK'!L195</f>
        <v>16500</v>
      </c>
      <c r="AN198" s="26">
        <f t="shared" si="7"/>
        <v>0</v>
      </c>
      <c r="AO198" s="26">
        <f t="shared" si="8"/>
        <v>0</v>
      </c>
      <c r="AP198" s="114">
        <f t="shared" si="9"/>
        <v>0</v>
      </c>
      <c r="AQ198" s="10"/>
    </row>
    <row r="199">
      <c r="A199" s="29" t="str">
        <f>'MASTER STOCK'!F196</f>
        <v>t 3</v>
      </c>
      <c r="B199" s="30">
        <f>'JULI 25'!AJ199:AJ556</f>
        <v>7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23">
        <f t="shared" si="3"/>
        <v>0</v>
      </c>
      <c r="AI199" s="31">
        <f t="shared" si="4"/>
        <v>7</v>
      </c>
      <c r="AJ199" s="32">
        <f t="shared" si="5"/>
        <v>7</v>
      </c>
      <c r="AK199" s="32">
        <f t="shared" si="6"/>
        <v>0</v>
      </c>
      <c r="AL199" s="114">
        <f>'MASTER STOCK'!I196</f>
        <v>10000</v>
      </c>
      <c r="AM199" s="26">
        <f>'MASTER STOCK'!L196</f>
        <v>10000</v>
      </c>
      <c r="AN199" s="26">
        <f t="shared" si="7"/>
        <v>0</v>
      </c>
      <c r="AO199" s="26">
        <f t="shared" si="8"/>
        <v>0</v>
      </c>
      <c r="AP199" s="114">
        <f t="shared" si="9"/>
        <v>0</v>
      </c>
      <c r="AQ199" s="10"/>
    </row>
    <row r="200">
      <c r="A200" s="29" t="str">
        <f>'MASTER STOCK'!F197</f>
        <v>knee 4</v>
      </c>
      <c r="B200" s="30">
        <f>'JULI 25'!AJ200:AJ557</f>
        <v>13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23">
        <f t="shared" si="3"/>
        <v>0</v>
      </c>
      <c r="AI200" s="31">
        <f t="shared" si="4"/>
        <v>13</v>
      </c>
      <c r="AJ200" s="32">
        <f t="shared" si="5"/>
        <v>13</v>
      </c>
      <c r="AK200" s="32">
        <f t="shared" si="6"/>
        <v>0</v>
      </c>
      <c r="AL200" s="114">
        <f>'MASTER STOCK'!I197</f>
        <v>14000</v>
      </c>
      <c r="AM200" s="26">
        <f>'MASTER STOCK'!L197</f>
        <v>14000</v>
      </c>
      <c r="AN200" s="26">
        <f t="shared" si="7"/>
        <v>0</v>
      </c>
      <c r="AO200" s="26">
        <f t="shared" si="8"/>
        <v>0</v>
      </c>
      <c r="AP200" s="114">
        <f t="shared" si="9"/>
        <v>0</v>
      </c>
      <c r="AQ200" s="10"/>
    </row>
    <row r="201">
      <c r="A201" s="29" t="str">
        <f>'MASTER STOCK'!F198</f>
        <v>overlup 4 x 2 1/2</v>
      </c>
      <c r="B201" s="30">
        <f>'JULI 25'!AJ201:AJ558</f>
        <v>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23">
        <f t="shared" si="3"/>
        <v>0</v>
      </c>
      <c r="AI201" s="31">
        <f t="shared" si="4"/>
        <v>1</v>
      </c>
      <c r="AJ201" s="32">
        <f t="shared" si="5"/>
        <v>1</v>
      </c>
      <c r="AK201" s="32">
        <f t="shared" si="6"/>
        <v>0</v>
      </c>
      <c r="AL201" s="114">
        <f>'MASTER STOCK'!I198</f>
        <v>12000</v>
      </c>
      <c r="AM201" s="26">
        <f>'MASTER STOCK'!L198</f>
        <v>12000</v>
      </c>
      <c r="AN201" s="26">
        <f t="shared" si="7"/>
        <v>0</v>
      </c>
      <c r="AO201" s="26">
        <f t="shared" si="8"/>
        <v>0</v>
      </c>
      <c r="AP201" s="114">
        <f t="shared" si="9"/>
        <v>0</v>
      </c>
      <c r="AQ201" s="10"/>
    </row>
    <row r="202">
      <c r="A202" s="29" t="str">
        <f>'MASTER STOCK'!F199</f>
        <v>overlup 4 x 3</v>
      </c>
      <c r="B202" s="30">
        <f>'JULI 25'!AJ202:AJ559</f>
        <v>2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23">
        <f t="shared" si="3"/>
        <v>0</v>
      </c>
      <c r="AI202" s="31">
        <f t="shared" si="4"/>
        <v>2</v>
      </c>
      <c r="AJ202" s="32">
        <f t="shared" si="5"/>
        <v>2</v>
      </c>
      <c r="AK202" s="32">
        <f t="shared" si="6"/>
        <v>0</v>
      </c>
      <c r="AL202" s="114">
        <f>'MASTER STOCK'!I199</f>
        <v>12500</v>
      </c>
      <c r="AM202" s="26">
        <f>'MASTER STOCK'!L199</f>
        <v>12500</v>
      </c>
      <c r="AN202" s="26">
        <f t="shared" si="7"/>
        <v>0</v>
      </c>
      <c r="AO202" s="26">
        <f t="shared" si="8"/>
        <v>0</v>
      </c>
      <c r="AP202" s="114">
        <f t="shared" si="9"/>
        <v>0</v>
      </c>
      <c r="AQ202" s="10"/>
    </row>
    <row r="203">
      <c r="A203" s="29" t="str">
        <f>'MASTER STOCK'!F200</f>
        <v>knee 3</v>
      </c>
      <c r="B203" s="30">
        <f>'JULI 25'!AJ203:AJ560</f>
        <v>6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23">
        <f t="shared" si="3"/>
        <v>0</v>
      </c>
      <c r="AI203" s="31">
        <f t="shared" si="4"/>
        <v>6</v>
      </c>
      <c r="AJ203" s="32">
        <f t="shared" si="5"/>
        <v>6</v>
      </c>
      <c r="AK203" s="32">
        <f t="shared" si="6"/>
        <v>0</v>
      </c>
      <c r="AL203" s="114">
        <f>'MASTER STOCK'!I200</f>
        <v>10000</v>
      </c>
      <c r="AM203" s="26">
        <f>'MASTER STOCK'!L200</f>
        <v>10000</v>
      </c>
      <c r="AN203" s="26">
        <f t="shared" si="7"/>
        <v>0</v>
      </c>
      <c r="AO203" s="26">
        <f t="shared" si="8"/>
        <v>0</v>
      </c>
      <c r="AP203" s="114">
        <f t="shared" si="9"/>
        <v>0</v>
      </c>
      <c r="AQ203" s="10"/>
    </row>
    <row r="204">
      <c r="A204" s="29" t="str">
        <f>'MASTER STOCK'!F201</f>
        <v>tutup pipa 3</v>
      </c>
      <c r="B204" s="30">
        <f>'JULI 25'!AJ204:AJ561</f>
        <v>4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23">
        <f t="shared" si="3"/>
        <v>0</v>
      </c>
      <c r="AI204" s="31">
        <f t="shared" si="4"/>
        <v>4</v>
      </c>
      <c r="AJ204" s="32">
        <f t="shared" si="5"/>
        <v>4</v>
      </c>
      <c r="AK204" s="32">
        <f t="shared" si="6"/>
        <v>0</v>
      </c>
      <c r="AL204" s="114">
        <f>'MASTER STOCK'!I201</f>
        <v>8500</v>
      </c>
      <c r="AM204" s="26">
        <f>'MASTER STOCK'!L201</f>
        <v>8500</v>
      </c>
      <c r="AN204" s="26">
        <f t="shared" si="7"/>
        <v>0</v>
      </c>
      <c r="AO204" s="26">
        <f t="shared" si="8"/>
        <v>0</v>
      </c>
      <c r="AP204" s="114">
        <f t="shared" si="9"/>
        <v>0</v>
      </c>
      <c r="AQ204" s="10"/>
    </row>
    <row r="205">
      <c r="A205" s="29" t="str">
        <f>'MASTER STOCK'!F202</f>
        <v>tutup pipa 4</v>
      </c>
      <c r="B205" s="30">
        <f>'JULI 25'!AJ205:AJ562</f>
        <v>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23">
        <f t="shared" si="3"/>
        <v>0</v>
      </c>
      <c r="AI205" s="31">
        <f t="shared" si="4"/>
        <v>1</v>
      </c>
      <c r="AJ205" s="32">
        <f t="shared" si="5"/>
        <v>1</v>
      </c>
      <c r="AK205" s="32">
        <f t="shared" si="6"/>
        <v>0</v>
      </c>
      <c r="AL205" s="114">
        <f>'MASTER STOCK'!I202</f>
        <v>9500</v>
      </c>
      <c r="AM205" s="26">
        <f>'MASTER STOCK'!L202</f>
        <v>9500</v>
      </c>
      <c r="AN205" s="26">
        <f t="shared" si="7"/>
        <v>0</v>
      </c>
      <c r="AO205" s="26">
        <f t="shared" si="8"/>
        <v>0</v>
      </c>
      <c r="AP205" s="114">
        <f t="shared" si="9"/>
        <v>0</v>
      </c>
      <c r="AQ205" s="10"/>
    </row>
    <row r="206">
      <c r="A206" s="29" t="str">
        <f>'MASTER STOCK'!F203</f>
        <v>tutup pipa 2 1/2</v>
      </c>
      <c r="B206" s="30">
        <f>'JULI 25'!AJ206:AJ563</f>
        <v>2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23">
        <f t="shared" si="3"/>
        <v>0</v>
      </c>
      <c r="AI206" s="31">
        <f t="shared" si="4"/>
        <v>2</v>
      </c>
      <c r="AJ206" s="32">
        <f t="shared" si="5"/>
        <v>2</v>
      </c>
      <c r="AK206" s="32">
        <f t="shared" si="6"/>
        <v>0</v>
      </c>
      <c r="AL206" s="114">
        <f>'MASTER STOCK'!I203</f>
        <v>6500</v>
      </c>
      <c r="AM206" s="26">
        <f>'MASTER STOCK'!L203</f>
        <v>6500</v>
      </c>
      <c r="AN206" s="26">
        <f t="shared" si="7"/>
        <v>0</v>
      </c>
      <c r="AO206" s="26">
        <f t="shared" si="8"/>
        <v>0</v>
      </c>
      <c r="AP206" s="114">
        <f t="shared" si="9"/>
        <v>0</v>
      </c>
      <c r="AQ206" s="10"/>
    </row>
    <row r="207">
      <c r="A207" s="29" t="str">
        <f>'MASTER STOCK'!F204</f>
        <v>tutup pipa 2</v>
      </c>
      <c r="B207" s="30">
        <f>'JULI 25'!AJ207:AJ564</f>
        <v>2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23">
        <f t="shared" si="3"/>
        <v>0</v>
      </c>
      <c r="AI207" s="31">
        <f t="shared" si="4"/>
        <v>2</v>
      </c>
      <c r="AJ207" s="32">
        <f t="shared" si="5"/>
        <v>2</v>
      </c>
      <c r="AK207" s="32">
        <f t="shared" si="6"/>
        <v>0</v>
      </c>
      <c r="AL207" s="114">
        <f>'MASTER STOCK'!I204</f>
        <v>6000</v>
      </c>
      <c r="AM207" s="26">
        <f>'MASTER STOCK'!L204</f>
        <v>6000</v>
      </c>
      <c r="AN207" s="26">
        <f t="shared" si="7"/>
        <v>0</v>
      </c>
      <c r="AO207" s="26">
        <f t="shared" si="8"/>
        <v>0</v>
      </c>
      <c r="AP207" s="114">
        <f t="shared" si="9"/>
        <v>0</v>
      </c>
      <c r="AQ207" s="10"/>
    </row>
    <row r="208">
      <c r="A208" s="29" t="str">
        <f>'MASTER STOCK'!F205</f>
        <v>pipa 1/2</v>
      </c>
      <c r="B208" s="30">
        <f>'JULI 25'!AJ208:AJ565</f>
        <v>3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23">
        <f t="shared" si="3"/>
        <v>0</v>
      </c>
      <c r="AI208" s="31">
        <f t="shared" si="4"/>
        <v>3</v>
      </c>
      <c r="AJ208" s="32">
        <f t="shared" si="5"/>
        <v>3</v>
      </c>
      <c r="AK208" s="32">
        <f t="shared" si="6"/>
        <v>0</v>
      </c>
      <c r="AL208" s="114">
        <f>'MASTER STOCK'!I205</f>
        <v>2500</v>
      </c>
      <c r="AM208" s="26">
        <f>'MASTER STOCK'!L205</f>
        <v>2500</v>
      </c>
      <c r="AN208" s="26">
        <f t="shared" si="7"/>
        <v>0</v>
      </c>
      <c r="AO208" s="26">
        <f t="shared" si="8"/>
        <v>0</v>
      </c>
      <c r="AP208" s="114">
        <f t="shared" si="9"/>
        <v>0</v>
      </c>
      <c r="AQ208" s="10"/>
    </row>
    <row r="209">
      <c r="A209" s="29" t="str">
        <f>'MASTER STOCK'!F206</f>
        <v>pipa 3/4</v>
      </c>
      <c r="B209" s="30">
        <f>'JULI 25'!AJ209:AJ566</f>
        <v>6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23">
        <f t="shared" si="3"/>
        <v>0</v>
      </c>
      <c r="AI209" s="31">
        <f t="shared" si="4"/>
        <v>6</v>
      </c>
      <c r="AJ209" s="32">
        <f t="shared" si="5"/>
        <v>6</v>
      </c>
      <c r="AK209" s="32">
        <f t="shared" si="6"/>
        <v>0</v>
      </c>
      <c r="AL209" s="114">
        <f>'MASTER STOCK'!I206</f>
        <v>27500</v>
      </c>
      <c r="AM209" s="26">
        <f>'MASTER STOCK'!L206</f>
        <v>27500</v>
      </c>
      <c r="AN209" s="26">
        <f t="shared" si="7"/>
        <v>0</v>
      </c>
      <c r="AO209" s="26">
        <f t="shared" si="8"/>
        <v>0</v>
      </c>
      <c r="AP209" s="114">
        <f t="shared" si="9"/>
        <v>0</v>
      </c>
      <c r="AQ209" s="10"/>
    </row>
    <row r="210">
      <c r="A210" s="29" t="str">
        <f>'MASTER STOCK'!F207</f>
        <v>pipa 5/8</v>
      </c>
      <c r="B210" s="30">
        <f>'JULI 25'!AJ210:AJ567</f>
        <v>4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23">
        <f t="shared" si="3"/>
        <v>0</v>
      </c>
      <c r="AI210" s="31">
        <f t="shared" si="4"/>
        <v>4</v>
      </c>
      <c r="AJ210" s="32">
        <f t="shared" si="5"/>
        <v>4</v>
      </c>
      <c r="AK210" s="32">
        <f t="shared" si="6"/>
        <v>0</v>
      </c>
      <c r="AL210" s="114">
        <f>'MASTER STOCK'!I207</f>
        <v>0</v>
      </c>
      <c r="AM210" s="26">
        <f>'MASTER STOCK'!L207</f>
        <v>0</v>
      </c>
      <c r="AN210" s="26">
        <f t="shared" si="7"/>
        <v>0</v>
      </c>
      <c r="AO210" s="26">
        <f t="shared" si="8"/>
        <v>0</v>
      </c>
      <c r="AP210" s="114">
        <f t="shared" si="9"/>
        <v>0</v>
      </c>
      <c r="AQ210" s="10"/>
    </row>
    <row r="211">
      <c r="A211" s="29" t="str">
        <f>'MASTER STOCK'!F208</f>
        <v>pipa 1 aw</v>
      </c>
      <c r="B211" s="30">
        <f>'JULI 25'!AJ211:AJ568</f>
        <v>3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23">
        <f t="shared" si="3"/>
        <v>0</v>
      </c>
      <c r="AI211" s="31">
        <f t="shared" si="4"/>
        <v>3</v>
      </c>
      <c r="AJ211" s="32">
        <f t="shared" si="5"/>
        <v>3</v>
      </c>
      <c r="AK211" s="32">
        <f t="shared" si="6"/>
        <v>0</v>
      </c>
      <c r="AL211" s="114">
        <f>'MASTER STOCK'!I208</f>
        <v>38000</v>
      </c>
      <c r="AM211" s="26">
        <f>'MASTER STOCK'!L208</f>
        <v>38000</v>
      </c>
      <c r="AN211" s="26">
        <f t="shared" si="7"/>
        <v>0</v>
      </c>
      <c r="AO211" s="26">
        <f t="shared" si="8"/>
        <v>0</v>
      </c>
      <c r="AP211" s="114">
        <f t="shared" si="9"/>
        <v>0</v>
      </c>
      <c r="AQ211" s="10"/>
    </row>
    <row r="212">
      <c r="A212" s="29" t="str">
        <f>'MASTER STOCK'!F209</f>
        <v>pipa bluefin 1 1/2</v>
      </c>
      <c r="B212" s="30">
        <f>'JULI 25'!AJ212:AJ569</f>
        <v>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23">
        <f t="shared" si="3"/>
        <v>0</v>
      </c>
      <c r="AI212" s="31">
        <f t="shared" si="4"/>
        <v>1</v>
      </c>
      <c r="AJ212" s="32">
        <f t="shared" si="5"/>
        <v>1</v>
      </c>
      <c r="AK212" s="32">
        <f t="shared" si="6"/>
        <v>0</v>
      </c>
      <c r="AL212" s="114">
        <f>'MASTER STOCK'!I209</f>
        <v>35000</v>
      </c>
      <c r="AM212" s="26">
        <f>'MASTER STOCK'!L209</f>
        <v>35000</v>
      </c>
      <c r="AN212" s="26">
        <f t="shared" si="7"/>
        <v>0</v>
      </c>
      <c r="AO212" s="26">
        <f t="shared" si="8"/>
        <v>0</v>
      </c>
      <c r="AP212" s="114">
        <f t="shared" si="9"/>
        <v>0</v>
      </c>
      <c r="AQ212" s="10"/>
    </row>
    <row r="213">
      <c r="A213" s="29" t="str">
        <f>'MASTER STOCK'!F210</f>
        <v>pipa quinlon 1 1/2</v>
      </c>
      <c r="B213" s="30">
        <f>'JULI 25'!AJ213:AJ570</f>
        <v>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23">
        <f t="shared" si="3"/>
        <v>0</v>
      </c>
      <c r="AI213" s="31">
        <f t="shared" si="4"/>
        <v>1</v>
      </c>
      <c r="AJ213" s="32">
        <f t="shared" si="5"/>
        <v>1</v>
      </c>
      <c r="AK213" s="32">
        <f t="shared" si="6"/>
        <v>0</v>
      </c>
      <c r="AL213" s="114">
        <f>'MASTER STOCK'!I210</f>
        <v>32000</v>
      </c>
      <c r="AM213" s="26">
        <f>'MASTER STOCK'!L210</f>
        <v>32000</v>
      </c>
      <c r="AN213" s="26">
        <f t="shared" si="7"/>
        <v>0</v>
      </c>
      <c r="AO213" s="26">
        <f t="shared" si="8"/>
        <v>0</v>
      </c>
      <c r="AP213" s="114">
        <f t="shared" si="9"/>
        <v>0</v>
      </c>
      <c r="AQ213" s="10"/>
    </row>
    <row r="214">
      <c r="A214" s="29" t="str">
        <f>'MASTER STOCK'!F211</f>
        <v>pipa bluefin 2 dim c</v>
      </c>
      <c r="B214" s="30">
        <f>'JULI 25'!AJ214:AJ571</f>
        <v>6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23">
        <f t="shared" si="3"/>
        <v>0</v>
      </c>
      <c r="AI214" s="31">
        <f t="shared" si="4"/>
        <v>6</v>
      </c>
      <c r="AJ214" s="32">
        <f t="shared" si="5"/>
        <v>6</v>
      </c>
      <c r="AK214" s="32">
        <f t="shared" si="6"/>
        <v>0</v>
      </c>
      <c r="AL214" s="114">
        <f>'MASTER STOCK'!I211</f>
        <v>41000</v>
      </c>
      <c r="AM214" s="26">
        <f>'MASTER STOCK'!L211</f>
        <v>41000</v>
      </c>
      <c r="AN214" s="26">
        <f t="shared" si="7"/>
        <v>0</v>
      </c>
      <c r="AO214" s="26">
        <f t="shared" si="8"/>
        <v>0</v>
      </c>
      <c r="AP214" s="114">
        <f t="shared" si="9"/>
        <v>0</v>
      </c>
      <c r="AQ214" s="10"/>
    </row>
    <row r="215">
      <c r="A215" s="29" t="str">
        <f>'MASTER STOCK'!F212</f>
        <v>pipa bluefin 2 dim d</v>
      </c>
      <c r="B215" s="30">
        <f>'JULI 25'!AJ215:AJ572</f>
        <v>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23">
        <f t="shared" si="3"/>
        <v>0</v>
      </c>
      <c r="AI215" s="31">
        <f t="shared" si="4"/>
        <v>1</v>
      </c>
      <c r="AJ215" s="32">
        <f t="shared" si="5"/>
        <v>1</v>
      </c>
      <c r="AK215" s="32">
        <f t="shared" si="6"/>
        <v>0</v>
      </c>
      <c r="AL215" s="114">
        <f>'MASTER STOCK'!I212</f>
        <v>46000</v>
      </c>
      <c r="AM215" s="26">
        <f>'MASTER STOCK'!L212</f>
        <v>46000</v>
      </c>
      <c r="AN215" s="26">
        <f t="shared" si="7"/>
        <v>0</v>
      </c>
      <c r="AO215" s="26">
        <f t="shared" si="8"/>
        <v>0</v>
      </c>
      <c r="AP215" s="114">
        <f t="shared" si="9"/>
        <v>0</v>
      </c>
      <c r="AQ215" s="10"/>
    </row>
    <row r="216">
      <c r="A216" s="29" t="str">
        <f>'MASTER STOCK'!F213</f>
        <v>pipa interniti 2 dim</v>
      </c>
      <c r="B216" s="30">
        <f>'JULI 25'!AJ216:AJ573</f>
        <v>7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23">
        <f t="shared" si="3"/>
        <v>0</v>
      </c>
      <c r="AI216" s="31">
        <f t="shared" si="4"/>
        <v>7</v>
      </c>
      <c r="AJ216" s="32">
        <f t="shared" si="5"/>
        <v>7</v>
      </c>
      <c r="AK216" s="32">
        <f t="shared" si="6"/>
        <v>0</v>
      </c>
      <c r="AL216" s="114">
        <f>'MASTER STOCK'!I213</f>
        <v>42000</v>
      </c>
      <c r="AM216" s="26">
        <f>'MASTER STOCK'!L213</f>
        <v>42000</v>
      </c>
      <c r="AN216" s="26">
        <f t="shared" si="7"/>
        <v>0</v>
      </c>
      <c r="AO216" s="26">
        <f t="shared" si="8"/>
        <v>0</v>
      </c>
      <c r="AP216" s="114">
        <f t="shared" si="9"/>
        <v>0</v>
      </c>
      <c r="AQ216" s="10"/>
    </row>
    <row r="217">
      <c r="A217" s="29" t="str">
        <f>'MASTER STOCK'!F214</f>
        <v>pipa bluefin 2 1/2 dim c</v>
      </c>
      <c r="B217" s="30">
        <f>'JULI 25'!AJ217:AJ574</f>
        <v>2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23">
        <f t="shared" si="3"/>
        <v>0</v>
      </c>
      <c r="AI217" s="31">
        <f t="shared" si="4"/>
        <v>2</v>
      </c>
      <c r="AJ217" s="32">
        <f t="shared" si="5"/>
        <v>2</v>
      </c>
      <c r="AK217" s="32">
        <f t="shared" si="6"/>
        <v>0</v>
      </c>
      <c r="AL217" s="114">
        <f>'MASTER STOCK'!I214</f>
        <v>57500</v>
      </c>
      <c r="AM217" s="26">
        <f>'MASTER STOCK'!L214</f>
        <v>57500</v>
      </c>
      <c r="AN217" s="26">
        <f t="shared" si="7"/>
        <v>0</v>
      </c>
      <c r="AO217" s="26">
        <f t="shared" si="8"/>
        <v>0</v>
      </c>
      <c r="AP217" s="114">
        <f t="shared" si="9"/>
        <v>0</v>
      </c>
      <c r="AQ217" s="10"/>
    </row>
    <row r="218">
      <c r="A218" s="29" t="str">
        <f>'MASTER STOCK'!F215</f>
        <v>pipa quinlon 3 dim c</v>
      </c>
      <c r="B218" s="30">
        <f>'JULI 25'!AJ218:AJ575</f>
        <v>3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23">
        <f t="shared" si="3"/>
        <v>0</v>
      </c>
      <c r="AI218" s="31">
        <f t="shared" si="4"/>
        <v>3</v>
      </c>
      <c r="AJ218" s="32">
        <f t="shared" si="5"/>
        <v>3</v>
      </c>
      <c r="AK218" s="32">
        <f t="shared" si="6"/>
        <v>0</v>
      </c>
      <c r="AL218" s="114">
        <f>'MASTER STOCK'!I215</f>
        <v>53000</v>
      </c>
      <c r="AM218" s="26">
        <f>'MASTER STOCK'!L215</f>
        <v>53000</v>
      </c>
      <c r="AN218" s="26">
        <f t="shared" si="7"/>
        <v>0</v>
      </c>
      <c r="AO218" s="26">
        <f t="shared" si="8"/>
        <v>0</v>
      </c>
      <c r="AP218" s="114">
        <f t="shared" si="9"/>
        <v>0</v>
      </c>
      <c r="AQ218" s="10"/>
    </row>
    <row r="219">
      <c r="A219" s="29" t="str">
        <f>'MASTER STOCK'!F216</f>
        <v>pipa quinlon 3 dim d</v>
      </c>
      <c r="B219" s="30">
        <f>'JULI 25'!AJ219:AJ576</f>
        <v>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23">
        <f t="shared" si="3"/>
        <v>0</v>
      </c>
      <c r="AI219" s="31">
        <f t="shared" si="4"/>
        <v>1</v>
      </c>
      <c r="AJ219" s="32">
        <f t="shared" si="5"/>
        <v>1</v>
      </c>
      <c r="AK219" s="32">
        <f t="shared" si="6"/>
        <v>0</v>
      </c>
      <c r="AL219" s="114">
        <f>'MASTER STOCK'!I216</f>
        <v>78000</v>
      </c>
      <c r="AM219" s="26">
        <f>'MASTER STOCK'!L216</f>
        <v>78000</v>
      </c>
      <c r="AN219" s="26">
        <f t="shared" si="7"/>
        <v>0</v>
      </c>
      <c r="AO219" s="26">
        <f t="shared" si="8"/>
        <v>0</v>
      </c>
      <c r="AP219" s="114">
        <f t="shared" si="9"/>
        <v>0</v>
      </c>
      <c r="AQ219" s="10"/>
    </row>
    <row r="220">
      <c r="A220" s="29" t="str">
        <f>'MASTER STOCK'!F217</f>
        <v>asbes 180 x 1 m</v>
      </c>
      <c r="B220" s="30">
        <f>'JULI 25'!AJ220:AJ577</f>
        <v>2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23">
        <f t="shared" si="3"/>
        <v>0</v>
      </c>
      <c r="AI220" s="31">
        <f t="shared" si="4"/>
        <v>2</v>
      </c>
      <c r="AJ220" s="32">
        <f t="shared" si="5"/>
        <v>2</v>
      </c>
      <c r="AK220" s="32">
        <f t="shared" si="6"/>
        <v>0</v>
      </c>
      <c r="AL220" s="114">
        <f>'MASTER STOCK'!I217</f>
        <v>59000</v>
      </c>
      <c r="AM220" s="26">
        <f>'MASTER STOCK'!L217</f>
        <v>59000</v>
      </c>
      <c r="AN220" s="26">
        <f t="shared" si="7"/>
        <v>0</v>
      </c>
      <c r="AO220" s="26">
        <f t="shared" si="8"/>
        <v>0</v>
      </c>
      <c r="AP220" s="114">
        <f t="shared" si="9"/>
        <v>0</v>
      </c>
      <c r="AQ220" s="10"/>
    </row>
    <row r="221">
      <c r="A221" s="29" t="str">
        <f>'MASTER STOCK'!F218</f>
        <v>asbes 240 x 1 m</v>
      </c>
      <c r="B221" s="30">
        <f>'JULI 25'!AJ221:AJ578</f>
        <v>2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23">
        <f t="shared" si="3"/>
        <v>0</v>
      </c>
      <c r="AI221" s="31">
        <f t="shared" si="4"/>
        <v>2</v>
      </c>
      <c r="AJ221" s="32">
        <f t="shared" si="5"/>
        <v>2</v>
      </c>
      <c r="AK221" s="32">
        <f t="shared" si="6"/>
        <v>0</v>
      </c>
      <c r="AL221" s="114">
        <f>'MASTER STOCK'!I218</f>
        <v>72000</v>
      </c>
      <c r="AM221" s="26">
        <f>'MASTER STOCK'!L218</f>
        <v>72000</v>
      </c>
      <c r="AN221" s="26">
        <f t="shared" si="7"/>
        <v>0</v>
      </c>
      <c r="AO221" s="26">
        <f t="shared" si="8"/>
        <v>0</v>
      </c>
      <c r="AP221" s="114">
        <f t="shared" si="9"/>
        <v>0</v>
      </c>
      <c r="AQ221" s="10"/>
    </row>
    <row r="222">
      <c r="A222" s="29" t="str">
        <f>'MASTER STOCK'!F219</f>
        <v>fiber glass</v>
      </c>
      <c r="B222" s="30">
        <f>'JULI 25'!AJ222:AJ579</f>
        <v>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23">
        <f t="shared" si="3"/>
        <v>0</v>
      </c>
      <c r="AI222" s="31">
        <f t="shared" si="4"/>
        <v>1</v>
      </c>
      <c r="AJ222" s="32">
        <f t="shared" si="5"/>
        <v>1</v>
      </c>
      <c r="AK222" s="32">
        <f t="shared" si="6"/>
        <v>0</v>
      </c>
      <c r="AL222" s="114">
        <f>'MASTER STOCK'!I219</f>
        <v>150000</v>
      </c>
      <c r="AM222" s="26">
        <f>'MASTER STOCK'!L219</f>
        <v>150000</v>
      </c>
      <c r="AN222" s="26">
        <f t="shared" si="7"/>
        <v>0</v>
      </c>
      <c r="AO222" s="26">
        <f t="shared" si="8"/>
        <v>0</v>
      </c>
      <c r="AP222" s="114">
        <f t="shared" si="9"/>
        <v>0</v>
      </c>
      <c r="AQ222" s="10"/>
    </row>
    <row r="223">
      <c r="A223" s="29" t="str">
        <f>'MASTER STOCK'!F220</f>
        <v>kasiboard 2 m</v>
      </c>
      <c r="B223" s="30">
        <f>'JULI 25'!AJ223:AJ580</f>
        <v>2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23">
        <f t="shared" si="3"/>
        <v>0</v>
      </c>
      <c r="AI223" s="31">
        <f t="shared" si="4"/>
        <v>2</v>
      </c>
      <c r="AJ223" s="32">
        <f t="shared" si="5"/>
        <v>2</v>
      </c>
      <c r="AK223" s="32">
        <f t="shared" si="6"/>
        <v>0</v>
      </c>
      <c r="AL223" s="114">
        <f>'MASTER STOCK'!I220</f>
        <v>0</v>
      </c>
      <c r="AM223" s="26">
        <f>'MASTER STOCK'!L220</f>
        <v>0</v>
      </c>
      <c r="AN223" s="26">
        <f t="shared" si="7"/>
        <v>0</v>
      </c>
      <c r="AO223" s="26">
        <f t="shared" si="8"/>
        <v>0</v>
      </c>
      <c r="AP223" s="114">
        <f t="shared" si="9"/>
        <v>0</v>
      </c>
      <c r="AQ223" s="10"/>
    </row>
    <row r="224">
      <c r="A224" s="29" t="str">
        <f>'MASTER STOCK'!F221</f>
        <v>besi  p 10</v>
      </c>
      <c r="B224" s="30">
        <f>'JULI 25'!AJ224:AJ581</f>
        <v>4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23">
        <f t="shared" si="3"/>
        <v>0</v>
      </c>
      <c r="AI224" s="31">
        <f t="shared" si="4"/>
        <v>4</v>
      </c>
      <c r="AJ224" s="32">
        <f t="shared" si="5"/>
        <v>4</v>
      </c>
      <c r="AK224" s="32">
        <f t="shared" si="6"/>
        <v>0</v>
      </c>
      <c r="AL224" s="114">
        <f>'MASTER STOCK'!I221</f>
        <v>71000</v>
      </c>
      <c r="AM224" s="26">
        <f>'MASTER STOCK'!L221</f>
        <v>71000</v>
      </c>
      <c r="AN224" s="26">
        <f t="shared" si="7"/>
        <v>0</v>
      </c>
      <c r="AO224" s="26">
        <f t="shared" si="8"/>
        <v>0</v>
      </c>
      <c r="AP224" s="114">
        <f t="shared" si="9"/>
        <v>0</v>
      </c>
      <c r="AQ224" s="10"/>
    </row>
    <row r="225">
      <c r="A225" s="29" t="str">
        <f>'MASTER STOCK'!F222</f>
        <v>besi  8</v>
      </c>
      <c r="B225" s="30">
        <f>'JULI 25'!AJ225:AJ582</f>
        <v>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23">
        <f t="shared" si="3"/>
        <v>0</v>
      </c>
      <c r="AI225" s="31">
        <f t="shared" si="4"/>
        <v>1</v>
      </c>
      <c r="AJ225" s="32">
        <f t="shared" si="5"/>
        <v>1</v>
      </c>
      <c r="AK225" s="32">
        <f t="shared" si="6"/>
        <v>0</v>
      </c>
      <c r="AL225" s="114">
        <f>'MASTER STOCK'!I222</f>
        <v>43000</v>
      </c>
      <c r="AM225" s="26">
        <f>'MASTER STOCK'!L222</f>
        <v>43000</v>
      </c>
      <c r="AN225" s="26">
        <f t="shared" si="7"/>
        <v>0</v>
      </c>
      <c r="AO225" s="26">
        <f t="shared" si="8"/>
        <v>0</v>
      </c>
      <c r="AP225" s="114">
        <f t="shared" si="9"/>
        <v>0</v>
      </c>
      <c r="AQ225" s="10"/>
    </row>
    <row r="226">
      <c r="A226" s="29" t="str">
        <f>'MASTER STOCK'!F223</f>
        <v>talang seng gulung</v>
      </c>
      <c r="B226" s="30">
        <f>'JULI 25'!AJ226:AJ583</f>
        <v>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23">
        <f t="shared" si="3"/>
        <v>0</v>
      </c>
      <c r="AI226" s="31">
        <f t="shared" si="4"/>
        <v>1</v>
      </c>
      <c r="AJ226" s="32">
        <f t="shared" si="5"/>
        <v>1</v>
      </c>
      <c r="AK226" s="32">
        <f t="shared" si="6"/>
        <v>0</v>
      </c>
      <c r="AL226" s="114">
        <f>'MASTER STOCK'!I223</f>
        <v>19000</v>
      </c>
      <c r="AM226" s="26">
        <f>'MASTER STOCK'!L223</f>
        <v>19000</v>
      </c>
      <c r="AN226" s="26">
        <f t="shared" si="7"/>
        <v>0</v>
      </c>
      <c r="AO226" s="26">
        <f t="shared" si="8"/>
        <v>0</v>
      </c>
      <c r="AP226" s="114">
        <f t="shared" si="9"/>
        <v>0</v>
      </c>
      <c r="AQ226" s="10"/>
    </row>
    <row r="227">
      <c r="A227" s="29" t="str">
        <f>'MASTER STOCK'!F224</f>
        <v>galvalum</v>
      </c>
      <c r="B227" s="30">
        <f>'JULI 25'!AJ227:AJ584</f>
        <v>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23">
        <f t="shared" si="3"/>
        <v>0</v>
      </c>
      <c r="AI227" s="31">
        <f t="shared" si="4"/>
        <v>1</v>
      </c>
      <c r="AJ227" s="32">
        <f t="shared" si="5"/>
        <v>1</v>
      </c>
      <c r="AK227" s="32">
        <f t="shared" si="6"/>
        <v>0</v>
      </c>
      <c r="AL227" s="114">
        <f>'MASTER STOCK'!I224</f>
        <v>23000</v>
      </c>
      <c r="AM227" s="26">
        <f>'MASTER STOCK'!L224</f>
        <v>23000</v>
      </c>
      <c r="AN227" s="26">
        <f t="shared" si="7"/>
        <v>0</v>
      </c>
      <c r="AO227" s="26">
        <f t="shared" si="8"/>
        <v>0</v>
      </c>
      <c r="AP227" s="114">
        <f t="shared" si="9"/>
        <v>0</v>
      </c>
      <c r="AQ227" s="10"/>
    </row>
    <row r="228">
      <c r="A228" s="29" t="str">
        <f>'MASTER STOCK'!F225</f>
        <v>watermur 1/2</v>
      </c>
      <c r="B228" s="30">
        <f>'JULI 25'!AJ228:AJ585</f>
        <v>6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23">
        <f t="shared" si="3"/>
        <v>0</v>
      </c>
      <c r="AI228" s="31">
        <f t="shared" si="4"/>
        <v>6</v>
      </c>
      <c r="AJ228" s="32">
        <f t="shared" si="5"/>
        <v>6</v>
      </c>
      <c r="AK228" s="32">
        <f t="shared" si="6"/>
        <v>0</v>
      </c>
      <c r="AL228" s="114">
        <f>'MASTER STOCK'!I225</f>
        <v>5000</v>
      </c>
      <c r="AM228" s="26">
        <f>'MASTER STOCK'!L225</f>
        <v>5000</v>
      </c>
      <c r="AN228" s="26">
        <f t="shared" si="7"/>
        <v>0</v>
      </c>
      <c r="AO228" s="26">
        <f t="shared" si="8"/>
        <v>0</v>
      </c>
      <c r="AP228" s="114">
        <f t="shared" si="9"/>
        <v>0</v>
      </c>
      <c r="AQ228" s="10"/>
    </row>
    <row r="229">
      <c r="A229" s="29" t="str">
        <f>'MASTER STOCK'!F226</f>
        <v>loster besar kotak</v>
      </c>
      <c r="B229" s="30">
        <f>'JULI 25'!AJ229:AJ586</f>
        <v>13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23">
        <f t="shared" si="3"/>
        <v>0</v>
      </c>
      <c r="AI229" s="31">
        <f t="shared" si="4"/>
        <v>13</v>
      </c>
      <c r="AJ229" s="32">
        <f t="shared" si="5"/>
        <v>13</v>
      </c>
      <c r="AK229" s="32">
        <f t="shared" si="6"/>
        <v>0</v>
      </c>
      <c r="AL229" s="114">
        <f>'MASTER STOCK'!I226</f>
        <v>15500</v>
      </c>
      <c r="AM229" s="26">
        <f>'MASTER STOCK'!L226</f>
        <v>15500</v>
      </c>
      <c r="AN229" s="26">
        <f t="shared" si="7"/>
        <v>0</v>
      </c>
      <c r="AO229" s="26">
        <f t="shared" si="8"/>
        <v>0</v>
      </c>
      <c r="AP229" s="114">
        <f t="shared" si="9"/>
        <v>0</v>
      </c>
      <c r="AQ229" s="10"/>
    </row>
    <row r="230">
      <c r="A230" s="29" t="str">
        <f>'MASTER STOCK'!F227</f>
        <v>loster besar saringan</v>
      </c>
      <c r="B230" s="30">
        <f>'JULI 25'!AJ230:AJ587</f>
        <v>15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23">
        <f t="shared" si="3"/>
        <v>0</v>
      </c>
      <c r="AI230" s="31">
        <f t="shared" si="4"/>
        <v>15</v>
      </c>
      <c r="AJ230" s="32">
        <f t="shared" si="5"/>
        <v>15</v>
      </c>
      <c r="AK230" s="32">
        <f t="shared" si="6"/>
        <v>0</v>
      </c>
      <c r="AL230" s="114">
        <f>'MASTER STOCK'!I227</f>
        <v>17500</v>
      </c>
      <c r="AM230" s="26">
        <f>'MASTER STOCK'!L227</f>
        <v>17500</v>
      </c>
      <c r="AN230" s="26">
        <f t="shared" si="7"/>
        <v>0</v>
      </c>
      <c r="AO230" s="26">
        <f t="shared" si="8"/>
        <v>0</v>
      </c>
      <c r="AP230" s="114">
        <f t="shared" si="9"/>
        <v>0</v>
      </c>
      <c r="AQ230" s="10"/>
    </row>
    <row r="231">
      <c r="A231" s="29" t="str">
        <f>'MASTER STOCK'!F228</f>
        <v>lem rajawali</v>
      </c>
      <c r="B231" s="30">
        <f>'JULI 25'!AJ231:AJ588</f>
        <v>19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23">
        <f t="shared" si="3"/>
        <v>0</v>
      </c>
      <c r="AI231" s="31">
        <f t="shared" si="4"/>
        <v>19</v>
      </c>
      <c r="AJ231" s="32">
        <f t="shared" si="5"/>
        <v>19</v>
      </c>
      <c r="AK231" s="32">
        <f t="shared" si="6"/>
        <v>0</v>
      </c>
      <c r="AL231" s="114">
        <f>'MASTER STOCK'!I228</f>
        <v>19500</v>
      </c>
      <c r="AM231" s="26">
        <f>'MASTER STOCK'!L228</f>
        <v>21500</v>
      </c>
      <c r="AN231" s="26">
        <f t="shared" si="7"/>
        <v>0</v>
      </c>
      <c r="AO231" s="26">
        <f t="shared" si="8"/>
        <v>0</v>
      </c>
      <c r="AP231" s="114">
        <f t="shared" si="9"/>
        <v>0</v>
      </c>
      <c r="AQ231" s="10"/>
    </row>
    <row r="232">
      <c r="A232" s="29" t="str">
        <f>'MASTER STOCK'!F229</f>
        <v>pain roller nippon pain</v>
      </c>
      <c r="B232" s="30">
        <f>'JULI 25'!AJ232:AJ589</f>
        <v>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23">
        <f t="shared" si="3"/>
        <v>0</v>
      </c>
      <c r="AI232" s="31">
        <f t="shared" si="4"/>
        <v>1</v>
      </c>
      <c r="AJ232" s="32">
        <f t="shared" si="5"/>
        <v>1</v>
      </c>
      <c r="AK232" s="32">
        <f t="shared" si="6"/>
        <v>0</v>
      </c>
      <c r="AL232" s="114">
        <f>'MASTER STOCK'!I229</f>
        <v>30000</v>
      </c>
      <c r="AM232" s="26">
        <f>'MASTER STOCK'!L229</f>
        <v>30000</v>
      </c>
      <c r="AN232" s="26">
        <f t="shared" si="7"/>
        <v>0</v>
      </c>
      <c r="AO232" s="26">
        <f t="shared" si="8"/>
        <v>0</v>
      </c>
      <c r="AP232" s="114">
        <f t="shared" si="9"/>
        <v>0</v>
      </c>
      <c r="AQ232" s="10"/>
    </row>
    <row r="233">
      <c r="A233" s="29" t="str">
        <f>'MASTER STOCK'!F230</f>
        <v>pain roller index </v>
      </c>
      <c r="B233" s="30">
        <f>'JULI 25'!AJ233:AJ590</f>
        <v>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23">
        <f t="shared" si="3"/>
        <v>0</v>
      </c>
      <c r="AI233" s="31">
        <f t="shared" si="4"/>
        <v>1</v>
      </c>
      <c r="AJ233" s="32">
        <f t="shared" si="5"/>
        <v>1</v>
      </c>
      <c r="AK233" s="32">
        <f t="shared" si="6"/>
        <v>0</v>
      </c>
      <c r="AL233" s="114">
        <f>'MASTER STOCK'!I230</f>
        <v>25000</v>
      </c>
      <c r="AM233" s="26">
        <f>'MASTER STOCK'!L230</f>
        <v>25000</v>
      </c>
      <c r="AN233" s="26">
        <f t="shared" si="7"/>
        <v>0</v>
      </c>
      <c r="AO233" s="26">
        <f t="shared" si="8"/>
        <v>0</v>
      </c>
      <c r="AP233" s="114">
        <f t="shared" si="9"/>
        <v>0</v>
      </c>
      <c r="AQ233" s="10"/>
    </row>
    <row r="234">
      <c r="A234" s="29" t="str">
        <f>'MASTER STOCK'!F231</f>
        <v>timba</v>
      </c>
      <c r="B234" s="30">
        <f>'JULI 25'!AJ234:AJ591</f>
        <v>8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23">
        <f t="shared" si="3"/>
        <v>0</v>
      </c>
      <c r="AI234" s="31">
        <f t="shared" si="4"/>
        <v>8</v>
      </c>
      <c r="AJ234" s="32">
        <f t="shared" si="5"/>
        <v>8</v>
      </c>
      <c r="AK234" s="32">
        <f t="shared" si="6"/>
        <v>0</v>
      </c>
      <c r="AL234" s="114">
        <f>'MASTER STOCK'!I231</f>
        <v>10000</v>
      </c>
      <c r="AM234" s="26">
        <f>'MASTER STOCK'!L231</f>
        <v>10000</v>
      </c>
      <c r="AN234" s="26">
        <f t="shared" si="7"/>
        <v>0</v>
      </c>
      <c r="AO234" s="26">
        <f t="shared" si="8"/>
        <v>0</v>
      </c>
      <c r="AP234" s="114">
        <f t="shared" si="9"/>
        <v>0</v>
      </c>
      <c r="AQ234" s="10"/>
    </row>
    <row r="235">
      <c r="A235" s="29" t="str">
        <f>'MASTER STOCK'!F232</f>
        <v>paku 5</v>
      </c>
      <c r="B235" s="30">
        <f>'JULI 25'!AJ235:AJ592</f>
        <v>0.4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23">
        <f t="shared" si="3"/>
        <v>0</v>
      </c>
      <c r="AI235" s="31">
        <f t="shared" si="4"/>
        <v>0.4</v>
      </c>
      <c r="AJ235" s="32">
        <f t="shared" si="5"/>
        <v>0.4</v>
      </c>
      <c r="AK235" s="32">
        <f t="shared" si="6"/>
        <v>0</v>
      </c>
      <c r="AL235" s="114">
        <f>'MASTER STOCK'!I232</f>
        <v>26000</v>
      </c>
      <c r="AM235" s="26">
        <f>'MASTER STOCK'!L232</f>
        <v>26000</v>
      </c>
      <c r="AN235" s="26">
        <f t="shared" si="7"/>
        <v>0</v>
      </c>
      <c r="AO235" s="26">
        <f t="shared" si="8"/>
        <v>0</v>
      </c>
      <c r="AP235" s="114">
        <f t="shared" si="9"/>
        <v>0</v>
      </c>
      <c r="AQ235" s="10"/>
    </row>
    <row r="236">
      <c r="A236" s="29" t="str">
        <f>'MASTER STOCK'!F233</f>
        <v>paku 3 1/2</v>
      </c>
      <c r="B236" s="30">
        <f>'JULI 25'!AJ236:AJ593</f>
        <v>5.5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23">
        <f t="shared" si="3"/>
        <v>0</v>
      </c>
      <c r="AI236" s="31">
        <f t="shared" si="4"/>
        <v>5.5</v>
      </c>
      <c r="AJ236" s="32">
        <f t="shared" si="5"/>
        <v>5.5</v>
      </c>
      <c r="AK236" s="32">
        <f t="shared" si="6"/>
        <v>0</v>
      </c>
      <c r="AL236" s="114">
        <f>'MASTER STOCK'!I233</f>
        <v>24000</v>
      </c>
      <c r="AM236" s="26">
        <f>'MASTER STOCK'!L233</f>
        <v>24000</v>
      </c>
      <c r="AN236" s="26">
        <f t="shared" si="7"/>
        <v>0</v>
      </c>
      <c r="AO236" s="26">
        <f t="shared" si="8"/>
        <v>0</v>
      </c>
      <c r="AP236" s="114">
        <f t="shared" si="9"/>
        <v>0</v>
      </c>
      <c r="AQ236" s="10"/>
    </row>
    <row r="237">
      <c r="A237" s="29" t="str">
        <f>'MASTER STOCK'!F234</f>
        <v>geraji</v>
      </c>
      <c r="B237" s="30">
        <f>'JULI 25'!AJ237:AJ594</f>
        <v>8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23">
        <f t="shared" si="3"/>
        <v>0</v>
      </c>
      <c r="AI237" s="31">
        <f t="shared" si="4"/>
        <v>8</v>
      </c>
      <c r="AJ237" s="32">
        <f t="shared" si="5"/>
        <v>8</v>
      </c>
      <c r="AK237" s="32">
        <f t="shared" si="6"/>
        <v>0</v>
      </c>
      <c r="AL237" s="114">
        <f>'MASTER STOCK'!I234</f>
        <v>30000</v>
      </c>
      <c r="AM237" s="26">
        <f>'MASTER STOCK'!L234</f>
        <v>30000</v>
      </c>
      <c r="AN237" s="26">
        <f t="shared" si="7"/>
        <v>0</v>
      </c>
      <c r="AO237" s="26">
        <f t="shared" si="8"/>
        <v>0</v>
      </c>
      <c r="AP237" s="114">
        <f t="shared" si="9"/>
        <v>0</v>
      </c>
      <c r="AQ237" s="10"/>
    </row>
    <row r="238">
      <c r="A238" s="29" t="str">
        <f>'MASTER STOCK'!F235</f>
        <v>cutter</v>
      </c>
      <c r="B238" s="30">
        <f>'JULI 25'!AJ238:AJ595</f>
        <v>10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23">
        <f t="shared" si="3"/>
        <v>0</v>
      </c>
      <c r="AI238" s="31">
        <f t="shared" si="4"/>
        <v>10</v>
      </c>
      <c r="AJ238" s="32">
        <f t="shared" si="5"/>
        <v>10</v>
      </c>
      <c r="AK238" s="32">
        <f t="shared" si="6"/>
        <v>0</v>
      </c>
      <c r="AL238" s="114">
        <f>'MASTER STOCK'!I235</f>
        <v>3000</v>
      </c>
      <c r="AM238" s="26">
        <f>'MASTER STOCK'!L235</f>
        <v>3000</v>
      </c>
      <c r="AN238" s="26">
        <f t="shared" si="7"/>
        <v>0</v>
      </c>
      <c r="AO238" s="26">
        <f t="shared" si="8"/>
        <v>0</v>
      </c>
      <c r="AP238" s="114">
        <f t="shared" si="9"/>
        <v>0</v>
      </c>
      <c r="AQ238" s="10"/>
    </row>
    <row r="239">
      <c r="A239" s="29" t="str">
        <f>'MASTER STOCK'!F236</f>
        <v>cutter joyko</v>
      </c>
      <c r="B239" s="30">
        <f>'JULI 25'!AJ239:AJ596</f>
        <v>3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23">
        <f t="shared" si="3"/>
        <v>0</v>
      </c>
      <c r="AI239" s="31">
        <f t="shared" si="4"/>
        <v>3</v>
      </c>
      <c r="AJ239" s="32">
        <f t="shared" si="5"/>
        <v>3</v>
      </c>
      <c r="AK239" s="32">
        <f t="shared" si="6"/>
        <v>0</v>
      </c>
      <c r="AL239" s="114">
        <f>'MASTER STOCK'!I236</f>
        <v>5000</v>
      </c>
      <c r="AM239" s="26">
        <f>'MASTER STOCK'!L236</f>
        <v>5000</v>
      </c>
      <c r="AN239" s="26">
        <f t="shared" si="7"/>
        <v>0</v>
      </c>
      <c r="AO239" s="26">
        <f t="shared" si="8"/>
        <v>0</v>
      </c>
      <c r="AP239" s="114">
        <f t="shared" si="9"/>
        <v>0</v>
      </c>
      <c r="AQ239" s="10"/>
    </row>
    <row r="240">
      <c r="A240" s="29" t="str">
        <f>'MASTER STOCK'!F237</f>
        <v>tang</v>
      </c>
      <c r="B240" s="30">
        <f>'JULI 25'!AJ240:AJ597</f>
        <v>2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23">
        <f t="shared" si="3"/>
        <v>0</v>
      </c>
      <c r="AI240" s="31">
        <f t="shared" si="4"/>
        <v>2</v>
      </c>
      <c r="AJ240" s="32">
        <f t="shared" si="5"/>
        <v>2</v>
      </c>
      <c r="AK240" s="32">
        <f t="shared" si="6"/>
        <v>0</v>
      </c>
      <c r="AL240" s="114">
        <f>'MASTER STOCK'!I237</f>
        <v>29500</v>
      </c>
      <c r="AM240" s="26">
        <f>'MASTER STOCK'!L237</f>
        <v>29500</v>
      </c>
      <c r="AN240" s="26">
        <f t="shared" si="7"/>
        <v>0</v>
      </c>
      <c r="AO240" s="26">
        <f t="shared" si="8"/>
        <v>0</v>
      </c>
      <c r="AP240" s="114">
        <f t="shared" si="9"/>
        <v>0</v>
      </c>
      <c r="AQ240" s="10"/>
    </row>
    <row r="241">
      <c r="A241" s="29" t="str">
        <f>'MASTER STOCK'!F238</f>
        <v>sarung tangan karet</v>
      </c>
      <c r="B241" s="30">
        <f>'JULI 25'!AJ241:AJ598</f>
        <v>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23">
        <f t="shared" si="3"/>
        <v>0</v>
      </c>
      <c r="AI241" s="31">
        <f t="shared" si="4"/>
        <v>1</v>
      </c>
      <c r="AJ241" s="32">
        <f t="shared" si="5"/>
        <v>1</v>
      </c>
      <c r="AK241" s="32">
        <f t="shared" si="6"/>
        <v>0</v>
      </c>
      <c r="AL241" s="114">
        <f>'MASTER STOCK'!I238</f>
        <v>1600</v>
      </c>
      <c r="AM241" s="26">
        <f>'MASTER STOCK'!L238</f>
        <v>1600</v>
      </c>
      <c r="AN241" s="26">
        <f t="shared" si="7"/>
        <v>0</v>
      </c>
      <c r="AO241" s="26">
        <f t="shared" si="8"/>
        <v>0</v>
      </c>
      <c r="AP241" s="114">
        <f t="shared" si="9"/>
        <v>0</v>
      </c>
      <c r="AQ241" s="10"/>
    </row>
    <row r="242">
      <c r="A242" s="29" t="str">
        <f>'MASTER STOCK'!F239</f>
        <v>batrai panasonic 1,5 volt AAA</v>
      </c>
      <c r="B242" s="30">
        <f>'JULI 25'!AJ242:AJ599</f>
        <v>4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23">
        <f t="shared" si="3"/>
        <v>0</v>
      </c>
      <c r="AI242" s="31">
        <f t="shared" si="4"/>
        <v>4</v>
      </c>
      <c r="AJ242" s="32">
        <f t="shared" si="5"/>
        <v>4</v>
      </c>
      <c r="AK242" s="32">
        <f t="shared" si="6"/>
        <v>0</v>
      </c>
      <c r="AL242" s="114">
        <f>'MASTER STOCK'!I239</f>
        <v>4500</v>
      </c>
      <c r="AM242" s="26">
        <f>'MASTER STOCK'!L239</f>
        <v>3000</v>
      </c>
      <c r="AN242" s="26">
        <f t="shared" si="7"/>
        <v>0</v>
      </c>
      <c r="AO242" s="26">
        <f t="shared" si="8"/>
        <v>0</v>
      </c>
      <c r="AP242" s="114">
        <f t="shared" si="9"/>
        <v>0</v>
      </c>
      <c r="AQ242" s="10"/>
    </row>
    <row r="243">
      <c r="A243" s="29" t="str">
        <f>'MASTER STOCK'!F240</f>
        <v>penggaris siku</v>
      </c>
      <c r="B243" s="30">
        <f>'JULI 25'!AJ243:AJ600</f>
        <v>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23">
        <f t="shared" si="3"/>
        <v>0</v>
      </c>
      <c r="AI243" s="31">
        <f t="shared" si="4"/>
        <v>1</v>
      </c>
      <c r="AJ243" s="32">
        <f t="shared" si="5"/>
        <v>1</v>
      </c>
      <c r="AK243" s="32">
        <f t="shared" si="6"/>
        <v>0</v>
      </c>
      <c r="AL243" s="114">
        <f>'MASTER STOCK'!I240</f>
        <v>41500</v>
      </c>
      <c r="AM243" s="26">
        <f>'MASTER STOCK'!L240</f>
        <v>41500</v>
      </c>
      <c r="AN243" s="26">
        <f t="shared" si="7"/>
        <v>0</v>
      </c>
      <c r="AO243" s="26">
        <f t="shared" si="8"/>
        <v>0</v>
      </c>
      <c r="AP243" s="114">
        <f t="shared" si="9"/>
        <v>0</v>
      </c>
      <c r="AQ243" s="10"/>
    </row>
    <row r="244">
      <c r="A244" s="29" t="str">
        <f>'MASTER STOCK'!F241</f>
        <v>turbo cut 1,2 mm</v>
      </c>
      <c r="B244" s="30">
        <f>'JULI 25'!AJ244:AJ601</f>
        <v>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23">
        <f t="shared" si="3"/>
        <v>0</v>
      </c>
      <c r="AI244" s="31">
        <f t="shared" si="4"/>
        <v>1</v>
      </c>
      <c r="AJ244" s="32">
        <f t="shared" si="5"/>
        <v>1</v>
      </c>
      <c r="AK244" s="32">
        <f t="shared" si="6"/>
        <v>0</v>
      </c>
      <c r="AL244" s="114">
        <f>'MASTER STOCK'!I241</f>
        <v>35000</v>
      </c>
      <c r="AM244" s="26">
        <f>'MASTER STOCK'!L241</f>
        <v>35000</v>
      </c>
      <c r="AN244" s="26">
        <f t="shared" si="7"/>
        <v>0</v>
      </c>
      <c r="AO244" s="26">
        <f t="shared" si="8"/>
        <v>0</v>
      </c>
      <c r="AP244" s="114">
        <f t="shared" si="9"/>
        <v>0</v>
      </c>
      <c r="AQ244" s="10"/>
    </row>
    <row r="245">
      <c r="A245" s="29" t="str">
        <f>'MASTER STOCK'!F242</f>
        <v>diamond cutting well</v>
      </c>
      <c r="B245" s="30">
        <f>'JULI 25'!AJ245:AJ602</f>
        <v>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23">
        <f t="shared" si="3"/>
        <v>0</v>
      </c>
      <c r="AI245" s="31">
        <f t="shared" si="4"/>
        <v>1</v>
      </c>
      <c r="AJ245" s="32">
        <f t="shared" si="5"/>
        <v>1</v>
      </c>
      <c r="AK245" s="32">
        <f t="shared" si="6"/>
        <v>0</v>
      </c>
      <c r="AL245" s="114">
        <f>'MASTER STOCK'!I242</f>
        <v>35000</v>
      </c>
      <c r="AM245" s="26">
        <f>'MASTER STOCK'!L242</f>
        <v>35000</v>
      </c>
      <c r="AN245" s="26">
        <f t="shared" si="7"/>
        <v>0</v>
      </c>
      <c r="AO245" s="26">
        <f t="shared" si="8"/>
        <v>0</v>
      </c>
      <c r="AP245" s="114">
        <f t="shared" si="9"/>
        <v>0</v>
      </c>
      <c r="AQ245" s="10"/>
    </row>
    <row r="246">
      <c r="A246" s="29" t="str">
        <f>'MASTER STOCK'!F243</f>
        <v>paku 1 1/4</v>
      </c>
      <c r="B246" s="30">
        <f>'JULI 25'!AJ246:AJ603</f>
        <v>0.5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23">
        <f t="shared" si="3"/>
        <v>0</v>
      </c>
      <c r="AI246" s="31">
        <f t="shared" si="4"/>
        <v>0.5</v>
      </c>
      <c r="AJ246" s="32">
        <f t="shared" si="5"/>
        <v>0.5</v>
      </c>
      <c r="AK246" s="32">
        <f t="shared" si="6"/>
        <v>0</v>
      </c>
      <c r="AL246" s="114">
        <f>'MASTER STOCK'!I243</f>
        <v>25000</v>
      </c>
      <c r="AM246" s="26">
        <f>'MASTER STOCK'!L243</f>
        <v>25000</v>
      </c>
      <c r="AN246" s="26">
        <f t="shared" si="7"/>
        <v>0</v>
      </c>
      <c r="AO246" s="26">
        <f t="shared" si="8"/>
        <v>0</v>
      </c>
      <c r="AP246" s="114">
        <f t="shared" si="9"/>
        <v>0</v>
      </c>
      <c r="AQ246" s="10"/>
    </row>
    <row r="247">
      <c r="A247" s="29" t="str">
        <f>'MASTER STOCK'!F244</f>
        <v>siku  kecil</v>
      </c>
      <c r="B247" s="30">
        <f>'JULI 25'!AJ247:AJ604</f>
        <v>7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23">
        <f t="shared" si="3"/>
        <v>0</v>
      </c>
      <c r="AI247" s="31">
        <f t="shared" si="4"/>
        <v>7</v>
      </c>
      <c r="AJ247" s="32">
        <f t="shared" si="5"/>
        <v>7</v>
      </c>
      <c r="AK247" s="32">
        <f t="shared" si="6"/>
        <v>0</v>
      </c>
      <c r="AL247" s="114">
        <f>'MASTER STOCK'!I244</f>
        <v>7500</v>
      </c>
      <c r="AM247" s="26">
        <f>'MASTER STOCK'!L244</f>
        <v>7500</v>
      </c>
      <c r="AN247" s="26">
        <f t="shared" si="7"/>
        <v>0</v>
      </c>
      <c r="AO247" s="26">
        <f t="shared" si="8"/>
        <v>0</v>
      </c>
      <c r="AP247" s="114">
        <f t="shared" si="9"/>
        <v>0</v>
      </c>
      <c r="AQ247" s="10"/>
    </row>
    <row r="248">
      <c r="A248" s="29" t="str">
        <f>'MASTER STOCK'!F245</f>
        <v>paku 6</v>
      </c>
      <c r="B248" s="30">
        <f>'JULI 25'!AJ248:AJ605</f>
        <v>0.5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23">
        <f t="shared" si="3"/>
        <v>0</v>
      </c>
      <c r="AI248" s="31">
        <f t="shared" si="4"/>
        <v>0.5</v>
      </c>
      <c r="AJ248" s="32">
        <f t="shared" si="5"/>
        <v>0.5</v>
      </c>
      <c r="AK248" s="32">
        <f t="shared" si="6"/>
        <v>0</v>
      </c>
      <c r="AL248" s="114">
        <f>'MASTER STOCK'!I245</f>
        <v>26000</v>
      </c>
      <c r="AM248" s="26">
        <f>'MASTER STOCK'!L245</f>
        <v>26000</v>
      </c>
      <c r="AN248" s="26">
        <f t="shared" si="7"/>
        <v>0</v>
      </c>
      <c r="AO248" s="26">
        <f t="shared" si="8"/>
        <v>0</v>
      </c>
      <c r="AP248" s="114">
        <f t="shared" si="9"/>
        <v>0</v>
      </c>
      <c r="AQ248" s="10"/>
    </row>
    <row r="249">
      <c r="A249" s="29" t="str">
        <f>'MASTER STOCK'!F246</f>
        <v>paku 4</v>
      </c>
      <c r="B249" s="30">
        <f>'JULI 25'!AJ249:AJ606</f>
        <v>5.5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23">
        <f t="shared" si="3"/>
        <v>0</v>
      </c>
      <c r="AI249" s="31">
        <f t="shared" si="4"/>
        <v>5.5</v>
      </c>
      <c r="AJ249" s="32">
        <f t="shared" si="5"/>
        <v>5.5</v>
      </c>
      <c r="AK249" s="32">
        <f t="shared" si="6"/>
        <v>0</v>
      </c>
      <c r="AL249" s="114">
        <f>'MASTER STOCK'!I246</f>
        <v>2600</v>
      </c>
      <c r="AM249" s="26">
        <f>'MASTER STOCK'!L246</f>
        <v>2600</v>
      </c>
      <c r="AN249" s="26">
        <f t="shared" si="7"/>
        <v>0</v>
      </c>
      <c r="AO249" s="26">
        <f t="shared" si="8"/>
        <v>0</v>
      </c>
      <c r="AP249" s="114">
        <f t="shared" si="9"/>
        <v>0</v>
      </c>
      <c r="AQ249" s="10"/>
    </row>
    <row r="250">
      <c r="A250" s="29" t="str">
        <f>'MASTER STOCK'!F247</f>
        <v>kasutan /  trowel</v>
      </c>
      <c r="B250" s="30">
        <f>'JULI 25'!AJ250:AJ607</f>
        <v>4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23">
        <f t="shared" si="3"/>
        <v>0</v>
      </c>
      <c r="AI250" s="31">
        <f t="shared" si="4"/>
        <v>4</v>
      </c>
      <c r="AJ250" s="32">
        <f t="shared" si="5"/>
        <v>4</v>
      </c>
      <c r="AK250" s="32">
        <f t="shared" si="6"/>
        <v>0</v>
      </c>
      <c r="AL250" s="114">
        <f>'MASTER STOCK'!I247</f>
        <v>13500</v>
      </c>
      <c r="AM250" s="26">
        <f>'MASTER STOCK'!L247</f>
        <v>13500</v>
      </c>
      <c r="AN250" s="26">
        <f t="shared" si="7"/>
        <v>0</v>
      </c>
      <c r="AO250" s="26">
        <f t="shared" si="8"/>
        <v>0</v>
      </c>
      <c r="AP250" s="114">
        <f t="shared" si="9"/>
        <v>0</v>
      </c>
      <c r="AQ250" s="10"/>
    </row>
    <row r="251">
      <c r="A251" s="29" t="str">
        <f>'MASTER STOCK'!F248</f>
        <v>kapi 3 dim</v>
      </c>
      <c r="B251" s="30">
        <f>'JULI 25'!AJ251:AJ608</f>
        <v>2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23">
        <f t="shared" si="3"/>
        <v>0</v>
      </c>
      <c r="AI251" s="31">
        <f t="shared" si="4"/>
        <v>2</v>
      </c>
      <c r="AJ251" s="32">
        <f t="shared" si="5"/>
        <v>2</v>
      </c>
      <c r="AK251" s="32">
        <f t="shared" si="6"/>
        <v>0</v>
      </c>
      <c r="AL251" s="114">
        <f>'MASTER STOCK'!I248</f>
        <v>5500</v>
      </c>
      <c r="AM251" s="26">
        <f>'MASTER STOCK'!L248</f>
        <v>5500</v>
      </c>
      <c r="AN251" s="26">
        <f t="shared" si="7"/>
        <v>0</v>
      </c>
      <c r="AO251" s="26">
        <f t="shared" si="8"/>
        <v>0</v>
      </c>
      <c r="AP251" s="114">
        <f t="shared" si="9"/>
        <v>0</v>
      </c>
      <c r="AQ251" s="10"/>
    </row>
    <row r="252">
      <c r="A252" s="29" t="str">
        <f>'MASTER STOCK'!F249</f>
        <v>kapi 5 dim</v>
      </c>
      <c r="B252" s="30">
        <f>'JULI 25'!AJ252:AJ609</f>
        <v>3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23">
        <f t="shared" si="3"/>
        <v>0</v>
      </c>
      <c r="AI252" s="31">
        <f t="shared" si="4"/>
        <v>3</v>
      </c>
      <c r="AJ252" s="32">
        <f t="shared" si="5"/>
        <v>3</v>
      </c>
      <c r="AK252" s="32">
        <f t="shared" si="6"/>
        <v>0</v>
      </c>
      <c r="AL252" s="114">
        <f>'MASTER STOCK'!I249</f>
        <v>7500</v>
      </c>
      <c r="AM252" s="26">
        <f>'MASTER STOCK'!L249</f>
        <v>7500</v>
      </c>
      <c r="AN252" s="26">
        <f t="shared" si="7"/>
        <v>0</v>
      </c>
      <c r="AO252" s="26">
        <f t="shared" si="8"/>
        <v>0</v>
      </c>
      <c r="AP252" s="114">
        <f t="shared" si="9"/>
        <v>0</v>
      </c>
      <c r="AQ252" s="10"/>
    </row>
    <row r="253">
      <c r="A253" s="29" t="str">
        <f>'MASTER STOCK'!F250</f>
        <v>cetok sukun hitam</v>
      </c>
      <c r="B253" s="30">
        <f>'JULI 25'!AJ253:AJ610</f>
        <v>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23">
        <f t="shared" si="3"/>
        <v>0</v>
      </c>
      <c r="AI253" s="31">
        <f t="shared" si="4"/>
        <v>1</v>
      </c>
      <c r="AJ253" s="32">
        <f t="shared" si="5"/>
        <v>1</v>
      </c>
      <c r="AK253" s="32">
        <f t="shared" si="6"/>
        <v>0</v>
      </c>
      <c r="AL253" s="114">
        <f>'MASTER STOCK'!I250</f>
        <v>25000</v>
      </c>
      <c r="AM253" s="26">
        <f>'MASTER STOCK'!L250</f>
        <v>25000</v>
      </c>
      <c r="AN253" s="26">
        <f t="shared" si="7"/>
        <v>0</v>
      </c>
      <c r="AO253" s="26">
        <f t="shared" si="8"/>
        <v>0</v>
      </c>
      <c r="AP253" s="114">
        <f t="shared" si="9"/>
        <v>0</v>
      </c>
      <c r="AQ253" s="10"/>
    </row>
    <row r="254">
      <c r="A254" s="29" t="str">
        <f>'MASTER STOCK'!F251</f>
        <v>cetok sukun sedang</v>
      </c>
      <c r="B254" s="30">
        <f>'JULI 25'!AJ254:AJ611</f>
        <v>2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23">
        <f t="shared" si="3"/>
        <v>0</v>
      </c>
      <c r="AI254" s="31">
        <f t="shared" si="4"/>
        <v>2</v>
      </c>
      <c r="AJ254" s="32">
        <f t="shared" si="5"/>
        <v>2</v>
      </c>
      <c r="AK254" s="32">
        <f t="shared" si="6"/>
        <v>0</v>
      </c>
      <c r="AL254" s="114">
        <f>'MASTER STOCK'!I251</f>
        <v>17000</v>
      </c>
      <c r="AM254" s="26">
        <f>'MASTER STOCK'!L251</f>
        <v>17000</v>
      </c>
      <c r="AN254" s="26">
        <f t="shared" si="7"/>
        <v>0</v>
      </c>
      <c r="AO254" s="26">
        <f t="shared" si="8"/>
        <v>0</v>
      </c>
      <c r="AP254" s="114">
        <f t="shared" si="9"/>
        <v>0</v>
      </c>
      <c r="AQ254" s="10"/>
    </row>
    <row r="255">
      <c r="A255" s="29" t="str">
        <f>'MASTER STOCK'!F252</f>
        <v>cetak sukun kecil</v>
      </c>
      <c r="B255" s="30">
        <f>'JULI 25'!AJ255:AJ612</f>
        <v>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23">
        <f t="shared" si="3"/>
        <v>0</v>
      </c>
      <c r="AI255" s="31">
        <f t="shared" si="4"/>
        <v>1</v>
      </c>
      <c r="AJ255" s="32">
        <f t="shared" si="5"/>
        <v>1</v>
      </c>
      <c r="AK255" s="32">
        <f t="shared" si="6"/>
        <v>0</v>
      </c>
      <c r="AL255" s="114">
        <f>'MASTER STOCK'!I252</f>
        <v>14000</v>
      </c>
      <c r="AM255" s="26">
        <f>'MASTER STOCK'!L252</f>
        <v>14000</v>
      </c>
      <c r="AN255" s="26">
        <f t="shared" si="7"/>
        <v>0</v>
      </c>
      <c r="AO255" s="26">
        <f t="shared" si="8"/>
        <v>0</v>
      </c>
      <c r="AP255" s="114">
        <f t="shared" si="9"/>
        <v>0</v>
      </c>
      <c r="AQ255" s="10"/>
    </row>
    <row r="256">
      <c r="A256" s="29" t="str">
        <f>'MASTER STOCK'!F253</f>
        <v>paku payung</v>
      </c>
      <c r="B256" s="30">
        <f>'JULI 25'!AJ256:AJ613</f>
        <v>57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23">
        <f t="shared" si="3"/>
        <v>0</v>
      </c>
      <c r="AI256" s="31">
        <f t="shared" si="4"/>
        <v>57</v>
      </c>
      <c r="AJ256" s="32">
        <f t="shared" si="5"/>
        <v>57</v>
      </c>
      <c r="AK256" s="32">
        <f t="shared" si="6"/>
        <v>0</v>
      </c>
      <c r="AL256" s="114">
        <f>'MASTER STOCK'!I253</f>
        <v>25000</v>
      </c>
      <c r="AM256" s="26">
        <f>'MASTER STOCK'!L253</f>
        <v>25000</v>
      </c>
      <c r="AN256" s="26">
        <f t="shared" si="7"/>
        <v>0</v>
      </c>
      <c r="AO256" s="26">
        <f t="shared" si="8"/>
        <v>0</v>
      </c>
      <c r="AP256" s="114">
        <f t="shared" si="9"/>
        <v>0</v>
      </c>
      <c r="AQ256" s="10"/>
    </row>
    <row r="257">
      <c r="A257" s="29" t="str">
        <f>'MASTER STOCK'!F254</f>
        <v>pinnes</v>
      </c>
      <c r="B257" s="30">
        <f>'JULI 25'!AJ257:AJ614</f>
        <v>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23">
        <f t="shared" si="3"/>
        <v>0</v>
      </c>
      <c r="AI257" s="31">
        <f t="shared" si="4"/>
        <v>1</v>
      </c>
      <c r="AJ257" s="32">
        <f t="shared" si="5"/>
        <v>1</v>
      </c>
      <c r="AK257" s="32">
        <f t="shared" si="6"/>
        <v>0</v>
      </c>
      <c r="AL257" s="114">
        <f>'MASTER STOCK'!I254</f>
        <v>6000</v>
      </c>
      <c r="AM257" s="26">
        <f>'MASTER STOCK'!L254</f>
        <v>6000</v>
      </c>
      <c r="AN257" s="26">
        <f t="shared" si="7"/>
        <v>0</v>
      </c>
      <c r="AO257" s="26">
        <f t="shared" si="8"/>
        <v>0</v>
      </c>
      <c r="AP257" s="114">
        <f t="shared" si="9"/>
        <v>0</v>
      </c>
      <c r="AQ257" s="10"/>
    </row>
    <row r="258">
      <c r="A258" s="29" t="str">
        <f>'MASTER STOCK'!F255</f>
        <v>jaring kawat 1/2</v>
      </c>
      <c r="B258" s="30">
        <f>'JULI 25'!AJ258:AJ615</f>
        <v>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23">
        <f t="shared" si="3"/>
        <v>0</v>
      </c>
      <c r="AI258" s="31">
        <f t="shared" si="4"/>
        <v>1</v>
      </c>
      <c r="AJ258" s="32">
        <f t="shared" si="5"/>
        <v>1</v>
      </c>
      <c r="AK258" s="32">
        <f t="shared" si="6"/>
        <v>0</v>
      </c>
      <c r="AL258" s="114">
        <f>'MASTER STOCK'!I255</f>
        <v>14000</v>
      </c>
      <c r="AM258" s="26">
        <f>'MASTER STOCK'!L255</f>
        <v>14000</v>
      </c>
      <c r="AN258" s="26">
        <f t="shared" si="7"/>
        <v>0</v>
      </c>
      <c r="AO258" s="26">
        <f t="shared" si="8"/>
        <v>0</v>
      </c>
      <c r="AP258" s="114">
        <f t="shared" si="9"/>
        <v>0</v>
      </c>
      <c r="AQ258" s="10"/>
    </row>
    <row r="259">
      <c r="A259" s="29" t="str">
        <f>'MASTER STOCK'!F256</f>
        <v>jaring kawat 1/4</v>
      </c>
      <c r="B259" s="30">
        <f>'JULI 25'!AJ259:AJ616</f>
        <v>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23">
        <f t="shared" si="3"/>
        <v>0</v>
      </c>
      <c r="AI259" s="31">
        <f t="shared" si="4"/>
        <v>1</v>
      </c>
      <c r="AJ259" s="32">
        <f t="shared" si="5"/>
        <v>1</v>
      </c>
      <c r="AK259" s="32">
        <f t="shared" si="6"/>
        <v>0</v>
      </c>
      <c r="AL259" s="114">
        <f>'MASTER STOCK'!I256</f>
        <v>15000</v>
      </c>
      <c r="AM259" s="26">
        <f>'MASTER STOCK'!L256</f>
        <v>15000</v>
      </c>
      <c r="AN259" s="26">
        <f t="shared" si="7"/>
        <v>0</v>
      </c>
      <c r="AO259" s="26">
        <f t="shared" si="8"/>
        <v>0</v>
      </c>
      <c r="AP259" s="114">
        <f t="shared" si="9"/>
        <v>0</v>
      </c>
      <c r="AQ259" s="10"/>
    </row>
    <row r="260">
      <c r="A260" s="29" t="str">
        <f>'MASTER STOCK'!F257</f>
        <v>lampu kepala</v>
      </c>
      <c r="B260" s="30">
        <f>'JULI 25'!AJ260:AJ617</f>
        <v>4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23">
        <f t="shared" si="3"/>
        <v>0</v>
      </c>
      <c r="AI260" s="31">
        <f t="shared" si="4"/>
        <v>4</v>
      </c>
      <c r="AJ260" s="32">
        <f t="shared" si="5"/>
        <v>4</v>
      </c>
      <c r="AK260" s="32">
        <f t="shared" si="6"/>
        <v>0</v>
      </c>
      <c r="AL260" s="114">
        <f>'MASTER STOCK'!I257</f>
        <v>31500</v>
      </c>
      <c r="AM260" s="26">
        <f>'MASTER STOCK'!L257</f>
        <v>31500</v>
      </c>
      <c r="AN260" s="26">
        <f t="shared" si="7"/>
        <v>0</v>
      </c>
      <c r="AO260" s="26">
        <f t="shared" si="8"/>
        <v>0</v>
      </c>
      <c r="AP260" s="114">
        <f t="shared" si="9"/>
        <v>0</v>
      </c>
      <c r="AQ260" s="10"/>
    </row>
    <row r="261">
      <c r="A261" s="29" t="str">
        <f>'MASTER STOCK'!F258</f>
        <v>lampu led muxindo 25 watt</v>
      </c>
      <c r="B261" s="30">
        <f>'JULI 25'!AJ261:AJ618</f>
        <v>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23">
        <f t="shared" si="3"/>
        <v>0</v>
      </c>
      <c r="AI261" s="31">
        <f t="shared" si="4"/>
        <v>1</v>
      </c>
      <c r="AJ261" s="32">
        <f t="shared" si="5"/>
        <v>1</v>
      </c>
      <c r="AK261" s="32">
        <f t="shared" si="6"/>
        <v>0</v>
      </c>
      <c r="AL261" s="114">
        <f>'MASTER STOCK'!I258</f>
        <v>25000</v>
      </c>
      <c r="AM261" s="26">
        <f>'MASTER STOCK'!L258</f>
        <v>25000</v>
      </c>
      <c r="AN261" s="26">
        <f t="shared" si="7"/>
        <v>0</v>
      </c>
      <c r="AO261" s="26">
        <f t="shared" si="8"/>
        <v>0</v>
      </c>
      <c r="AP261" s="114">
        <f t="shared" si="9"/>
        <v>0</v>
      </c>
      <c r="AQ261" s="10"/>
    </row>
    <row r="262">
      <c r="A262" s="29" t="str">
        <f>'MASTER STOCK'!F259</f>
        <v>lampu hemat  5 watt</v>
      </c>
      <c r="B262" s="30">
        <f>'JULI 25'!AJ262:AJ619</f>
        <v>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23">
        <f t="shared" si="3"/>
        <v>0</v>
      </c>
      <c r="AI262" s="31">
        <f t="shared" si="4"/>
        <v>4</v>
      </c>
      <c r="AJ262" s="32">
        <f t="shared" si="5"/>
        <v>4</v>
      </c>
      <c r="AK262" s="32">
        <f t="shared" si="6"/>
        <v>0</v>
      </c>
      <c r="AL262" s="114">
        <f>'MASTER STOCK'!I259</f>
        <v>6000</v>
      </c>
      <c r="AM262" s="26">
        <f>'MASTER STOCK'!L259</f>
        <v>7000</v>
      </c>
      <c r="AN262" s="26">
        <f t="shared" si="7"/>
        <v>0</v>
      </c>
      <c r="AO262" s="26">
        <f t="shared" si="8"/>
        <v>0</v>
      </c>
      <c r="AP262" s="114">
        <f t="shared" si="9"/>
        <v>0</v>
      </c>
      <c r="AQ262" s="10"/>
    </row>
    <row r="263">
      <c r="A263" s="29" t="str">
        <f>'MASTER STOCK'!F260</f>
        <v>skrup atap  sedang</v>
      </c>
      <c r="B263" s="30">
        <f>'JULI 25'!AJ263:AJ620</f>
        <v>20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23">
        <f t="shared" si="3"/>
        <v>0</v>
      </c>
      <c r="AI263" s="31">
        <f t="shared" si="4"/>
        <v>20</v>
      </c>
      <c r="AJ263" s="32">
        <f t="shared" si="5"/>
        <v>20</v>
      </c>
      <c r="AK263" s="32">
        <f t="shared" si="6"/>
        <v>0</v>
      </c>
      <c r="AL263" s="114">
        <f>'MASTER STOCK'!I260</f>
        <v>0</v>
      </c>
      <c r="AM263" s="26">
        <f>'MASTER STOCK'!L260</f>
        <v>0</v>
      </c>
      <c r="AN263" s="26">
        <f t="shared" si="7"/>
        <v>0</v>
      </c>
      <c r="AO263" s="26">
        <f t="shared" si="8"/>
        <v>0</v>
      </c>
      <c r="AP263" s="114">
        <f t="shared" si="9"/>
        <v>0</v>
      </c>
      <c r="AQ263" s="10"/>
    </row>
    <row r="264">
      <c r="A264" s="29" t="str">
        <f>'MASTER STOCK'!F261</f>
        <v>waseo led panel 3+3w</v>
      </c>
      <c r="B264" s="30">
        <f>'JULI 25'!AJ264:AJ621</f>
        <v>2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23">
        <f t="shared" si="3"/>
        <v>0</v>
      </c>
      <c r="AI264" s="31">
        <f t="shared" si="4"/>
        <v>2</v>
      </c>
      <c r="AJ264" s="32">
        <f t="shared" si="5"/>
        <v>2</v>
      </c>
      <c r="AK264" s="32">
        <f t="shared" si="6"/>
        <v>0</v>
      </c>
      <c r="AL264" s="114">
        <f>'MASTER STOCK'!I261</f>
        <v>23000</v>
      </c>
      <c r="AM264" s="26">
        <f>'MASTER STOCK'!L261</f>
        <v>23000</v>
      </c>
      <c r="AN264" s="26">
        <f t="shared" si="7"/>
        <v>0</v>
      </c>
      <c r="AO264" s="26">
        <f t="shared" si="8"/>
        <v>0</v>
      </c>
      <c r="AP264" s="114">
        <f t="shared" si="9"/>
        <v>0</v>
      </c>
      <c r="AQ264" s="10"/>
    </row>
    <row r="265">
      <c r="A265" s="29" t="str">
        <f>'MASTER STOCK'!F262</f>
        <v>distribution box</v>
      </c>
      <c r="B265" s="30">
        <f>'JULI 25'!AJ265:AJ622</f>
        <v>2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23">
        <f t="shared" si="3"/>
        <v>0</v>
      </c>
      <c r="AI265" s="31">
        <f t="shared" si="4"/>
        <v>2</v>
      </c>
      <c r="AJ265" s="32">
        <f t="shared" si="5"/>
        <v>2</v>
      </c>
      <c r="AK265" s="32">
        <f t="shared" si="6"/>
        <v>0</v>
      </c>
      <c r="AL265" s="114">
        <f>'MASTER STOCK'!I262</f>
        <v>15000</v>
      </c>
      <c r="AM265" s="26">
        <f>'MASTER STOCK'!L262</f>
        <v>15000</v>
      </c>
      <c r="AN265" s="26">
        <f t="shared" si="7"/>
        <v>0</v>
      </c>
      <c r="AO265" s="26">
        <f t="shared" si="8"/>
        <v>0</v>
      </c>
      <c r="AP265" s="114">
        <f t="shared" si="9"/>
        <v>0</v>
      </c>
      <c r="AQ265" s="10"/>
    </row>
    <row r="266">
      <c r="A266" s="29" t="str">
        <f>'MASTER STOCK'!F263</f>
        <v>skrup kecil</v>
      </c>
      <c r="B266" s="30">
        <f>'JULI 25'!AJ266:AJ623</f>
        <v>10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23">
        <f t="shared" si="3"/>
        <v>0</v>
      </c>
      <c r="AI266" s="31">
        <f t="shared" si="4"/>
        <v>10</v>
      </c>
      <c r="AJ266" s="32">
        <f t="shared" si="5"/>
        <v>10</v>
      </c>
      <c r="AK266" s="32">
        <f t="shared" si="6"/>
        <v>0</v>
      </c>
      <c r="AL266" s="114">
        <f>'MASTER STOCK'!I263</f>
        <v>0</v>
      </c>
      <c r="AM266" s="26">
        <f>'MASTER STOCK'!L263</f>
        <v>0</v>
      </c>
      <c r="AN266" s="26">
        <f t="shared" si="7"/>
        <v>0</v>
      </c>
      <c r="AO266" s="26">
        <f t="shared" si="8"/>
        <v>0</v>
      </c>
      <c r="AP266" s="114">
        <f t="shared" si="9"/>
        <v>0</v>
      </c>
      <c r="AQ266" s="10"/>
    </row>
    <row r="267">
      <c r="A267" s="29" t="str">
        <f>'MASTER STOCK'!F264</f>
        <v>skrup besar</v>
      </c>
      <c r="B267" s="30">
        <f>'JULI 25'!AJ267:AJ624</f>
        <v>41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23">
        <f t="shared" si="3"/>
        <v>0</v>
      </c>
      <c r="AI267" s="31">
        <f t="shared" si="4"/>
        <v>41</v>
      </c>
      <c r="AJ267" s="32">
        <f t="shared" si="5"/>
        <v>41</v>
      </c>
      <c r="AK267" s="32">
        <f t="shared" si="6"/>
        <v>0</v>
      </c>
      <c r="AL267" s="114">
        <f>'MASTER STOCK'!I264</f>
        <v>0</v>
      </c>
      <c r="AM267" s="26">
        <f>'MASTER STOCK'!L264</f>
        <v>0</v>
      </c>
      <c r="AN267" s="26">
        <f t="shared" si="7"/>
        <v>0</v>
      </c>
      <c r="AO267" s="26">
        <f t="shared" si="8"/>
        <v>0</v>
      </c>
      <c r="AP267" s="114">
        <f t="shared" si="9"/>
        <v>0</v>
      </c>
      <c r="AQ267" s="10"/>
    </row>
    <row r="268">
      <c r="A268" s="29" t="str">
        <f>'MASTER STOCK'!F265</f>
        <v>floor stainer plastik</v>
      </c>
      <c r="B268" s="30">
        <f>'JULI 25'!AJ268:AJ625</f>
        <v>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23">
        <f t="shared" si="3"/>
        <v>0</v>
      </c>
      <c r="AI268" s="31">
        <f t="shared" si="4"/>
        <v>1</v>
      </c>
      <c r="AJ268" s="32">
        <f t="shared" si="5"/>
        <v>1</v>
      </c>
      <c r="AK268" s="32">
        <f t="shared" si="6"/>
        <v>0</v>
      </c>
      <c r="AL268" s="114">
        <f>'MASTER STOCK'!I265</f>
        <v>24000</v>
      </c>
      <c r="AM268" s="26">
        <f>'MASTER STOCK'!L265</f>
        <v>24000</v>
      </c>
      <c r="AN268" s="26">
        <f t="shared" si="7"/>
        <v>0</v>
      </c>
      <c r="AO268" s="26">
        <f t="shared" si="8"/>
        <v>0</v>
      </c>
      <c r="AP268" s="114">
        <f t="shared" si="9"/>
        <v>0</v>
      </c>
      <c r="AQ268" s="10"/>
    </row>
    <row r="269">
      <c r="A269" s="29" t="str">
        <f>'MASTER STOCK'!F266</f>
        <v>skrup atap  kecil</v>
      </c>
      <c r="B269" s="30">
        <f>'JULI 25'!AJ269:AJ626</f>
        <v>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23">
        <f t="shared" si="3"/>
        <v>0</v>
      </c>
      <c r="AI269" s="31">
        <f t="shared" si="4"/>
        <v>1</v>
      </c>
      <c r="AJ269" s="32">
        <f t="shared" si="5"/>
        <v>1</v>
      </c>
      <c r="AK269" s="32">
        <f t="shared" si="6"/>
        <v>0</v>
      </c>
      <c r="AL269" s="114">
        <f>'MASTER STOCK'!I266</f>
        <v>0</v>
      </c>
      <c r="AM269" s="26">
        <f>'MASTER STOCK'!L266</f>
        <v>0</v>
      </c>
      <c r="AN269" s="26">
        <f t="shared" si="7"/>
        <v>0</v>
      </c>
      <c r="AO269" s="26">
        <f t="shared" si="8"/>
        <v>0</v>
      </c>
      <c r="AP269" s="114">
        <f t="shared" si="9"/>
        <v>0</v>
      </c>
      <c r="AQ269" s="10"/>
    </row>
    <row r="270">
      <c r="A270" s="29" t="str">
        <f>'MASTER STOCK'!F267</f>
        <v>lampu led</v>
      </c>
      <c r="B270" s="30">
        <f>'JULI 25'!AJ270:AJ627</f>
        <v>10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23">
        <f t="shared" si="3"/>
        <v>0</v>
      </c>
      <c r="AI270" s="31">
        <f t="shared" si="4"/>
        <v>10</v>
      </c>
      <c r="AJ270" s="32">
        <f t="shared" si="5"/>
        <v>10</v>
      </c>
      <c r="AK270" s="32">
        <f t="shared" si="6"/>
        <v>0</v>
      </c>
      <c r="AL270" s="114">
        <f>'MASTER STOCK'!I267</f>
        <v>11000</v>
      </c>
      <c r="AM270" s="26">
        <f>'MASTER STOCK'!L267</f>
        <v>11000</v>
      </c>
      <c r="AN270" s="26">
        <f t="shared" si="7"/>
        <v>0</v>
      </c>
      <c r="AO270" s="26">
        <f t="shared" si="8"/>
        <v>0</v>
      </c>
      <c r="AP270" s="114">
        <f t="shared" si="9"/>
        <v>0</v>
      </c>
      <c r="AQ270" s="10"/>
    </row>
    <row r="271">
      <c r="A271" s="29" t="str">
        <f>'MASTER STOCK'!F268</f>
        <v>waterpres magnet (alat ukur)</v>
      </c>
      <c r="B271" s="30">
        <f>'JULI 25'!AJ271:AJ628</f>
        <v>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23">
        <f t="shared" si="3"/>
        <v>0</v>
      </c>
      <c r="AI271" s="31">
        <f t="shared" si="4"/>
        <v>1</v>
      </c>
      <c r="AJ271" s="32">
        <f t="shared" si="5"/>
        <v>1</v>
      </c>
      <c r="AK271" s="32">
        <f t="shared" si="6"/>
        <v>0</v>
      </c>
      <c r="AL271" s="114">
        <f>'MASTER STOCK'!I268</f>
        <v>33000</v>
      </c>
      <c r="AM271" s="26">
        <f>'MASTER STOCK'!L268</f>
        <v>33000</v>
      </c>
      <c r="AN271" s="26">
        <f t="shared" si="7"/>
        <v>0</v>
      </c>
      <c r="AO271" s="26">
        <f t="shared" si="8"/>
        <v>0</v>
      </c>
      <c r="AP271" s="114">
        <f t="shared" si="9"/>
        <v>0</v>
      </c>
      <c r="AQ271" s="10"/>
    </row>
    <row r="272">
      <c r="A272" s="29" t="str">
        <f>'MASTER STOCK'!F269</f>
        <v>round kabel klip 6 mm</v>
      </c>
      <c r="B272" s="30">
        <f>'JULI 25'!AJ272:AJ629</f>
        <v>15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23">
        <f t="shared" si="3"/>
        <v>0</v>
      </c>
      <c r="AI272" s="31">
        <f t="shared" si="4"/>
        <v>15</v>
      </c>
      <c r="AJ272" s="32">
        <f t="shared" si="5"/>
        <v>15</v>
      </c>
      <c r="AK272" s="32">
        <f t="shared" si="6"/>
        <v>0</v>
      </c>
      <c r="AL272" s="114">
        <f>'MASTER STOCK'!I269</f>
        <v>2000</v>
      </c>
      <c r="AM272" s="26">
        <f>'MASTER STOCK'!L269</f>
        <v>2000</v>
      </c>
      <c r="AN272" s="26">
        <f t="shared" si="7"/>
        <v>0</v>
      </c>
      <c r="AO272" s="26">
        <f t="shared" si="8"/>
        <v>0</v>
      </c>
      <c r="AP272" s="114">
        <f t="shared" si="9"/>
        <v>0</v>
      </c>
      <c r="AQ272" s="10"/>
    </row>
    <row r="273">
      <c r="A273" s="29" t="str">
        <f>'MASTER STOCK'!F270</f>
        <v>round kabel klip 7 mm</v>
      </c>
      <c r="B273" s="30">
        <f>'JULI 25'!AJ273:AJ630</f>
        <v>6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23">
        <f t="shared" si="3"/>
        <v>0</v>
      </c>
      <c r="AI273" s="31">
        <f t="shared" si="4"/>
        <v>6</v>
      </c>
      <c r="AJ273" s="32">
        <f t="shared" si="5"/>
        <v>6</v>
      </c>
      <c r="AK273" s="32">
        <f t="shared" si="6"/>
        <v>0</v>
      </c>
      <c r="AL273" s="114">
        <f>'MASTER STOCK'!I270</f>
        <v>2000</v>
      </c>
      <c r="AM273" s="26">
        <f>'MASTER STOCK'!L270</f>
        <v>2000</v>
      </c>
      <c r="AN273" s="26">
        <f t="shared" si="7"/>
        <v>0</v>
      </c>
      <c r="AO273" s="26">
        <f t="shared" si="8"/>
        <v>0</v>
      </c>
      <c r="AP273" s="114">
        <f t="shared" si="9"/>
        <v>0</v>
      </c>
      <c r="AQ273" s="10"/>
    </row>
    <row r="274">
      <c r="A274" s="29" t="str">
        <f>'MASTER STOCK'!F271</f>
        <v>round kabel klip 9 mm</v>
      </c>
      <c r="B274" s="30">
        <f>'JULI 25'!AJ274:AJ631</f>
        <v>12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23">
        <f t="shared" si="3"/>
        <v>0</v>
      </c>
      <c r="AI274" s="31">
        <f t="shared" si="4"/>
        <v>12</v>
      </c>
      <c r="AJ274" s="32">
        <f t="shared" si="5"/>
        <v>12</v>
      </c>
      <c r="AK274" s="32">
        <f t="shared" si="6"/>
        <v>0</v>
      </c>
      <c r="AL274" s="114">
        <f>'MASTER STOCK'!I271</f>
        <v>2500</v>
      </c>
      <c r="AM274" s="26">
        <f>'MASTER STOCK'!L271</f>
        <v>2500</v>
      </c>
      <c r="AN274" s="26">
        <f t="shared" si="7"/>
        <v>0</v>
      </c>
      <c r="AO274" s="26">
        <f t="shared" si="8"/>
        <v>0</v>
      </c>
      <c r="AP274" s="114">
        <f t="shared" si="9"/>
        <v>0</v>
      </c>
      <c r="AQ274" s="10"/>
    </row>
    <row r="275">
      <c r="A275" s="29" t="str">
        <f>'MASTER STOCK'!F272</f>
        <v>round kabel klip 10 mm</v>
      </c>
      <c r="B275" s="30">
        <f>'JULI 25'!AJ275:AJ632</f>
        <v>16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23">
        <f t="shared" si="3"/>
        <v>0</v>
      </c>
      <c r="AI275" s="31">
        <f t="shared" si="4"/>
        <v>16</v>
      </c>
      <c r="AJ275" s="32">
        <f t="shared" si="5"/>
        <v>16</v>
      </c>
      <c r="AK275" s="32">
        <f t="shared" si="6"/>
        <v>0</v>
      </c>
      <c r="AL275" s="114">
        <f>'MASTER STOCK'!I272</f>
        <v>2500</v>
      </c>
      <c r="AM275" s="26">
        <f>'MASTER STOCK'!L272</f>
        <v>2500</v>
      </c>
      <c r="AN275" s="26">
        <f t="shared" si="7"/>
        <v>0</v>
      </c>
      <c r="AO275" s="26">
        <f t="shared" si="8"/>
        <v>0</v>
      </c>
      <c r="AP275" s="114">
        <f t="shared" si="9"/>
        <v>0</v>
      </c>
      <c r="AQ275" s="10"/>
    </row>
    <row r="276">
      <c r="A276" s="29" t="str">
        <f>'MASTER STOCK'!F273</f>
        <v>floor stainer stainless</v>
      </c>
      <c r="B276" s="30">
        <f>'JULI 25'!AJ276:AJ633</f>
        <v>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23">
        <f t="shared" si="3"/>
        <v>0</v>
      </c>
      <c r="AI276" s="31">
        <f t="shared" si="4"/>
        <v>1</v>
      </c>
      <c r="AJ276" s="32">
        <f t="shared" si="5"/>
        <v>1</v>
      </c>
      <c r="AK276" s="32">
        <f t="shared" si="6"/>
        <v>0</v>
      </c>
      <c r="AL276" s="114">
        <f>'MASTER STOCK'!I273</f>
        <v>24000</v>
      </c>
      <c r="AM276" s="26">
        <f>'MASTER STOCK'!L273</f>
        <v>24000</v>
      </c>
      <c r="AN276" s="26">
        <f t="shared" si="7"/>
        <v>0</v>
      </c>
      <c r="AO276" s="26">
        <f t="shared" si="8"/>
        <v>0</v>
      </c>
      <c r="AP276" s="114">
        <f t="shared" si="9"/>
        <v>0</v>
      </c>
      <c r="AQ276" s="10"/>
    </row>
    <row r="277">
      <c r="A277" s="29" t="str">
        <f>'MASTER STOCK'!F274</f>
        <v>amplass bunder</v>
      </c>
      <c r="B277" s="30">
        <f>'JULI 25'!AJ277:AJ634</f>
        <v>8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23">
        <f t="shared" si="3"/>
        <v>0</v>
      </c>
      <c r="AI277" s="31">
        <f t="shared" si="4"/>
        <v>8</v>
      </c>
      <c r="AJ277" s="32">
        <f t="shared" si="5"/>
        <v>8</v>
      </c>
      <c r="AK277" s="32">
        <f t="shared" si="6"/>
        <v>0</v>
      </c>
      <c r="AL277" s="114">
        <f>'MASTER STOCK'!I274</f>
        <v>2500</v>
      </c>
      <c r="AM277" s="26">
        <f>'MASTER STOCK'!L274</f>
        <v>2500</v>
      </c>
      <c r="AN277" s="26">
        <f t="shared" si="7"/>
        <v>0</v>
      </c>
      <c r="AO277" s="26">
        <f t="shared" si="8"/>
        <v>0</v>
      </c>
      <c r="AP277" s="114">
        <f t="shared" si="9"/>
        <v>0</v>
      </c>
      <c r="AQ277" s="10"/>
    </row>
    <row r="278">
      <c r="A278" s="29" t="str">
        <f>'MASTER STOCK'!F275</f>
        <v>paku beton 1 1/2</v>
      </c>
      <c r="B278" s="30">
        <f>'JULI 25'!AJ278:AJ635</f>
        <v>2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23">
        <f t="shared" si="3"/>
        <v>0</v>
      </c>
      <c r="AI278" s="31">
        <f t="shared" si="4"/>
        <v>2</v>
      </c>
      <c r="AJ278" s="32">
        <f t="shared" si="5"/>
        <v>2</v>
      </c>
      <c r="AK278" s="32">
        <f t="shared" si="6"/>
        <v>0</v>
      </c>
      <c r="AL278" s="114">
        <f>'MASTER STOCK'!I275</f>
        <v>14000</v>
      </c>
      <c r="AM278" s="26">
        <f>'MASTER STOCK'!L275</f>
        <v>14000</v>
      </c>
      <c r="AN278" s="26">
        <f t="shared" si="7"/>
        <v>0</v>
      </c>
      <c r="AO278" s="26">
        <f t="shared" si="8"/>
        <v>0</v>
      </c>
      <c r="AP278" s="114">
        <f t="shared" si="9"/>
        <v>0</v>
      </c>
      <c r="AQ278" s="10"/>
    </row>
    <row r="279">
      <c r="A279" s="29" t="str">
        <f>'MASTER STOCK'!F276</f>
        <v>tusen klep air</v>
      </c>
      <c r="B279" s="30">
        <f>'JULI 25'!AJ279:AJ636</f>
        <v>4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23">
        <f t="shared" si="3"/>
        <v>0</v>
      </c>
      <c r="AI279" s="31">
        <f t="shared" si="4"/>
        <v>4</v>
      </c>
      <c r="AJ279" s="32">
        <f t="shared" si="5"/>
        <v>4</v>
      </c>
      <c r="AK279" s="32">
        <f t="shared" si="6"/>
        <v>0</v>
      </c>
      <c r="AL279" s="114">
        <f>'MASTER STOCK'!I276</f>
        <v>0</v>
      </c>
      <c r="AM279" s="26">
        <f>'MASTER STOCK'!L276</f>
        <v>0</v>
      </c>
      <c r="AN279" s="26">
        <f t="shared" si="7"/>
        <v>0</v>
      </c>
      <c r="AO279" s="26">
        <f t="shared" si="8"/>
        <v>0</v>
      </c>
      <c r="AP279" s="114">
        <f t="shared" si="9"/>
        <v>0</v>
      </c>
      <c r="AQ279" s="10"/>
    </row>
    <row r="280">
      <c r="A280" s="29" t="str">
        <f>'MASTER STOCK'!F277</f>
        <v>saringan plastik biasa</v>
      </c>
      <c r="B280" s="30">
        <f>'JULI 25'!AJ280:AJ637</f>
        <v>3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23">
        <f t="shared" si="3"/>
        <v>0</v>
      </c>
      <c r="AI280" s="31">
        <f t="shared" si="4"/>
        <v>3</v>
      </c>
      <c r="AJ280" s="32">
        <f t="shared" si="5"/>
        <v>3</v>
      </c>
      <c r="AK280" s="32">
        <f t="shared" si="6"/>
        <v>0</v>
      </c>
      <c r="AL280" s="114">
        <f>'MASTER STOCK'!I277</f>
        <v>12000</v>
      </c>
      <c r="AM280" s="26">
        <f>'MASTER STOCK'!L277</f>
        <v>12000</v>
      </c>
      <c r="AN280" s="26">
        <f t="shared" si="7"/>
        <v>0</v>
      </c>
      <c r="AO280" s="26">
        <f t="shared" si="8"/>
        <v>0</v>
      </c>
      <c r="AP280" s="114">
        <f t="shared" si="9"/>
        <v>0</v>
      </c>
      <c r="AQ280" s="10"/>
    </row>
    <row r="281">
      <c r="A281" s="29" t="str">
        <f>'MASTER STOCK'!F278</f>
        <v>kuas  2</v>
      </c>
      <c r="B281" s="30">
        <f>'JULI 25'!AJ281:AJ638</f>
        <v>2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23">
        <f t="shared" si="3"/>
        <v>0</v>
      </c>
      <c r="AI281" s="31">
        <f t="shared" si="4"/>
        <v>2</v>
      </c>
      <c r="AJ281" s="32">
        <f t="shared" si="5"/>
        <v>2</v>
      </c>
      <c r="AK281" s="32">
        <f t="shared" si="6"/>
        <v>0</v>
      </c>
      <c r="AL281" s="114">
        <f>'MASTER STOCK'!I278</f>
        <v>8000</v>
      </c>
      <c r="AM281" s="26">
        <f>'MASTER STOCK'!L278</f>
        <v>8000</v>
      </c>
      <c r="AN281" s="26">
        <f t="shared" si="7"/>
        <v>0</v>
      </c>
      <c r="AO281" s="26">
        <f t="shared" si="8"/>
        <v>0</v>
      </c>
      <c r="AP281" s="114">
        <f t="shared" si="9"/>
        <v>0</v>
      </c>
      <c r="AQ281" s="10"/>
    </row>
    <row r="282">
      <c r="A282" s="29" t="str">
        <f>'MASTER STOCK'!F279</f>
        <v>afur hpp</v>
      </c>
      <c r="B282" s="30">
        <f>'JULI 25'!AJ282:AJ639</f>
        <v>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23">
        <f t="shared" si="3"/>
        <v>0</v>
      </c>
      <c r="AI282" s="31">
        <f t="shared" si="4"/>
        <v>1</v>
      </c>
      <c r="AJ282" s="32">
        <f t="shared" si="5"/>
        <v>1</v>
      </c>
      <c r="AK282" s="32">
        <f t="shared" si="6"/>
        <v>0</v>
      </c>
      <c r="AL282" s="114">
        <f>'MASTER STOCK'!I279</f>
        <v>27000</v>
      </c>
      <c r="AM282" s="26">
        <f>'MASTER STOCK'!L279</f>
        <v>27000</v>
      </c>
      <c r="AN282" s="26">
        <f t="shared" si="7"/>
        <v>0</v>
      </c>
      <c r="AO282" s="26">
        <f t="shared" si="8"/>
        <v>0</v>
      </c>
      <c r="AP282" s="114">
        <f t="shared" si="9"/>
        <v>0</v>
      </c>
      <c r="AQ282" s="10"/>
    </row>
    <row r="283">
      <c r="A283" s="29" t="str">
        <f>'MASTER STOCK'!F280</f>
        <v>afur klasik</v>
      </c>
      <c r="B283" s="30">
        <f>'JULI 25'!AJ283:AJ640</f>
        <v>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23">
        <f t="shared" si="3"/>
        <v>0</v>
      </c>
      <c r="AI283" s="31">
        <f t="shared" si="4"/>
        <v>1</v>
      </c>
      <c r="AJ283" s="32">
        <f t="shared" si="5"/>
        <v>1</v>
      </c>
      <c r="AK283" s="32">
        <f t="shared" si="6"/>
        <v>0</v>
      </c>
      <c r="AL283" s="114">
        <f>'MASTER STOCK'!I280</f>
        <v>32000</v>
      </c>
      <c r="AM283" s="26">
        <f>'MASTER STOCK'!L280</f>
        <v>32000</v>
      </c>
      <c r="AN283" s="26">
        <f t="shared" si="7"/>
        <v>0</v>
      </c>
      <c r="AO283" s="26">
        <f t="shared" si="8"/>
        <v>0</v>
      </c>
      <c r="AP283" s="114">
        <f t="shared" si="9"/>
        <v>0</v>
      </c>
      <c r="AQ283" s="10"/>
    </row>
    <row r="284">
      <c r="A284" s="29" t="str">
        <f>'MASTER STOCK'!F281</f>
        <v>kuas cat garis</v>
      </c>
      <c r="B284" s="30">
        <f>'JULI 25'!AJ284:AJ641</f>
        <v>4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23">
        <f t="shared" si="3"/>
        <v>0</v>
      </c>
      <c r="AI284" s="31">
        <f t="shared" si="4"/>
        <v>4</v>
      </c>
      <c r="AJ284" s="32">
        <f t="shared" si="5"/>
        <v>4</v>
      </c>
      <c r="AK284" s="32">
        <f t="shared" si="6"/>
        <v>0</v>
      </c>
      <c r="AL284" s="114">
        <f>'MASTER STOCK'!I281</f>
        <v>9000</v>
      </c>
      <c r="AM284" s="26">
        <f>'MASTER STOCK'!L281</f>
        <v>9000</v>
      </c>
      <c r="AN284" s="26">
        <f t="shared" si="7"/>
        <v>0</v>
      </c>
      <c r="AO284" s="26">
        <f t="shared" si="8"/>
        <v>0</v>
      </c>
      <c r="AP284" s="114">
        <f t="shared" si="9"/>
        <v>0</v>
      </c>
      <c r="AQ284" s="10"/>
    </row>
    <row r="285">
      <c r="A285" s="29" t="str">
        <f>'MASTER STOCK'!F282</f>
        <v>pilox</v>
      </c>
      <c r="B285" s="30">
        <f>'JULI 25'!AJ285:AJ642</f>
        <v>4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23">
        <f t="shared" si="3"/>
        <v>0</v>
      </c>
      <c r="AI285" s="31">
        <f t="shared" si="4"/>
        <v>4</v>
      </c>
      <c r="AJ285" s="32">
        <f t="shared" si="5"/>
        <v>4</v>
      </c>
      <c r="AK285" s="32">
        <f t="shared" si="6"/>
        <v>0</v>
      </c>
      <c r="AL285" s="114">
        <f>'MASTER STOCK'!I282</f>
        <v>29000</v>
      </c>
      <c r="AM285" s="26">
        <f>'MASTER STOCK'!L282</f>
        <v>29000</v>
      </c>
      <c r="AN285" s="26">
        <f t="shared" si="7"/>
        <v>0</v>
      </c>
      <c r="AO285" s="26">
        <f t="shared" si="8"/>
        <v>0</v>
      </c>
      <c r="AP285" s="114">
        <f t="shared" si="9"/>
        <v>0</v>
      </c>
      <c r="AQ285" s="10"/>
    </row>
    <row r="286">
      <c r="A286" s="29" t="str">
        <f>'MASTER STOCK'!F283</f>
        <v>sikring</v>
      </c>
      <c r="B286" s="30">
        <f>'JULI 25'!AJ286:AJ643</f>
        <v>5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23">
        <f t="shared" si="3"/>
        <v>0</v>
      </c>
      <c r="AI286" s="31">
        <f t="shared" si="4"/>
        <v>5</v>
      </c>
      <c r="AJ286" s="32">
        <f t="shared" si="5"/>
        <v>5</v>
      </c>
      <c r="AK286" s="32">
        <f t="shared" si="6"/>
        <v>0</v>
      </c>
      <c r="AL286" s="114">
        <f>'MASTER STOCK'!I283</f>
        <v>3500</v>
      </c>
      <c r="AM286" s="26">
        <f>'MASTER STOCK'!L283</f>
        <v>3500</v>
      </c>
      <c r="AN286" s="26">
        <f t="shared" si="7"/>
        <v>0</v>
      </c>
      <c r="AO286" s="26">
        <f t="shared" si="8"/>
        <v>0</v>
      </c>
      <c r="AP286" s="114">
        <f t="shared" si="9"/>
        <v>0</v>
      </c>
      <c r="AQ286" s="10"/>
    </row>
    <row r="287">
      <c r="A287" s="29" t="str">
        <f>'MASTER STOCK'!F284</f>
        <v>Tutup  skring</v>
      </c>
      <c r="B287" s="30">
        <f>'JULI 25'!AJ287:AJ644</f>
        <v>14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23">
        <f t="shared" si="3"/>
        <v>0</v>
      </c>
      <c r="AI287" s="31">
        <f t="shared" si="4"/>
        <v>14</v>
      </c>
      <c r="AJ287" s="32">
        <f t="shared" si="5"/>
        <v>14</v>
      </c>
      <c r="AK287" s="32">
        <f t="shared" si="6"/>
        <v>0</v>
      </c>
      <c r="AL287" s="114">
        <f>'MASTER STOCK'!I284</f>
        <v>3500</v>
      </c>
      <c r="AM287" s="26">
        <f>'MASTER STOCK'!L284</f>
        <v>3500</v>
      </c>
      <c r="AN287" s="26">
        <f t="shared" si="7"/>
        <v>0</v>
      </c>
      <c r="AO287" s="26">
        <f t="shared" si="8"/>
        <v>0</v>
      </c>
      <c r="AP287" s="114">
        <f t="shared" si="9"/>
        <v>0</v>
      </c>
      <c r="AQ287" s="10"/>
    </row>
    <row r="288">
      <c r="A288" s="29" t="str">
        <f>'MASTER STOCK'!F285</f>
        <v>kabel serabut 0.75 mm</v>
      </c>
      <c r="B288" s="30">
        <f>'JULI 25'!AJ288:AJ645</f>
        <v>0.5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23">
        <f t="shared" si="3"/>
        <v>0</v>
      </c>
      <c r="AI288" s="31">
        <f t="shared" si="4"/>
        <v>0.5</v>
      </c>
      <c r="AJ288" s="32">
        <f t="shared" si="5"/>
        <v>0.5</v>
      </c>
      <c r="AK288" s="32">
        <f t="shared" si="6"/>
        <v>0</v>
      </c>
      <c r="AL288" s="114">
        <f>'MASTER STOCK'!I285</f>
        <v>2000</v>
      </c>
      <c r="AM288" s="26">
        <f>'MASTER STOCK'!L285</f>
        <v>2000</v>
      </c>
      <c r="AN288" s="26">
        <f t="shared" si="7"/>
        <v>0</v>
      </c>
      <c r="AO288" s="26">
        <f t="shared" si="8"/>
        <v>0</v>
      </c>
      <c r="AP288" s="114">
        <f t="shared" si="9"/>
        <v>0</v>
      </c>
      <c r="AQ288" s="10"/>
    </row>
    <row r="289">
      <c r="A289" s="29" t="str">
        <f>'MASTER STOCK'!F286</f>
        <v>Steker Gepeng</v>
      </c>
      <c r="B289" s="30">
        <f>'JULI 25'!AJ289:AJ646</f>
        <v>6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23">
        <f t="shared" si="3"/>
        <v>0</v>
      </c>
      <c r="AI289" s="31">
        <f t="shared" si="4"/>
        <v>6</v>
      </c>
      <c r="AJ289" s="32">
        <f t="shared" si="5"/>
        <v>6</v>
      </c>
      <c r="AK289" s="32">
        <f t="shared" si="6"/>
        <v>0</v>
      </c>
      <c r="AL289" s="114">
        <f>'MASTER STOCK'!I286</f>
        <v>4000</v>
      </c>
      <c r="AM289" s="26">
        <f>'MASTER STOCK'!L286</f>
        <v>4000</v>
      </c>
      <c r="AN289" s="26">
        <f t="shared" si="7"/>
        <v>0</v>
      </c>
      <c r="AO289" s="26">
        <f t="shared" si="8"/>
        <v>0</v>
      </c>
      <c r="AP289" s="114">
        <f t="shared" si="9"/>
        <v>0</v>
      </c>
      <c r="AQ289" s="10"/>
    </row>
    <row r="290">
      <c r="A290" s="29" t="str">
        <f>'MASTER STOCK'!F287</f>
        <v>Skalar Tunggal</v>
      </c>
      <c r="B290" s="30">
        <f>'JULI 25'!AJ290:AJ647</f>
        <v>3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23">
        <f t="shared" si="3"/>
        <v>0</v>
      </c>
      <c r="AI290" s="31">
        <f t="shared" si="4"/>
        <v>3</v>
      </c>
      <c r="AJ290" s="32">
        <f t="shared" si="5"/>
        <v>3</v>
      </c>
      <c r="AK290" s="32">
        <f t="shared" si="6"/>
        <v>0</v>
      </c>
      <c r="AL290" s="114">
        <f>'MASTER STOCK'!I287</f>
        <v>6500</v>
      </c>
      <c r="AM290" s="26">
        <f>'MASTER STOCK'!L287</f>
        <v>6500</v>
      </c>
      <c r="AN290" s="26">
        <f t="shared" si="7"/>
        <v>0</v>
      </c>
      <c r="AO290" s="26">
        <f t="shared" si="8"/>
        <v>0</v>
      </c>
      <c r="AP290" s="114">
        <f t="shared" si="9"/>
        <v>0</v>
      </c>
      <c r="AQ290" s="10"/>
    </row>
    <row r="291">
      <c r="A291" s="29" t="str">
        <f>'MASTER STOCK'!F288</f>
        <v>Saklar Ganda</v>
      </c>
      <c r="B291" s="30">
        <f>'JULI 25'!AJ291:AJ648</f>
        <v>3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23">
        <f t="shared" si="3"/>
        <v>0</v>
      </c>
      <c r="AI291" s="31">
        <f t="shared" si="4"/>
        <v>3</v>
      </c>
      <c r="AJ291" s="32">
        <f t="shared" si="5"/>
        <v>3</v>
      </c>
      <c r="AK291" s="32">
        <f t="shared" si="6"/>
        <v>0</v>
      </c>
      <c r="AL291" s="114">
        <f>'MASTER STOCK'!I288</f>
        <v>8000</v>
      </c>
      <c r="AM291" s="26">
        <f>'MASTER STOCK'!L288</f>
        <v>8000</v>
      </c>
      <c r="AN291" s="26">
        <f t="shared" si="7"/>
        <v>0</v>
      </c>
      <c r="AO291" s="26">
        <f t="shared" si="8"/>
        <v>0</v>
      </c>
      <c r="AP291" s="114">
        <f t="shared" si="9"/>
        <v>0</v>
      </c>
      <c r="AQ291" s="10"/>
    </row>
    <row r="292">
      <c r="A292" s="29" t="str">
        <f>'MASTER STOCK'!F289</f>
        <v>Kabel audio 2 x 1 1/2</v>
      </c>
      <c r="B292" s="30">
        <f>'JULI 25'!AJ292:AJ649</f>
        <v>100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23">
        <f t="shared" si="3"/>
        <v>0</v>
      </c>
      <c r="AI292" s="31">
        <f t="shared" si="4"/>
        <v>100</v>
      </c>
      <c r="AJ292" s="32">
        <f t="shared" si="5"/>
        <v>100</v>
      </c>
      <c r="AK292" s="32">
        <f t="shared" si="6"/>
        <v>0</v>
      </c>
      <c r="AL292" s="114">
        <f>'MASTER STOCK'!I289</f>
        <v>3000</v>
      </c>
      <c r="AM292" s="26">
        <f>'MASTER STOCK'!L289</f>
        <v>3000</v>
      </c>
      <c r="AN292" s="26">
        <f t="shared" si="7"/>
        <v>0</v>
      </c>
      <c r="AO292" s="26">
        <f t="shared" si="8"/>
        <v>0</v>
      </c>
      <c r="AP292" s="114">
        <f t="shared" si="9"/>
        <v>0</v>
      </c>
      <c r="AQ292" s="10"/>
    </row>
    <row r="293">
      <c r="A293" s="29" t="str">
        <f>'MASTER STOCK'!F290</f>
        <v>Skalar Triple</v>
      </c>
      <c r="B293" s="30">
        <f>'JULI 25'!AJ293:AJ650</f>
        <v>2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23">
        <f t="shared" si="3"/>
        <v>0</v>
      </c>
      <c r="AI293" s="31">
        <f t="shared" si="4"/>
        <v>2</v>
      </c>
      <c r="AJ293" s="32">
        <f t="shared" si="5"/>
        <v>2</v>
      </c>
      <c r="AK293" s="32">
        <f t="shared" si="6"/>
        <v>0</v>
      </c>
      <c r="AL293" s="114">
        <f>'MASTER STOCK'!I290</f>
        <v>35000</v>
      </c>
      <c r="AM293" s="26">
        <f>'MASTER STOCK'!L290</f>
        <v>35000</v>
      </c>
      <c r="AN293" s="26">
        <f t="shared" si="7"/>
        <v>0</v>
      </c>
      <c r="AO293" s="26">
        <f t="shared" si="8"/>
        <v>0</v>
      </c>
      <c r="AP293" s="114">
        <f t="shared" si="9"/>
        <v>0</v>
      </c>
      <c r="AQ293" s="10"/>
    </row>
    <row r="294">
      <c r="A294" s="29" t="str">
        <f>'MASTER STOCK'!F291</f>
        <v>Senter</v>
      </c>
      <c r="B294" s="30">
        <f>'JULI 25'!AJ294:AJ651</f>
        <v>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23">
        <f t="shared" si="3"/>
        <v>0</v>
      </c>
      <c r="AI294" s="31">
        <f t="shared" si="4"/>
        <v>1</v>
      </c>
      <c r="AJ294" s="32">
        <f t="shared" si="5"/>
        <v>1</v>
      </c>
      <c r="AK294" s="32">
        <f t="shared" si="6"/>
        <v>0</v>
      </c>
      <c r="AL294" s="114">
        <f>'MASTER STOCK'!I291</f>
        <v>25000</v>
      </c>
      <c r="AM294" s="26">
        <f>'MASTER STOCK'!L291</f>
        <v>25000</v>
      </c>
      <c r="AN294" s="26">
        <f t="shared" si="7"/>
        <v>0</v>
      </c>
      <c r="AO294" s="26">
        <f t="shared" si="8"/>
        <v>0</v>
      </c>
      <c r="AP294" s="114">
        <f t="shared" si="9"/>
        <v>0</v>
      </c>
      <c r="AQ294" s="10"/>
    </row>
    <row r="295">
      <c r="A295" s="29" t="str">
        <f>'MASTER STOCK'!F292</f>
        <v>Fittingan</v>
      </c>
      <c r="B295" s="30">
        <f>'JULI 25'!AJ295:AJ652</f>
        <v>7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23">
        <f t="shared" si="3"/>
        <v>0</v>
      </c>
      <c r="AI295" s="31">
        <f t="shared" si="4"/>
        <v>7</v>
      </c>
      <c r="AJ295" s="32">
        <f t="shared" si="5"/>
        <v>7</v>
      </c>
      <c r="AK295" s="32">
        <f t="shared" si="6"/>
        <v>0</v>
      </c>
      <c r="AL295" s="114">
        <f>'MASTER STOCK'!I292</f>
        <v>5000</v>
      </c>
      <c r="AM295" s="26">
        <f>'MASTER STOCK'!L292</f>
        <v>5000</v>
      </c>
      <c r="AN295" s="26">
        <f t="shared" si="7"/>
        <v>0</v>
      </c>
      <c r="AO295" s="26">
        <f t="shared" si="8"/>
        <v>0</v>
      </c>
      <c r="AP295" s="114">
        <f t="shared" si="9"/>
        <v>0</v>
      </c>
      <c r="AQ295" s="10"/>
    </row>
    <row r="296">
      <c r="A296" s="29" t="str">
        <f>'MASTER STOCK'!F293</f>
        <v>Fittingan bagus</v>
      </c>
      <c r="B296" s="30">
        <f>'JULI 25'!AJ296:AJ653</f>
        <v>2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23">
        <f t="shared" si="3"/>
        <v>0</v>
      </c>
      <c r="AI296" s="31">
        <f t="shared" si="4"/>
        <v>2</v>
      </c>
      <c r="AJ296" s="32">
        <f t="shared" si="5"/>
        <v>2</v>
      </c>
      <c r="AK296" s="32">
        <f t="shared" si="6"/>
        <v>0</v>
      </c>
      <c r="AL296" s="114">
        <f>'MASTER STOCK'!I293</f>
        <v>9000</v>
      </c>
      <c r="AM296" s="26">
        <f>'MASTER STOCK'!L293</f>
        <v>9000</v>
      </c>
      <c r="AN296" s="26">
        <f t="shared" si="7"/>
        <v>0</v>
      </c>
      <c r="AO296" s="26">
        <f t="shared" si="8"/>
        <v>0</v>
      </c>
      <c r="AP296" s="114">
        <f t="shared" si="9"/>
        <v>0</v>
      </c>
      <c r="AQ296" s="10"/>
    </row>
    <row r="297">
      <c r="A297" s="29" t="str">
        <f>'MASTER STOCK'!F294</f>
        <v>Kassa gibsum</v>
      </c>
      <c r="B297" s="30">
        <f>'JULI 25'!AJ297:AJ654</f>
        <v>3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23">
        <f t="shared" si="3"/>
        <v>0</v>
      </c>
      <c r="AI297" s="31">
        <f t="shared" si="4"/>
        <v>3</v>
      </c>
      <c r="AJ297" s="32">
        <f t="shared" si="5"/>
        <v>3</v>
      </c>
      <c r="AK297" s="32">
        <f t="shared" si="6"/>
        <v>0</v>
      </c>
      <c r="AL297" s="114">
        <f>'MASTER STOCK'!I294</f>
        <v>7000</v>
      </c>
      <c r="AM297" s="26">
        <f>'MASTER STOCK'!L294</f>
        <v>7000</v>
      </c>
      <c r="AN297" s="26">
        <f t="shared" si="7"/>
        <v>0</v>
      </c>
      <c r="AO297" s="26">
        <f t="shared" si="8"/>
        <v>0</v>
      </c>
      <c r="AP297" s="114">
        <f t="shared" si="9"/>
        <v>0</v>
      </c>
      <c r="AQ297" s="10"/>
    </row>
    <row r="298">
      <c r="A298" s="29" t="str">
        <f>'MASTER STOCK'!F295</f>
        <v>Lampu Tidur</v>
      </c>
      <c r="B298" s="30">
        <f>'JULI 25'!AJ298:AJ655</f>
        <v>2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23">
        <f t="shared" si="3"/>
        <v>0</v>
      </c>
      <c r="AI298" s="31">
        <f t="shared" si="4"/>
        <v>2</v>
      </c>
      <c r="AJ298" s="32">
        <f t="shared" si="5"/>
        <v>2</v>
      </c>
      <c r="AK298" s="32">
        <f t="shared" si="6"/>
        <v>0</v>
      </c>
      <c r="AL298" s="114">
        <f>'MASTER STOCK'!I295</f>
        <v>8000</v>
      </c>
      <c r="AM298" s="26">
        <f>'MASTER STOCK'!L295</f>
        <v>8000</v>
      </c>
      <c r="AN298" s="26">
        <f t="shared" si="7"/>
        <v>0</v>
      </c>
      <c r="AO298" s="26">
        <f t="shared" si="8"/>
        <v>0</v>
      </c>
      <c r="AP298" s="114">
        <f t="shared" si="9"/>
        <v>0</v>
      </c>
      <c r="AQ298" s="10"/>
    </row>
    <row r="299">
      <c r="A299" s="29" t="str">
        <f>'MASTER STOCK'!F296</f>
        <v>Steker Bulat</v>
      </c>
      <c r="B299" s="30">
        <f>'JULI 25'!AJ299:AJ656</f>
        <v>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23">
        <f t="shared" si="3"/>
        <v>0</v>
      </c>
      <c r="AI299" s="31">
        <f t="shared" si="4"/>
        <v>1</v>
      </c>
      <c r="AJ299" s="32">
        <f t="shared" si="5"/>
        <v>1</v>
      </c>
      <c r="AK299" s="32">
        <f t="shared" si="6"/>
        <v>0</v>
      </c>
      <c r="AL299" s="114">
        <f>'MASTER STOCK'!I296</f>
        <v>6000</v>
      </c>
      <c r="AM299" s="26">
        <f>'MASTER STOCK'!L296</f>
        <v>6000</v>
      </c>
      <c r="AN299" s="26">
        <f t="shared" si="7"/>
        <v>0</v>
      </c>
      <c r="AO299" s="26">
        <f t="shared" si="8"/>
        <v>0</v>
      </c>
      <c r="AP299" s="114">
        <f t="shared" si="9"/>
        <v>0</v>
      </c>
      <c r="AQ299" s="10"/>
    </row>
    <row r="300">
      <c r="A300" s="29" t="str">
        <f>'MASTER STOCK'!F297</f>
        <v>Soket Lampu</v>
      </c>
      <c r="B300" s="30">
        <f>'JULI 25'!AJ300:AJ657</f>
        <v>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23">
        <f t="shared" si="3"/>
        <v>0</v>
      </c>
      <c r="AI300" s="31">
        <f t="shared" si="4"/>
        <v>1</v>
      </c>
      <c r="AJ300" s="32">
        <f t="shared" si="5"/>
        <v>1</v>
      </c>
      <c r="AK300" s="32">
        <f t="shared" si="6"/>
        <v>0</v>
      </c>
      <c r="AL300" s="114">
        <f>'MASTER STOCK'!I297</f>
        <v>11000</v>
      </c>
      <c r="AM300" s="26">
        <f>'MASTER STOCK'!L297</f>
        <v>11000</v>
      </c>
      <c r="AN300" s="26">
        <f t="shared" si="7"/>
        <v>0</v>
      </c>
      <c r="AO300" s="26">
        <f t="shared" si="8"/>
        <v>0</v>
      </c>
      <c r="AP300" s="114">
        <f t="shared" si="9"/>
        <v>0</v>
      </c>
      <c r="AQ300" s="10"/>
    </row>
    <row r="301">
      <c r="A301" s="29" t="str">
        <f>'MASTER STOCK'!F298</f>
        <v>Sarung tangan kain</v>
      </c>
      <c r="B301" s="30">
        <f>'JULI 25'!AJ301:AJ658</f>
        <v>16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23">
        <f t="shared" si="3"/>
        <v>0</v>
      </c>
      <c r="AI301" s="31">
        <f t="shared" si="4"/>
        <v>16</v>
      </c>
      <c r="AJ301" s="32">
        <f t="shared" si="5"/>
        <v>16</v>
      </c>
      <c r="AK301" s="32">
        <f t="shared" si="6"/>
        <v>0</v>
      </c>
      <c r="AL301" s="114">
        <f>'MASTER STOCK'!I298</f>
        <v>6000</v>
      </c>
      <c r="AM301" s="26">
        <f>'MASTER STOCK'!L298</f>
        <v>6000</v>
      </c>
      <c r="AN301" s="26">
        <f t="shared" si="7"/>
        <v>0</v>
      </c>
      <c r="AO301" s="26">
        <f t="shared" si="8"/>
        <v>0</v>
      </c>
      <c r="AP301" s="114">
        <f t="shared" si="9"/>
        <v>0</v>
      </c>
      <c r="AQ301" s="10"/>
    </row>
    <row r="302">
      <c r="A302" s="29" t="str">
        <f>'MASTER STOCK'!F299</f>
        <v>Grendel Double</v>
      </c>
      <c r="B302" s="30">
        <f>'JULI 25'!AJ302:AJ659</f>
        <v>2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23">
        <f t="shared" si="3"/>
        <v>0</v>
      </c>
      <c r="AI302" s="31">
        <f t="shared" si="4"/>
        <v>2</v>
      </c>
      <c r="AJ302" s="32">
        <f t="shared" si="5"/>
        <v>2</v>
      </c>
      <c r="AK302" s="32">
        <f t="shared" si="6"/>
        <v>0</v>
      </c>
      <c r="AL302" s="114">
        <f>'MASTER STOCK'!I299</f>
        <v>0</v>
      </c>
      <c r="AM302" s="26">
        <f>'MASTER STOCK'!L299</f>
        <v>0</v>
      </c>
      <c r="AN302" s="26">
        <f t="shared" si="7"/>
        <v>0</v>
      </c>
      <c r="AO302" s="26">
        <f t="shared" si="8"/>
        <v>0</v>
      </c>
      <c r="AP302" s="114">
        <f t="shared" si="9"/>
        <v>0</v>
      </c>
      <c r="AQ302" s="10"/>
    </row>
    <row r="303">
      <c r="A303" s="29" t="str">
        <f>'MASTER STOCK'!F300</f>
        <v>Kunci Oval pintu</v>
      </c>
      <c r="B303" s="30">
        <f>'JULI 25'!AJ303:AJ660</f>
        <v>2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23">
        <f t="shared" si="3"/>
        <v>0</v>
      </c>
      <c r="AI303" s="31">
        <f t="shared" si="4"/>
        <v>2</v>
      </c>
      <c r="AJ303" s="32">
        <f t="shared" si="5"/>
        <v>2</v>
      </c>
      <c r="AK303" s="32">
        <f t="shared" si="6"/>
        <v>0</v>
      </c>
      <c r="AL303" s="114">
        <f>'MASTER STOCK'!I300</f>
        <v>0</v>
      </c>
      <c r="AM303" s="26">
        <f>'MASTER STOCK'!L300</f>
        <v>0</v>
      </c>
      <c r="AN303" s="26">
        <f t="shared" si="7"/>
        <v>0</v>
      </c>
      <c r="AO303" s="26">
        <f t="shared" si="8"/>
        <v>0</v>
      </c>
      <c r="AP303" s="114">
        <f t="shared" si="9"/>
        <v>0</v>
      </c>
      <c r="AQ303" s="10"/>
    </row>
    <row r="304">
      <c r="A304" s="29" t="str">
        <f>'MASTER STOCK'!F301</f>
        <v>Benang ris  sedang</v>
      </c>
      <c r="B304" s="30">
        <f>'JULI 25'!AJ304:AJ661</f>
        <v>4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23">
        <f t="shared" si="3"/>
        <v>0</v>
      </c>
      <c r="AI304" s="31">
        <f t="shared" si="4"/>
        <v>4</v>
      </c>
      <c r="AJ304" s="32">
        <f t="shared" si="5"/>
        <v>4</v>
      </c>
      <c r="AK304" s="32">
        <f t="shared" si="6"/>
        <v>0</v>
      </c>
      <c r="AL304" s="114">
        <f>'MASTER STOCK'!I301</f>
        <v>5000</v>
      </c>
      <c r="AM304" s="26">
        <f>'MASTER STOCK'!L301</f>
        <v>5000</v>
      </c>
      <c r="AN304" s="26">
        <f t="shared" si="7"/>
        <v>0</v>
      </c>
      <c r="AO304" s="26">
        <f t="shared" si="8"/>
        <v>0</v>
      </c>
      <c r="AP304" s="114">
        <f t="shared" si="9"/>
        <v>0</v>
      </c>
      <c r="AQ304" s="10"/>
    </row>
    <row r="305">
      <c r="A305" s="29" t="str">
        <f>'MASTER STOCK'!F302</f>
        <v>Jepitan Udang grendel</v>
      </c>
      <c r="B305" s="30">
        <f>'JULI 25'!AJ305:AJ662</f>
        <v>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23">
        <f t="shared" si="3"/>
        <v>0</v>
      </c>
      <c r="AI305" s="31">
        <f t="shared" si="4"/>
        <v>1</v>
      </c>
      <c r="AJ305" s="32">
        <f t="shared" si="5"/>
        <v>1</v>
      </c>
      <c r="AK305" s="32">
        <f t="shared" si="6"/>
        <v>0</v>
      </c>
      <c r="AL305" s="114">
        <f>'MASTER STOCK'!I302</f>
        <v>0</v>
      </c>
      <c r="AM305" s="26">
        <f>'MASTER STOCK'!L302</f>
        <v>0</v>
      </c>
      <c r="AN305" s="26">
        <f t="shared" si="7"/>
        <v>0</v>
      </c>
      <c r="AO305" s="26">
        <f t="shared" si="8"/>
        <v>0</v>
      </c>
      <c r="AP305" s="114">
        <f t="shared" si="9"/>
        <v>0</v>
      </c>
      <c r="AQ305" s="10"/>
    </row>
    <row r="306">
      <c r="A306" s="29" t="str">
        <f>'MASTER STOCK'!F303</f>
        <v>Cengkal jendela panjang lurus</v>
      </c>
      <c r="B306" s="30">
        <f>'JULI 25'!AJ306:AJ663</f>
        <v>4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23">
        <f t="shared" si="3"/>
        <v>0</v>
      </c>
      <c r="AI306" s="31">
        <f t="shared" si="4"/>
        <v>4</v>
      </c>
      <c r="AJ306" s="32">
        <f t="shared" si="5"/>
        <v>4</v>
      </c>
      <c r="AK306" s="32">
        <f t="shared" si="6"/>
        <v>0</v>
      </c>
      <c r="AL306" s="114">
        <f>'MASTER STOCK'!I303</f>
        <v>11000</v>
      </c>
      <c r="AM306" s="26">
        <f>'MASTER STOCK'!L303</f>
        <v>11000</v>
      </c>
      <c r="AN306" s="26">
        <f t="shared" si="7"/>
        <v>0</v>
      </c>
      <c r="AO306" s="26">
        <f t="shared" si="8"/>
        <v>0</v>
      </c>
      <c r="AP306" s="114">
        <f t="shared" si="9"/>
        <v>0</v>
      </c>
      <c r="AQ306" s="10"/>
    </row>
    <row r="307">
      <c r="A307" s="29" t="str">
        <f>'MASTER STOCK'!F304</f>
        <v>Gagang Pintu</v>
      </c>
      <c r="B307" s="30">
        <f>'JULI 25'!AJ307:AJ664</f>
        <v>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23">
        <f t="shared" si="3"/>
        <v>0</v>
      </c>
      <c r="AI307" s="31">
        <f t="shared" si="4"/>
        <v>1</v>
      </c>
      <c r="AJ307" s="32">
        <f t="shared" si="5"/>
        <v>1</v>
      </c>
      <c r="AK307" s="32">
        <f t="shared" si="6"/>
        <v>0</v>
      </c>
      <c r="AL307" s="114">
        <f>'MASTER STOCK'!I304</f>
        <v>18000</v>
      </c>
      <c r="AM307" s="26">
        <f>'MASTER STOCK'!L304</f>
        <v>18000</v>
      </c>
      <c r="AN307" s="26">
        <f t="shared" si="7"/>
        <v>0</v>
      </c>
      <c r="AO307" s="26">
        <f t="shared" si="8"/>
        <v>0</v>
      </c>
      <c r="AP307" s="114">
        <f t="shared" si="9"/>
        <v>0</v>
      </c>
      <c r="AQ307" s="10"/>
    </row>
    <row r="308">
      <c r="A308" s="29" t="str">
        <f>'MASTER STOCK'!F305</f>
        <v>Sekrup  3cm</v>
      </c>
      <c r="B308" s="30">
        <f>'JULI 25'!AJ308:AJ665</f>
        <v>20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23">
        <f t="shared" si="3"/>
        <v>0</v>
      </c>
      <c r="AI308" s="31">
        <f t="shared" si="4"/>
        <v>20</v>
      </c>
      <c r="AJ308" s="32">
        <f t="shared" si="5"/>
        <v>20</v>
      </c>
      <c r="AK308" s="32">
        <f t="shared" si="6"/>
        <v>0</v>
      </c>
      <c r="AL308" s="114">
        <f>'MASTER STOCK'!I305</f>
        <v>0</v>
      </c>
      <c r="AM308" s="26">
        <f>'MASTER STOCK'!L305</f>
        <v>0</v>
      </c>
      <c r="AN308" s="26">
        <f t="shared" si="7"/>
        <v>0</v>
      </c>
      <c r="AO308" s="26">
        <f t="shared" si="8"/>
        <v>0</v>
      </c>
      <c r="AP308" s="114">
        <f t="shared" si="9"/>
        <v>0</v>
      </c>
      <c r="AQ308" s="10"/>
    </row>
    <row r="309">
      <c r="A309" s="29" t="str">
        <f>'MASTER STOCK'!F306</f>
        <v>Sekrup  2.5</v>
      </c>
      <c r="B309" s="30">
        <f>'JULI 25'!AJ309:AJ666</f>
        <v>10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23">
        <f t="shared" si="3"/>
        <v>0</v>
      </c>
      <c r="AI309" s="31">
        <f t="shared" si="4"/>
        <v>10</v>
      </c>
      <c r="AJ309" s="32">
        <f t="shared" si="5"/>
        <v>10</v>
      </c>
      <c r="AK309" s="32">
        <f t="shared" si="6"/>
        <v>0</v>
      </c>
      <c r="AL309" s="114">
        <f>'MASTER STOCK'!I306</f>
        <v>0</v>
      </c>
      <c r="AM309" s="26">
        <f>'MASTER STOCK'!L306</f>
        <v>0</v>
      </c>
      <c r="AN309" s="26">
        <f t="shared" si="7"/>
        <v>0</v>
      </c>
      <c r="AO309" s="26">
        <f t="shared" si="8"/>
        <v>0</v>
      </c>
      <c r="AP309" s="114">
        <f t="shared" si="9"/>
        <v>0</v>
      </c>
      <c r="AQ309" s="10"/>
    </row>
    <row r="310">
      <c r="A310" s="29" t="str">
        <f>'MASTER STOCK'!F307</f>
        <v>Roda etalase</v>
      </c>
      <c r="B310" s="30">
        <f>'JULI 25'!AJ310:AJ667</f>
        <v>4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23">
        <f t="shared" si="3"/>
        <v>0</v>
      </c>
      <c r="AI310" s="31">
        <f t="shared" si="4"/>
        <v>4</v>
      </c>
      <c r="AJ310" s="32">
        <f t="shared" si="5"/>
        <v>4</v>
      </c>
      <c r="AK310" s="32">
        <f t="shared" si="6"/>
        <v>0</v>
      </c>
      <c r="AL310" s="114">
        <f>'MASTER STOCK'!I307</f>
        <v>35000</v>
      </c>
      <c r="AM310" s="26">
        <f>'MASTER STOCK'!L307</f>
        <v>35000</v>
      </c>
      <c r="AN310" s="26">
        <f t="shared" si="7"/>
        <v>0</v>
      </c>
      <c r="AO310" s="26">
        <f t="shared" si="8"/>
        <v>0</v>
      </c>
      <c r="AP310" s="114">
        <f t="shared" si="9"/>
        <v>0</v>
      </c>
      <c r="AQ310" s="10"/>
    </row>
    <row r="311">
      <c r="A311" s="29" t="str">
        <f>'MASTER STOCK'!F308</f>
        <v>Gagang pintu besi  besar</v>
      </c>
      <c r="B311" s="30">
        <f>'JULI 25'!AJ311:AJ668</f>
        <v>7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23">
        <f t="shared" si="3"/>
        <v>0</v>
      </c>
      <c r="AI311" s="31">
        <f t="shared" si="4"/>
        <v>7</v>
      </c>
      <c r="AJ311" s="32">
        <f t="shared" si="5"/>
        <v>7</v>
      </c>
      <c r="AK311" s="32">
        <f t="shared" si="6"/>
        <v>0</v>
      </c>
      <c r="AL311" s="114">
        <f>'MASTER STOCK'!I308</f>
        <v>4500</v>
      </c>
      <c r="AM311" s="26">
        <f>'MASTER STOCK'!L308</f>
        <v>4500</v>
      </c>
      <c r="AN311" s="26">
        <f t="shared" si="7"/>
        <v>0</v>
      </c>
      <c r="AO311" s="26">
        <f t="shared" si="8"/>
        <v>0</v>
      </c>
      <c r="AP311" s="114">
        <f t="shared" si="9"/>
        <v>0</v>
      </c>
      <c r="AQ311" s="10"/>
    </row>
    <row r="312">
      <c r="A312" s="29" t="str">
        <f>'MASTER STOCK'!F309</f>
        <v>Gagang pintu besi  Kecil</v>
      </c>
      <c r="B312" s="30">
        <f>'JULI 25'!AJ312:AJ669</f>
        <v>2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23">
        <f t="shared" si="3"/>
        <v>0</v>
      </c>
      <c r="AI312" s="31">
        <f t="shared" si="4"/>
        <v>2</v>
      </c>
      <c r="AJ312" s="32">
        <f t="shared" si="5"/>
        <v>2</v>
      </c>
      <c r="AK312" s="32">
        <f t="shared" si="6"/>
        <v>0</v>
      </c>
      <c r="AL312" s="114">
        <f>'MASTER STOCK'!I309</f>
        <v>2000</v>
      </c>
      <c r="AM312" s="26">
        <f>'MASTER STOCK'!L309</f>
        <v>2000</v>
      </c>
      <c r="AN312" s="26">
        <f t="shared" si="7"/>
        <v>0</v>
      </c>
      <c r="AO312" s="26">
        <f t="shared" si="8"/>
        <v>0</v>
      </c>
      <c r="AP312" s="114">
        <f t="shared" si="9"/>
        <v>0</v>
      </c>
      <c r="AQ312" s="10"/>
    </row>
    <row r="313">
      <c r="A313" s="29" t="str">
        <f>'MASTER STOCK'!F310</f>
        <v>Sekrup  6 x 1</v>
      </c>
      <c r="B313" s="30">
        <f>'JULI 25'!AJ313:AJ670</f>
        <v>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23">
        <f t="shared" si="3"/>
        <v>0</v>
      </c>
      <c r="AI313" s="31">
        <f t="shared" si="4"/>
        <v>1</v>
      </c>
      <c r="AJ313" s="32">
        <f t="shared" si="5"/>
        <v>1</v>
      </c>
      <c r="AK313" s="32">
        <f t="shared" si="6"/>
        <v>0</v>
      </c>
      <c r="AL313" s="114">
        <f>'MASTER STOCK'!I310</f>
        <v>0</v>
      </c>
      <c r="AM313" s="26">
        <f>'MASTER STOCK'!L310</f>
        <v>0</v>
      </c>
      <c r="AN313" s="26">
        <f t="shared" si="7"/>
        <v>0</v>
      </c>
      <c r="AO313" s="26">
        <f t="shared" si="8"/>
        <v>0</v>
      </c>
      <c r="AP313" s="114">
        <f t="shared" si="9"/>
        <v>0</v>
      </c>
      <c r="AQ313" s="10"/>
    </row>
    <row r="314">
      <c r="A314" s="29" t="str">
        <f>'MASTER STOCK'!F311</f>
        <v>Klem kabel  8 mm</v>
      </c>
      <c r="B314" s="30">
        <f>'JULI 25'!AJ314:AJ671</f>
        <v>4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23">
        <f t="shared" si="3"/>
        <v>0</v>
      </c>
      <c r="AI314" s="31">
        <f t="shared" si="4"/>
        <v>4</v>
      </c>
      <c r="AJ314" s="32">
        <f t="shared" si="5"/>
        <v>4</v>
      </c>
      <c r="AK314" s="32">
        <f t="shared" si="6"/>
        <v>0</v>
      </c>
      <c r="AL314" s="114">
        <f>'MASTER STOCK'!I311</f>
        <v>14000</v>
      </c>
      <c r="AM314" s="26">
        <f>'MASTER STOCK'!L311</f>
        <v>14000</v>
      </c>
      <c r="AN314" s="26">
        <f t="shared" si="7"/>
        <v>0</v>
      </c>
      <c r="AO314" s="26">
        <f t="shared" si="8"/>
        <v>0</v>
      </c>
      <c r="AP314" s="114">
        <f t="shared" si="9"/>
        <v>0</v>
      </c>
      <c r="AQ314" s="10"/>
    </row>
    <row r="315">
      <c r="A315" s="29" t="str">
        <f>'MASTER STOCK'!F312</f>
        <v>Klem kabel  9 mm</v>
      </c>
      <c r="B315" s="30">
        <f>'JULI 25'!AJ315:AJ672</f>
        <v>2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23">
        <f t="shared" si="3"/>
        <v>0</v>
      </c>
      <c r="AI315" s="31">
        <f t="shared" si="4"/>
        <v>2</v>
      </c>
      <c r="AJ315" s="32">
        <f t="shared" si="5"/>
        <v>2</v>
      </c>
      <c r="AK315" s="32">
        <f t="shared" si="6"/>
        <v>0</v>
      </c>
      <c r="AL315" s="114">
        <f>'MASTER STOCK'!I312</f>
        <v>14000</v>
      </c>
      <c r="AM315" s="26">
        <f>'MASTER STOCK'!L312</f>
        <v>14000</v>
      </c>
      <c r="AN315" s="26">
        <f t="shared" si="7"/>
        <v>0</v>
      </c>
      <c r="AO315" s="26">
        <f t="shared" si="8"/>
        <v>0</v>
      </c>
      <c r="AP315" s="114">
        <f t="shared" si="9"/>
        <v>0</v>
      </c>
      <c r="AQ315" s="10"/>
    </row>
    <row r="316">
      <c r="A316" s="29" t="str">
        <f>'MASTER STOCK'!F313</f>
        <v>Fishcer 8 mm</v>
      </c>
      <c r="B316" s="30">
        <f>'JULI 25'!AJ316:AJ673</f>
        <v>4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23">
        <f t="shared" si="3"/>
        <v>0</v>
      </c>
      <c r="AI316" s="31">
        <f t="shared" si="4"/>
        <v>4</v>
      </c>
      <c r="AJ316" s="32">
        <f t="shared" si="5"/>
        <v>4</v>
      </c>
      <c r="AK316" s="32">
        <f t="shared" si="6"/>
        <v>0</v>
      </c>
      <c r="AL316" s="114">
        <f>'MASTER STOCK'!I313</f>
        <v>15000</v>
      </c>
      <c r="AM316" s="26">
        <f>'MASTER STOCK'!L313</f>
        <v>15000</v>
      </c>
      <c r="AN316" s="26">
        <f t="shared" si="7"/>
        <v>0</v>
      </c>
      <c r="AO316" s="26">
        <f t="shared" si="8"/>
        <v>0</v>
      </c>
      <c r="AP316" s="114">
        <f t="shared" si="9"/>
        <v>0</v>
      </c>
      <c r="AQ316" s="10"/>
    </row>
    <row r="317">
      <c r="A317" s="29" t="str">
        <f>'MASTER STOCK'!F314</f>
        <v>Fishcer 5 mm</v>
      </c>
      <c r="B317" s="30">
        <f>'JULI 25'!AJ317:AJ674</f>
        <v>3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23">
        <f t="shared" si="3"/>
        <v>0</v>
      </c>
      <c r="AI317" s="31">
        <f t="shared" si="4"/>
        <v>3</v>
      </c>
      <c r="AJ317" s="32">
        <f t="shared" si="5"/>
        <v>3</v>
      </c>
      <c r="AK317" s="32">
        <f t="shared" si="6"/>
        <v>0</v>
      </c>
      <c r="AL317" s="114">
        <f>'MASTER STOCK'!I314</f>
        <v>10000</v>
      </c>
      <c r="AM317" s="26">
        <f>'MASTER STOCK'!L314</f>
        <v>10000</v>
      </c>
      <c r="AN317" s="26">
        <f t="shared" si="7"/>
        <v>0</v>
      </c>
      <c r="AO317" s="26">
        <f t="shared" si="8"/>
        <v>0</v>
      </c>
      <c r="AP317" s="114">
        <f t="shared" si="9"/>
        <v>0</v>
      </c>
      <c r="AQ317" s="10"/>
    </row>
    <row r="318">
      <c r="A318" s="29" t="str">
        <f>'MASTER STOCK'!F315</f>
        <v>Kran besi 3/4</v>
      </c>
      <c r="B318" s="30">
        <f>'JULI 25'!AJ318:AJ675</f>
        <v>2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23">
        <f t="shared" si="3"/>
        <v>0</v>
      </c>
      <c r="AI318" s="31">
        <f t="shared" si="4"/>
        <v>2</v>
      </c>
      <c r="AJ318" s="32">
        <f t="shared" si="5"/>
        <v>2</v>
      </c>
      <c r="AK318" s="32">
        <f t="shared" si="6"/>
        <v>0</v>
      </c>
      <c r="AL318" s="114">
        <f>'MASTER STOCK'!I315</f>
        <v>27500</v>
      </c>
      <c r="AM318" s="26">
        <f>'MASTER STOCK'!L315</f>
        <v>27500</v>
      </c>
      <c r="AN318" s="26">
        <f t="shared" si="7"/>
        <v>0</v>
      </c>
      <c r="AO318" s="26">
        <f t="shared" si="8"/>
        <v>0</v>
      </c>
      <c r="AP318" s="114">
        <f t="shared" si="9"/>
        <v>0</v>
      </c>
      <c r="AQ318" s="10"/>
    </row>
    <row r="319">
      <c r="A319" s="29" t="str">
        <f>'MASTER STOCK'!F316</f>
        <v>Gunting tanggung</v>
      </c>
      <c r="B319" s="30">
        <f>'JULI 25'!AJ319:AJ676</f>
        <v>2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23">
        <f t="shared" si="3"/>
        <v>0</v>
      </c>
      <c r="AI319" s="31">
        <f t="shared" si="4"/>
        <v>2</v>
      </c>
      <c r="AJ319" s="32">
        <f t="shared" si="5"/>
        <v>2</v>
      </c>
      <c r="AK319" s="32">
        <f t="shared" si="6"/>
        <v>0</v>
      </c>
      <c r="AL319" s="114">
        <f>'MASTER STOCK'!I316</f>
        <v>10000</v>
      </c>
      <c r="AM319" s="26">
        <f>'MASTER STOCK'!L316</f>
        <v>10000</v>
      </c>
      <c r="AN319" s="26">
        <f t="shared" si="7"/>
        <v>0</v>
      </c>
      <c r="AO319" s="26">
        <f t="shared" si="8"/>
        <v>0</v>
      </c>
      <c r="AP319" s="114">
        <f t="shared" si="9"/>
        <v>0</v>
      </c>
      <c r="AQ319" s="10"/>
    </row>
    <row r="320">
      <c r="A320" s="29" t="str">
        <f>'MASTER STOCK'!F317</f>
        <v>Stop kran PVC onda 3/4</v>
      </c>
      <c r="B320" s="30">
        <f>'JULI 25'!AJ320:AJ677</f>
        <v>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23">
        <f t="shared" si="3"/>
        <v>0</v>
      </c>
      <c r="AI320" s="31">
        <f t="shared" si="4"/>
        <v>1</v>
      </c>
      <c r="AJ320" s="32">
        <f t="shared" si="5"/>
        <v>1</v>
      </c>
      <c r="AK320" s="32">
        <f t="shared" si="6"/>
        <v>0</v>
      </c>
      <c r="AL320" s="114">
        <f>'MASTER STOCK'!I317</f>
        <v>31000</v>
      </c>
      <c r="AM320" s="26">
        <f>'MASTER STOCK'!L317</f>
        <v>31000</v>
      </c>
      <c r="AN320" s="26">
        <f t="shared" si="7"/>
        <v>0</v>
      </c>
      <c r="AO320" s="26">
        <f t="shared" si="8"/>
        <v>0</v>
      </c>
      <c r="AP320" s="114">
        <f t="shared" si="9"/>
        <v>0</v>
      </c>
      <c r="AQ320" s="10"/>
    </row>
    <row r="321">
      <c r="A321" s="29" t="str">
        <f>'MASTER STOCK'!F318</f>
        <v>Stop kran PVC move 1/2</v>
      </c>
      <c r="B321" s="30">
        <f>'JULI 25'!AJ321:AJ678</f>
        <v>3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23">
        <f t="shared" si="3"/>
        <v>0</v>
      </c>
      <c r="AI321" s="31">
        <f t="shared" si="4"/>
        <v>3</v>
      </c>
      <c r="AJ321" s="32">
        <f t="shared" si="5"/>
        <v>3</v>
      </c>
      <c r="AK321" s="32">
        <f t="shared" si="6"/>
        <v>0</v>
      </c>
      <c r="AL321" s="114">
        <f>'MASTER STOCK'!I318</f>
        <v>21000</v>
      </c>
      <c r="AM321" s="26">
        <f>'MASTER STOCK'!L318</f>
        <v>21000</v>
      </c>
      <c r="AN321" s="26">
        <f t="shared" si="7"/>
        <v>0</v>
      </c>
      <c r="AO321" s="26">
        <f t="shared" si="8"/>
        <v>0</v>
      </c>
      <c r="AP321" s="114">
        <f t="shared" si="9"/>
        <v>0</v>
      </c>
      <c r="AQ321" s="10"/>
    </row>
    <row r="322">
      <c r="A322" s="29" t="str">
        <f>'MASTER STOCK'!F319</f>
        <v>Ungkal</v>
      </c>
      <c r="B322" s="30">
        <f>'JULI 25'!AJ322:AJ679</f>
        <v>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23">
        <f t="shared" si="3"/>
        <v>0</v>
      </c>
      <c r="AI322" s="31">
        <f t="shared" si="4"/>
        <v>1</v>
      </c>
      <c r="AJ322" s="32">
        <f t="shared" si="5"/>
        <v>1</v>
      </c>
      <c r="AK322" s="32">
        <f t="shared" si="6"/>
        <v>0</v>
      </c>
      <c r="AL322" s="114">
        <f>'MASTER STOCK'!I319</f>
        <v>22500</v>
      </c>
      <c r="AM322" s="26">
        <f>'MASTER STOCK'!L319</f>
        <v>22500</v>
      </c>
      <c r="AN322" s="26">
        <f t="shared" si="7"/>
        <v>0</v>
      </c>
      <c r="AO322" s="26">
        <f t="shared" si="8"/>
        <v>0</v>
      </c>
      <c r="AP322" s="114">
        <f t="shared" si="9"/>
        <v>0</v>
      </c>
      <c r="AQ322" s="10"/>
    </row>
    <row r="323">
      <c r="A323" s="29" t="str">
        <f>'MASTER STOCK'!F320</f>
        <v>Stop kran PVC jia rong 1</v>
      </c>
      <c r="B323" s="30">
        <f>'JULI 25'!AJ323:AJ680</f>
        <v>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23">
        <f t="shared" si="3"/>
        <v>0</v>
      </c>
      <c r="AI323" s="31">
        <f t="shared" si="4"/>
        <v>1</v>
      </c>
      <c r="AJ323" s="32">
        <f t="shared" si="5"/>
        <v>1</v>
      </c>
      <c r="AK323" s="32">
        <f t="shared" si="6"/>
        <v>0</v>
      </c>
      <c r="AL323" s="114">
        <f>'MASTER STOCK'!I320</f>
        <v>28500</v>
      </c>
      <c r="AM323" s="26">
        <f>'MASTER STOCK'!L320</f>
        <v>28500</v>
      </c>
      <c r="AN323" s="26">
        <f t="shared" si="7"/>
        <v>0</v>
      </c>
      <c r="AO323" s="26">
        <f t="shared" si="8"/>
        <v>0</v>
      </c>
      <c r="AP323" s="114">
        <f t="shared" si="9"/>
        <v>0</v>
      </c>
      <c r="AQ323" s="10"/>
    </row>
    <row r="324">
      <c r="A324" s="29" t="str">
        <f>'MASTER STOCK'!F321</f>
        <v>Stop kran move 1</v>
      </c>
      <c r="B324" s="30">
        <f>'JULI 25'!AJ324:AJ681</f>
        <v>2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23">
        <f t="shared" si="3"/>
        <v>0</v>
      </c>
      <c r="AI324" s="31">
        <f t="shared" si="4"/>
        <v>2</v>
      </c>
      <c r="AJ324" s="32">
        <f t="shared" si="5"/>
        <v>2</v>
      </c>
      <c r="AK324" s="32">
        <f t="shared" si="6"/>
        <v>0</v>
      </c>
      <c r="AL324" s="114">
        <f>'MASTER STOCK'!I321</f>
        <v>21000</v>
      </c>
      <c r="AM324" s="26">
        <f>'MASTER STOCK'!L321</f>
        <v>21000</v>
      </c>
      <c r="AN324" s="26">
        <f t="shared" si="7"/>
        <v>0</v>
      </c>
      <c r="AO324" s="26">
        <f t="shared" si="8"/>
        <v>0</v>
      </c>
      <c r="AP324" s="114">
        <f t="shared" si="9"/>
        <v>0</v>
      </c>
      <c r="AQ324" s="10"/>
    </row>
    <row r="325">
      <c r="A325" s="29" t="str">
        <f>'MASTER STOCK'!F322</f>
        <v>Pegangan laci/ lemari  3</v>
      </c>
      <c r="B325" s="30">
        <f>'JULI 25'!AJ325:AJ682</f>
        <v>21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23">
        <f t="shared" si="3"/>
        <v>0</v>
      </c>
      <c r="AI325" s="31">
        <f t="shared" si="4"/>
        <v>21</v>
      </c>
      <c r="AJ325" s="32">
        <f t="shared" si="5"/>
        <v>21</v>
      </c>
      <c r="AK325" s="32">
        <f t="shared" si="6"/>
        <v>0</v>
      </c>
      <c r="AL325" s="114">
        <f>'MASTER STOCK'!I322</f>
        <v>1500</v>
      </c>
      <c r="AM325" s="26">
        <f>'MASTER STOCK'!L322</f>
        <v>1500</v>
      </c>
      <c r="AN325" s="26">
        <f t="shared" si="7"/>
        <v>0</v>
      </c>
      <c r="AO325" s="26">
        <f t="shared" si="8"/>
        <v>0</v>
      </c>
      <c r="AP325" s="114">
        <f t="shared" si="9"/>
        <v>0</v>
      </c>
      <c r="AQ325" s="10"/>
    </row>
    <row r="326">
      <c r="A326" s="29" t="str">
        <f>'MASTER STOCK'!F323</f>
        <v>Pegangan laci/ lemari  4</v>
      </c>
      <c r="B326" s="30">
        <f>'JULI 25'!AJ326:AJ683</f>
        <v>5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23">
        <f t="shared" si="3"/>
        <v>0</v>
      </c>
      <c r="AI326" s="31">
        <f t="shared" si="4"/>
        <v>5</v>
      </c>
      <c r="AJ326" s="32">
        <f t="shared" si="5"/>
        <v>5</v>
      </c>
      <c r="AK326" s="32">
        <f t="shared" si="6"/>
        <v>0</v>
      </c>
      <c r="AL326" s="114">
        <f>'MASTER STOCK'!I323</f>
        <v>2000</v>
      </c>
      <c r="AM326" s="26">
        <f>'MASTER STOCK'!L323</f>
        <v>2000</v>
      </c>
      <c r="AN326" s="26">
        <f t="shared" si="7"/>
        <v>0</v>
      </c>
      <c r="AO326" s="26">
        <f t="shared" si="8"/>
        <v>0</v>
      </c>
      <c r="AP326" s="114">
        <f t="shared" si="9"/>
        <v>0</v>
      </c>
      <c r="AQ326" s="10"/>
    </row>
    <row r="327">
      <c r="A327" s="29" t="str">
        <f>'MASTER STOCK'!F324</f>
        <v>cutter besar</v>
      </c>
      <c r="B327" s="30">
        <f>'JULI 25'!AJ327:AJ684</f>
        <v>3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23">
        <f t="shared" si="3"/>
        <v>0</v>
      </c>
      <c r="AI327" s="31">
        <f t="shared" si="4"/>
        <v>3</v>
      </c>
      <c r="AJ327" s="32">
        <f t="shared" si="5"/>
        <v>3</v>
      </c>
      <c r="AK327" s="32">
        <f t="shared" si="6"/>
        <v>0</v>
      </c>
      <c r="AL327" s="114">
        <f>'MASTER STOCK'!I324</f>
        <v>5000</v>
      </c>
      <c r="AM327" s="26">
        <f>'MASTER STOCK'!L324</f>
        <v>5000</v>
      </c>
      <c r="AN327" s="26">
        <f t="shared" si="7"/>
        <v>0</v>
      </c>
      <c r="AO327" s="26">
        <f t="shared" si="8"/>
        <v>0</v>
      </c>
      <c r="AP327" s="114">
        <f t="shared" si="9"/>
        <v>0</v>
      </c>
      <c r="AQ327" s="10"/>
    </row>
    <row r="328">
      <c r="A328" s="29" t="str">
        <f>'MASTER STOCK'!F325</f>
        <v>Paku beton 1</v>
      </c>
      <c r="B328" s="30">
        <f>'JULI 25'!AJ328:AJ685</f>
        <v>2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23">
        <f t="shared" si="3"/>
        <v>0</v>
      </c>
      <c r="AI328" s="31">
        <f t="shared" si="4"/>
        <v>2</v>
      </c>
      <c r="AJ328" s="32">
        <f t="shared" si="5"/>
        <v>2</v>
      </c>
      <c r="AK328" s="32">
        <f t="shared" si="6"/>
        <v>0</v>
      </c>
      <c r="AL328" s="114">
        <f>'MASTER STOCK'!I325</f>
        <v>14000</v>
      </c>
      <c r="AM328" s="26">
        <f>'MASTER STOCK'!L325</f>
        <v>14000</v>
      </c>
      <c r="AN328" s="26">
        <f t="shared" si="7"/>
        <v>0</v>
      </c>
      <c r="AO328" s="26">
        <f t="shared" si="8"/>
        <v>0</v>
      </c>
      <c r="AP328" s="114">
        <f t="shared" si="9"/>
        <v>0</v>
      </c>
      <c r="AQ328" s="10"/>
    </row>
    <row r="329">
      <c r="A329" s="29" t="str">
        <f>'MASTER STOCK'!F326</f>
        <v>Footklem PVC 1 royal 3/4</v>
      </c>
      <c r="B329" s="30">
        <f>'JULI 25'!AJ329:AJ686</f>
        <v>2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23">
        <f t="shared" si="3"/>
        <v>0</v>
      </c>
      <c r="AI329" s="31">
        <f t="shared" si="4"/>
        <v>2</v>
      </c>
      <c r="AJ329" s="32">
        <f t="shared" si="5"/>
        <v>2</v>
      </c>
      <c r="AK329" s="32">
        <f t="shared" si="6"/>
        <v>0</v>
      </c>
      <c r="AL329" s="114">
        <f>'MASTER STOCK'!I326</f>
        <v>16500</v>
      </c>
      <c r="AM329" s="26">
        <f>'MASTER STOCK'!L326</f>
        <v>16500</v>
      </c>
      <c r="AN329" s="26">
        <f t="shared" si="7"/>
        <v>0</v>
      </c>
      <c r="AO329" s="26">
        <f t="shared" si="8"/>
        <v>0</v>
      </c>
      <c r="AP329" s="114">
        <f t="shared" si="9"/>
        <v>0</v>
      </c>
      <c r="AQ329" s="10"/>
    </row>
    <row r="330">
      <c r="A330" s="29" t="str">
        <f>'MASTER STOCK'!F327</f>
        <v>Footklem PVC 1 royal 1</v>
      </c>
      <c r="B330" s="30">
        <f>'JULI 25'!AJ330:AJ687</f>
        <v>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23">
        <f t="shared" si="3"/>
        <v>0</v>
      </c>
      <c r="AI330" s="31">
        <f t="shared" si="4"/>
        <v>1</v>
      </c>
      <c r="AJ330" s="32">
        <f t="shared" si="5"/>
        <v>1</v>
      </c>
      <c r="AK330" s="32">
        <f t="shared" si="6"/>
        <v>0</v>
      </c>
      <c r="AL330" s="114">
        <f>'MASTER STOCK'!I327</f>
        <v>17000</v>
      </c>
      <c r="AM330" s="26">
        <f>'MASTER STOCK'!L327</f>
        <v>17000</v>
      </c>
      <c r="AN330" s="26">
        <f t="shared" si="7"/>
        <v>0</v>
      </c>
      <c r="AO330" s="26">
        <f t="shared" si="8"/>
        <v>0</v>
      </c>
      <c r="AP330" s="114">
        <f t="shared" si="9"/>
        <v>0</v>
      </c>
      <c r="AQ330" s="10"/>
    </row>
    <row r="331">
      <c r="A331" s="29" t="str">
        <f>'MASTER STOCK'!F328</f>
        <v>Tinner 1/2liter</v>
      </c>
      <c r="B331" s="30">
        <f>'JULI 25'!AJ331:AJ688</f>
        <v>3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23">
        <f t="shared" si="3"/>
        <v>0</v>
      </c>
      <c r="AI331" s="31">
        <f t="shared" si="4"/>
        <v>3</v>
      </c>
      <c r="AJ331" s="32">
        <f t="shared" si="5"/>
        <v>3</v>
      </c>
      <c r="AK331" s="32">
        <f t="shared" si="6"/>
        <v>0</v>
      </c>
      <c r="AL331" s="114">
        <f>'MASTER STOCK'!I328</f>
        <v>20000</v>
      </c>
      <c r="AM331" s="26">
        <f>'MASTER STOCK'!L328</f>
        <v>20000</v>
      </c>
      <c r="AN331" s="26">
        <f t="shared" si="7"/>
        <v>0</v>
      </c>
      <c r="AO331" s="26">
        <f t="shared" si="8"/>
        <v>0</v>
      </c>
      <c r="AP331" s="114">
        <f t="shared" si="9"/>
        <v>0</v>
      </c>
      <c r="AQ331" s="10"/>
    </row>
    <row r="332">
      <c r="A332" s="29" t="str">
        <f>'MASTER STOCK'!F329</f>
        <v>Cat emco</v>
      </c>
      <c r="B332" s="30">
        <f>'JULI 25'!AJ332:AJ689</f>
        <v>3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23">
        <f t="shared" si="3"/>
        <v>0</v>
      </c>
      <c r="AI332" s="31">
        <f t="shared" si="4"/>
        <v>3</v>
      </c>
      <c r="AJ332" s="32">
        <f t="shared" si="5"/>
        <v>3</v>
      </c>
      <c r="AK332" s="32">
        <f t="shared" si="6"/>
        <v>0</v>
      </c>
      <c r="AL332" s="114">
        <f>'MASTER STOCK'!I329</f>
        <v>22000</v>
      </c>
      <c r="AM332" s="26">
        <f>'MASTER STOCK'!L329</f>
        <v>22000</v>
      </c>
      <c r="AN332" s="26">
        <f t="shared" si="7"/>
        <v>0</v>
      </c>
      <c r="AO332" s="26">
        <f t="shared" si="8"/>
        <v>0</v>
      </c>
      <c r="AP332" s="114">
        <f t="shared" si="9"/>
        <v>0</v>
      </c>
      <c r="AQ332" s="10"/>
    </row>
    <row r="333">
      <c r="A333" s="29" t="str">
        <f>'MASTER STOCK'!F330</f>
        <v>Cat kayu avian 25cc</v>
      </c>
      <c r="B333" s="30">
        <f>'JULI 25'!AJ333:AJ690</f>
        <v>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23">
        <f t="shared" si="3"/>
        <v>0</v>
      </c>
      <c r="AI333" s="31">
        <f t="shared" si="4"/>
        <v>1</v>
      </c>
      <c r="AJ333" s="32">
        <f t="shared" si="5"/>
        <v>1</v>
      </c>
      <c r="AK333" s="32">
        <f t="shared" si="6"/>
        <v>0</v>
      </c>
      <c r="AL333" s="114">
        <f>'MASTER STOCK'!I330</f>
        <v>5500</v>
      </c>
      <c r="AM333" s="26">
        <f>'MASTER STOCK'!L330</f>
        <v>5500</v>
      </c>
      <c r="AN333" s="26">
        <f t="shared" si="7"/>
        <v>0</v>
      </c>
      <c r="AO333" s="26">
        <f t="shared" si="8"/>
        <v>0</v>
      </c>
      <c r="AP333" s="114">
        <f t="shared" si="9"/>
        <v>0</v>
      </c>
      <c r="AQ333" s="10"/>
    </row>
    <row r="334">
      <c r="A334" s="29" t="str">
        <f>'MASTER STOCK'!F331</f>
        <v>Engsel Pintu</v>
      </c>
      <c r="B334" s="30">
        <f>'JULI 25'!AJ334:AJ691</f>
        <v>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23">
        <f t="shared" si="3"/>
        <v>0</v>
      </c>
      <c r="AI334" s="31">
        <f t="shared" si="4"/>
        <v>1</v>
      </c>
      <c r="AJ334" s="32">
        <f t="shared" si="5"/>
        <v>1</v>
      </c>
      <c r="AK334" s="32">
        <f t="shared" si="6"/>
        <v>0</v>
      </c>
      <c r="AL334" s="114">
        <f>'MASTER STOCK'!I331</f>
        <v>23000</v>
      </c>
      <c r="AM334" s="26">
        <f>'MASTER STOCK'!L331</f>
        <v>23000</v>
      </c>
      <c r="AN334" s="26">
        <f t="shared" si="7"/>
        <v>0</v>
      </c>
      <c r="AO334" s="26">
        <f t="shared" si="8"/>
        <v>0</v>
      </c>
      <c r="AP334" s="114">
        <f t="shared" si="9"/>
        <v>0</v>
      </c>
      <c r="AQ334" s="10"/>
    </row>
    <row r="335">
      <c r="A335" s="29" t="str">
        <f>'MASTER STOCK'!F332</f>
        <v>Lem tikus</v>
      </c>
      <c r="B335" s="30">
        <f>'JULI 25'!AJ335:AJ692</f>
        <v>2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23">
        <f t="shared" si="3"/>
        <v>0</v>
      </c>
      <c r="AI335" s="31">
        <f t="shared" si="4"/>
        <v>2</v>
      </c>
      <c r="AJ335" s="32">
        <f t="shared" si="5"/>
        <v>2</v>
      </c>
      <c r="AK335" s="32">
        <f t="shared" si="6"/>
        <v>0</v>
      </c>
      <c r="AL335" s="114">
        <f>'MASTER STOCK'!I332</f>
        <v>21000</v>
      </c>
      <c r="AM335" s="26">
        <f>'MASTER STOCK'!L332</f>
        <v>21000</v>
      </c>
      <c r="AN335" s="26">
        <f t="shared" si="7"/>
        <v>0</v>
      </c>
      <c r="AO335" s="26">
        <f t="shared" si="8"/>
        <v>0</v>
      </c>
      <c r="AP335" s="114">
        <f t="shared" si="9"/>
        <v>0</v>
      </c>
      <c r="AQ335" s="10"/>
    </row>
    <row r="336">
      <c r="A336" s="29" t="str">
        <f>'MASTER STOCK'!F333</f>
        <v>Catut 6"</v>
      </c>
      <c r="B336" s="30">
        <f>'JULI 25'!AJ336:AJ693</f>
        <v>6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23">
        <f t="shared" si="3"/>
        <v>0</v>
      </c>
      <c r="AI336" s="31">
        <f t="shared" si="4"/>
        <v>6</v>
      </c>
      <c r="AJ336" s="32">
        <f t="shared" si="5"/>
        <v>6</v>
      </c>
      <c r="AK336" s="32">
        <f t="shared" si="6"/>
        <v>0</v>
      </c>
      <c r="AL336" s="114">
        <f>'MASTER STOCK'!I333</f>
        <v>15000</v>
      </c>
      <c r="AM336" s="26">
        <f>'MASTER STOCK'!L333</f>
        <v>15000</v>
      </c>
      <c r="AN336" s="26">
        <f t="shared" si="7"/>
        <v>0</v>
      </c>
      <c r="AO336" s="26">
        <f t="shared" si="8"/>
        <v>0</v>
      </c>
      <c r="AP336" s="114">
        <f t="shared" si="9"/>
        <v>0</v>
      </c>
      <c r="AQ336" s="10"/>
    </row>
    <row r="337">
      <c r="A337" s="29" t="str">
        <f>'MASTER STOCK'!F334</f>
        <v>Catut 9"</v>
      </c>
      <c r="B337" s="30">
        <f>'JULI 25'!AJ337:AJ694</f>
        <v>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23">
        <f t="shared" si="3"/>
        <v>0</v>
      </c>
      <c r="AI337" s="31">
        <f t="shared" si="4"/>
        <v>1</v>
      </c>
      <c r="AJ337" s="32">
        <f t="shared" si="5"/>
        <v>1</v>
      </c>
      <c r="AK337" s="32">
        <f t="shared" si="6"/>
        <v>0</v>
      </c>
      <c r="AL337" s="114">
        <f>'MASTER STOCK'!I334</f>
        <v>17000</v>
      </c>
      <c r="AM337" s="26">
        <f>'MASTER STOCK'!L334</f>
        <v>17000</v>
      </c>
      <c r="AN337" s="26">
        <f t="shared" si="7"/>
        <v>0</v>
      </c>
      <c r="AO337" s="26">
        <f t="shared" si="8"/>
        <v>0</v>
      </c>
      <c r="AP337" s="114">
        <f t="shared" si="9"/>
        <v>0</v>
      </c>
      <c r="AQ337" s="10"/>
    </row>
    <row r="338">
      <c r="A338" s="29" t="str">
        <f>'MASTER STOCK'!F335</f>
        <v>Kunci  lemari/laci</v>
      </c>
      <c r="B338" s="30">
        <f>'JULI 25'!AJ338:AJ695</f>
        <v>10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23">
        <f t="shared" si="3"/>
        <v>0</v>
      </c>
      <c r="AI338" s="31">
        <f t="shared" si="4"/>
        <v>10</v>
      </c>
      <c r="AJ338" s="32">
        <f t="shared" si="5"/>
        <v>10</v>
      </c>
      <c r="AK338" s="32">
        <f t="shared" si="6"/>
        <v>0</v>
      </c>
      <c r="AL338" s="114">
        <f>'MASTER STOCK'!I335</f>
        <v>20000</v>
      </c>
      <c r="AM338" s="26">
        <f>'MASTER STOCK'!L335</f>
        <v>20000</v>
      </c>
      <c r="AN338" s="26">
        <f t="shared" si="7"/>
        <v>0</v>
      </c>
      <c r="AO338" s="26">
        <f t="shared" si="8"/>
        <v>0</v>
      </c>
      <c r="AP338" s="114">
        <f t="shared" si="9"/>
        <v>0</v>
      </c>
      <c r="AQ338" s="10"/>
    </row>
    <row r="339">
      <c r="A339" s="29" t="str">
        <f>'MASTER STOCK'!F336</f>
        <v>Microphone</v>
      </c>
      <c r="B339" s="30">
        <f>'JULI 25'!AJ339:AJ696</f>
        <v>3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23">
        <f t="shared" si="3"/>
        <v>0</v>
      </c>
      <c r="AI339" s="31">
        <f t="shared" si="4"/>
        <v>3</v>
      </c>
      <c r="AJ339" s="32">
        <f t="shared" si="5"/>
        <v>3</v>
      </c>
      <c r="AK339" s="32">
        <f t="shared" si="6"/>
        <v>0</v>
      </c>
      <c r="AL339" s="114">
        <f>'MASTER STOCK'!I336</f>
        <v>75000</v>
      </c>
      <c r="AM339" s="26">
        <f>'MASTER STOCK'!L336</f>
        <v>75000</v>
      </c>
      <c r="AN339" s="26">
        <f t="shared" si="7"/>
        <v>0</v>
      </c>
      <c r="AO339" s="26">
        <f t="shared" si="8"/>
        <v>0</v>
      </c>
      <c r="AP339" s="114">
        <f t="shared" si="9"/>
        <v>0</v>
      </c>
      <c r="AQ339" s="10"/>
    </row>
    <row r="340">
      <c r="A340" s="29" t="str">
        <f>'MASTER STOCK'!F337</f>
        <v>Isolasi kecil</v>
      </c>
      <c r="B340" s="30">
        <f>'JULI 25'!AJ340:AJ697</f>
        <v>2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23">
        <f t="shared" si="3"/>
        <v>0</v>
      </c>
      <c r="AI340" s="31">
        <f t="shared" si="4"/>
        <v>2</v>
      </c>
      <c r="AJ340" s="32">
        <f t="shared" si="5"/>
        <v>2</v>
      </c>
      <c r="AK340" s="32">
        <f t="shared" si="6"/>
        <v>0</v>
      </c>
      <c r="AL340" s="114">
        <f>'MASTER STOCK'!I337</f>
        <v>3000</v>
      </c>
      <c r="AM340" s="26">
        <f>'MASTER STOCK'!L337</f>
        <v>3000</v>
      </c>
      <c r="AN340" s="26">
        <f t="shared" si="7"/>
        <v>0</v>
      </c>
      <c r="AO340" s="26">
        <f t="shared" si="8"/>
        <v>0</v>
      </c>
      <c r="AP340" s="114">
        <f t="shared" si="9"/>
        <v>0</v>
      </c>
      <c r="AQ340" s="10"/>
    </row>
    <row r="341">
      <c r="A341" s="29" t="str">
        <f>'MASTER STOCK'!F338</f>
        <v>Lakban coklat</v>
      </c>
      <c r="B341" s="30">
        <f>'JULI 25'!AJ341:AJ698</f>
        <v>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23">
        <f t="shared" si="3"/>
        <v>0</v>
      </c>
      <c r="AI341" s="31">
        <f t="shared" si="4"/>
        <v>1</v>
      </c>
      <c r="AJ341" s="32">
        <f t="shared" si="5"/>
        <v>1</v>
      </c>
      <c r="AK341" s="32">
        <f t="shared" si="6"/>
        <v>0</v>
      </c>
      <c r="AL341" s="114">
        <f>'MASTER STOCK'!I338</f>
        <v>15000</v>
      </c>
      <c r="AM341" s="26">
        <f>'MASTER STOCK'!L338</f>
        <v>15000</v>
      </c>
      <c r="AN341" s="26">
        <f t="shared" si="7"/>
        <v>0</v>
      </c>
      <c r="AO341" s="26">
        <f t="shared" si="8"/>
        <v>0</v>
      </c>
      <c r="AP341" s="114">
        <f t="shared" si="9"/>
        <v>0</v>
      </c>
      <c r="AQ341" s="10"/>
    </row>
    <row r="342">
      <c r="A342" s="29" t="str">
        <f>'MASTER STOCK'!F339</f>
        <v>Fiberglass tape</v>
      </c>
      <c r="B342" s="30">
        <f>'JULI 25'!AJ342:AJ699</f>
        <v>5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23">
        <f t="shared" si="3"/>
        <v>0</v>
      </c>
      <c r="AI342" s="31">
        <f t="shared" si="4"/>
        <v>5</v>
      </c>
      <c r="AJ342" s="32">
        <f t="shared" si="5"/>
        <v>5</v>
      </c>
      <c r="AK342" s="32">
        <f t="shared" si="6"/>
        <v>0</v>
      </c>
      <c r="AL342" s="114">
        <f>'MASTER STOCK'!I339</f>
        <v>10000</v>
      </c>
      <c r="AM342" s="26">
        <f>'MASTER STOCK'!L339</f>
        <v>10000</v>
      </c>
      <c r="AN342" s="26">
        <f t="shared" si="7"/>
        <v>0</v>
      </c>
      <c r="AO342" s="26">
        <f t="shared" si="8"/>
        <v>0</v>
      </c>
      <c r="AP342" s="114">
        <f t="shared" si="9"/>
        <v>0</v>
      </c>
      <c r="AQ342" s="10"/>
    </row>
    <row r="343">
      <c r="A343" s="29" t="str">
        <f>'MASTER STOCK'!F340</f>
        <v>Gembok 40m</v>
      </c>
      <c r="B343" s="30">
        <f>'JULI 25'!AJ343:AJ700</f>
        <v>4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23">
        <f t="shared" si="3"/>
        <v>0</v>
      </c>
      <c r="AI343" s="31">
        <f t="shared" si="4"/>
        <v>4</v>
      </c>
      <c r="AJ343" s="32">
        <f t="shared" si="5"/>
        <v>4</v>
      </c>
      <c r="AK343" s="32">
        <f t="shared" si="6"/>
        <v>0</v>
      </c>
      <c r="AL343" s="114">
        <f>'MASTER STOCK'!I340</f>
        <v>18000</v>
      </c>
      <c r="AM343" s="26">
        <f>'MASTER STOCK'!L340</f>
        <v>18000</v>
      </c>
      <c r="AN343" s="26">
        <f t="shared" si="7"/>
        <v>0</v>
      </c>
      <c r="AO343" s="26">
        <f t="shared" si="8"/>
        <v>0</v>
      </c>
      <c r="AP343" s="114">
        <f t="shared" si="9"/>
        <v>0</v>
      </c>
      <c r="AQ343" s="10"/>
    </row>
    <row r="344">
      <c r="A344" s="29" t="str">
        <f>'MASTER STOCK'!F341</f>
        <v>Gembok 35 m</v>
      </c>
      <c r="B344" s="30">
        <f>'JULI 25'!AJ344:AJ701</f>
        <v>2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23">
        <f t="shared" si="3"/>
        <v>0</v>
      </c>
      <c r="AI344" s="31">
        <f t="shared" si="4"/>
        <v>2</v>
      </c>
      <c r="AJ344" s="32">
        <f t="shared" si="5"/>
        <v>2</v>
      </c>
      <c r="AK344" s="32">
        <f t="shared" si="6"/>
        <v>0</v>
      </c>
      <c r="AL344" s="114">
        <f>'MASTER STOCK'!I341</f>
        <v>15000</v>
      </c>
      <c r="AM344" s="26">
        <f>'MASTER STOCK'!L341</f>
        <v>15000</v>
      </c>
      <c r="AN344" s="26">
        <f t="shared" si="7"/>
        <v>0</v>
      </c>
      <c r="AO344" s="26">
        <f t="shared" si="8"/>
        <v>0</v>
      </c>
      <c r="AP344" s="114">
        <f t="shared" si="9"/>
        <v>0</v>
      </c>
      <c r="AQ344" s="10"/>
    </row>
    <row r="345">
      <c r="A345" s="29" t="str">
        <f>'MASTER STOCK'!F342</f>
        <v>Gembok 25mm</v>
      </c>
      <c r="B345" s="30">
        <f>'JULI 25'!AJ345:AJ702</f>
        <v>3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23">
        <f t="shared" si="3"/>
        <v>0</v>
      </c>
      <c r="AI345" s="31">
        <f t="shared" si="4"/>
        <v>3</v>
      </c>
      <c r="AJ345" s="32">
        <f t="shared" si="5"/>
        <v>3</v>
      </c>
      <c r="AK345" s="32">
        <f t="shared" si="6"/>
        <v>0</v>
      </c>
      <c r="AL345" s="114">
        <f>'MASTER STOCK'!I342</f>
        <v>13000</v>
      </c>
      <c r="AM345" s="26">
        <f>'MASTER STOCK'!L342</f>
        <v>13000</v>
      </c>
      <c r="AN345" s="26">
        <f t="shared" si="7"/>
        <v>0</v>
      </c>
      <c r="AO345" s="26">
        <f t="shared" si="8"/>
        <v>0</v>
      </c>
      <c r="AP345" s="114">
        <f t="shared" si="9"/>
        <v>0</v>
      </c>
      <c r="AQ345" s="10"/>
    </row>
    <row r="346">
      <c r="A346" s="29" t="str">
        <f>'MASTER STOCK'!F343</f>
        <v>Microphone mini clip</v>
      </c>
      <c r="B346" s="30">
        <f>'JULI 25'!AJ346:AJ703</f>
        <v>2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23">
        <f t="shared" si="3"/>
        <v>0</v>
      </c>
      <c r="AI346" s="31">
        <f t="shared" si="4"/>
        <v>2</v>
      </c>
      <c r="AJ346" s="32">
        <f t="shared" si="5"/>
        <v>2</v>
      </c>
      <c r="AK346" s="32">
        <f t="shared" si="6"/>
        <v>0</v>
      </c>
      <c r="AL346" s="114">
        <f>'MASTER STOCK'!I343</f>
        <v>135000</v>
      </c>
      <c r="AM346" s="26">
        <f>'MASTER STOCK'!L343</f>
        <v>135000</v>
      </c>
      <c r="AN346" s="26">
        <f t="shared" si="7"/>
        <v>0</v>
      </c>
      <c r="AO346" s="26">
        <f t="shared" si="8"/>
        <v>0</v>
      </c>
      <c r="AP346" s="114">
        <f t="shared" si="9"/>
        <v>0</v>
      </c>
      <c r="AQ346" s="10"/>
    </row>
    <row r="347">
      <c r="A347" s="29" t="str">
        <f>'MASTER STOCK'!F344</f>
        <v>Double tip foam hitam</v>
      </c>
      <c r="B347" s="30">
        <f>'JULI 25'!AJ347:AJ704</f>
        <v>3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23">
        <f t="shared" si="3"/>
        <v>0</v>
      </c>
      <c r="AI347" s="31">
        <f t="shared" si="4"/>
        <v>3</v>
      </c>
      <c r="AJ347" s="32">
        <f t="shared" si="5"/>
        <v>3</v>
      </c>
      <c r="AK347" s="32">
        <f t="shared" si="6"/>
        <v>0</v>
      </c>
      <c r="AL347" s="114">
        <f>'MASTER STOCK'!I344</f>
        <v>6000</v>
      </c>
      <c r="AM347" s="26">
        <f>'MASTER STOCK'!L344</f>
        <v>6000</v>
      </c>
      <c r="AN347" s="26">
        <f t="shared" si="7"/>
        <v>0</v>
      </c>
      <c r="AO347" s="26">
        <f t="shared" si="8"/>
        <v>0</v>
      </c>
      <c r="AP347" s="114">
        <f t="shared" si="9"/>
        <v>0</v>
      </c>
      <c r="AQ347" s="10"/>
    </row>
    <row r="348">
      <c r="A348" s="29" t="str">
        <f>'MASTER STOCK'!F345</f>
        <v>amplass</v>
      </c>
      <c r="B348" s="30">
        <f>'JULI 25'!AJ348:AJ705</f>
        <v>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23">
        <f t="shared" si="3"/>
        <v>0</v>
      </c>
      <c r="AI348" s="31">
        <f t="shared" si="4"/>
        <v>1</v>
      </c>
      <c r="AJ348" s="32">
        <f t="shared" si="5"/>
        <v>1</v>
      </c>
      <c r="AK348" s="32">
        <f t="shared" si="6"/>
        <v>0</v>
      </c>
      <c r="AL348" s="114">
        <f>'MASTER STOCK'!I345</f>
        <v>7000</v>
      </c>
      <c r="AM348" s="26">
        <f>'MASTER STOCK'!L345</f>
        <v>7000</v>
      </c>
      <c r="AN348" s="26">
        <f t="shared" si="7"/>
        <v>0</v>
      </c>
      <c r="AO348" s="26">
        <f t="shared" si="8"/>
        <v>0</v>
      </c>
      <c r="AP348" s="114">
        <f t="shared" si="9"/>
        <v>0</v>
      </c>
      <c r="AQ348" s="10"/>
    </row>
    <row r="349">
      <c r="A349" s="29" t="str">
        <f>'MASTER STOCK'!F346</f>
        <v>Tie clip microphone</v>
      </c>
      <c r="B349" s="30">
        <f>'JULI 25'!AJ349:AJ706</f>
        <v>2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23">
        <f t="shared" si="3"/>
        <v>0</v>
      </c>
      <c r="AI349" s="31">
        <f t="shared" si="4"/>
        <v>2</v>
      </c>
      <c r="AJ349" s="32">
        <f t="shared" si="5"/>
        <v>2</v>
      </c>
      <c r="AK349" s="32">
        <f t="shared" si="6"/>
        <v>0</v>
      </c>
      <c r="AL349" s="114">
        <f>'MASTER STOCK'!I346</f>
        <v>125000</v>
      </c>
      <c r="AM349" s="26">
        <f>'MASTER STOCK'!L346</f>
        <v>125000</v>
      </c>
      <c r="AN349" s="26">
        <f t="shared" si="7"/>
        <v>0</v>
      </c>
      <c r="AO349" s="26">
        <f t="shared" si="8"/>
        <v>0</v>
      </c>
      <c r="AP349" s="114">
        <f t="shared" si="9"/>
        <v>0</v>
      </c>
      <c r="AQ349" s="10"/>
    </row>
    <row r="350">
      <c r="A350" s="29" t="str">
        <f>'MASTER STOCK'!F347</f>
        <v>Selot besar / grendel 3"</v>
      </c>
      <c r="B350" s="30">
        <f>'JULI 25'!AJ350:AJ707</f>
        <v>3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23">
        <f t="shared" si="3"/>
        <v>0</v>
      </c>
      <c r="AI350" s="31">
        <f t="shared" si="4"/>
        <v>3</v>
      </c>
      <c r="AJ350" s="32">
        <f t="shared" si="5"/>
        <v>3</v>
      </c>
      <c r="AK350" s="32">
        <f t="shared" si="6"/>
        <v>0</v>
      </c>
      <c r="AL350" s="114">
        <f>'MASTER STOCK'!I347</f>
        <v>11000</v>
      </c>
      <c r="AM350" s="26">
        <f>'MASTER STOCK'!L347</f>
        <v>11000</v>
      </c>
      <c r="AN350" s="26">
        <f t="shared" si="7"/>
        <v>0</v>
      </c>
      <c r="AO350" s="26">
        <f t="shared" si="8"/>
        <v>0</v>
      </c>
      <c r="AP350" s="114">
        <f t="shared" si="9"/>
        <v>0</v>
      </c>
      <c r="AQ350" s="10"/>
    </row>
    <row r="351">
      <c r="A351" s="29" t="str">
        <f>'MASTER STOCK'!F348</f>
        <v>Tee dos</v>
      </c>
      <c r="B351" s="30">
        <f>'JULI 25'!AJ351:AJ708</f>
        <v>8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23">
        <f t="shared" si="3"/>
        <v>0</v>
      </c>
      <c r="AI351" s="31">
        <f t="shared" si="4"/>
        <v>8</v>
      </c>
      <c r="AJ351" s="32">
        <f t="shared" si="5"/>
        <v>8</v>
      </c>
      <c r="AK351" s="32">
        <f t="shared" si="6"/>
        <v>0</v>
      </c>
      <c r="AL351" s="114">
        <f>'MASTER STOCK'!I348</f>
        <v>3000</v>
      </c>
      <c r="AM351" s="26">
        <f>'MASTER STOCK'!L348</f>
        <v>3000</v>
      </c>
      <c r="AN351" s="26">
        <f t="shared" si="7"/>
        <v>0</v>
      </c>
      <c r="AO351" s="26">
        <f t="shared" si="8"/>
        <v>0</v>
      </c>
      <c r="AP351" s="114">
        <f t="shared" si="9"/>
        <v>0</v>
      </c>
      <c r="AQ351" s="10"/>
    </row>
    <row r="352">
      <c r="A352" s="29" t="str">
        <f>'MASTER STOCK'!F349</f>
        <v>Double tip foam putih</v>
      </c>
      <c r="B352" s="30">
        <f>'JULI 25'!AJ352:AJ709</f>
        <v>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23">
        <f t="shared" si="3"/>
        <v>0</v>
      </c>
      <c r="AI352" s="31">
        <f t="shared" si="4"/>
        <v>1</v>
      </c>
      <c r="AJ352" s="32">
        <f t="shared" si="5"/>
        <v>1</v>
      </c>
      <c r="AK352" s="32">
        <f t="shared" si="6"/>
        <v>0</v>
      </c>
      <c r="AL352" s="114">
        <f>'MASTER STOCK'!I349</f>
        <v>2500</v>
      </c>
      <c r="AM352" s="26">
        <f>'MASTER STOCK'!L349</f>
        <v>2500</v>
      </c>
      <c r="AN352" s="26">
        <f t="shared" si="7"/>
        <v>0</v>
      </c>
      <c r="AO352" s="26">
        <f t="shared" si="8"/>
        <v>0</v>
      </c>
      <c r="AP352" s="114">
        <f t="shared" si="9"/>
        <v>0</v>
      </c>
      <c r="AQ352" s="10"/>
    </row>
    <row r="353">
      <c r="A353" s="29" t="str">
        <f>'MASTER STOCK'!F350</f>
        <v>pegangan pintu putih </v>
      </c>
      <c r="B353" s="30">
        <f>'JULI 25'!AJ353:AJ710</f>
        <v>2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23">
        <f t="shared" si="3"/>
        <v>0</v>
      </c>
      <c r="AI353" s="31">
        <f t="shared" si="4"/>
        <v>2</v>
      </c>
      <c r="AJ353" s="32">
        <f t="shared" si="5"/>
        <v>2</v>
      </c>
      <c r="AK353" s="32">
        <f t="shared" si="6"/>
        <v>0</v>
      </c>
      <c r="AL353" s="114">
        <f>'MASTER STOCK'!I350</f>
        <v>16000</v>
      </c>
      <c r="AM353" s="26">
        <f>'MASTER STOCK'!L350</f>
        <v>16000</v>
      </c>
      <c r="AN353" s="26">
        <f t="shared" si="7"/>
        <v>0</v>
      </c>
      <c r="AO353" s="26">
        <f t="shared" si="8"/>
        <v>0</v>
      </c>
      <c r="AP353" s="114">
        <f t="shared" si="9"/>
        <v>0</v>
      </c>
      <c r="AQ353" s="10"/>
    </row>
    <row r="354">
      <c r="A354" s="20" t="str">
        <f>'MASTER STOCK'!F351</f>
        <v>INBOW DUS</v>
      </c>
      <c r="B354" s="21">
        <f>'JULI 25'!AJ354:AJ711</f>
        <v>20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23">
        <f t="shared" si="3"/>
        <v>0</v>
      </c>
      <c r="AI354" s="24">
        <f t="shared" si="4"/>
        <v>20</v>
      </c>
      <c r="AJ354" s="23">
        <f t="shared" si="5"/>
        <v>20</v>
      </c>
      <c r="AK354" s="23">
        <f t="shared" si="6"/>
        <v>0</v>
      </c>
      <c r="AL354" s="114">
        <f>'MASTER STOCK'!I351</f>
        <v>500</v>
      </c>
      <c r="AM354" s="26">
        <f>'MASTER STOCK'!L351</f>
        <v>1000</v>
      </c>
      <c r="AN354" s="26">
        <f t="shared" si="7"/>
        <v>0</v>
      </c>
      <c r="AO354" s="26">
        <f t="shared" si="8"/>
        <v>0</v>
      </c>
      <c r="AP354" s="114">
        <f t="shared" si="9"/>
        <v>0</v>
      </c>
      <c r="AQ354" s="10"/>
    </row>
    <row r="355">
      <c r="A355" s="20" t="str">
        <f>'MASTER STOCK'!F352</f>
        <v>TEE DOS</v>
      </c>
      <c r="B355" s="21">
        <f>'JULI 25'!AJ355:AJ712</f>
        <v>20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23">
        <f t="shared" si="3"/>
        <v>0</v>
      </c>
      <c r="AI355" s="24">
        <f t="shared" si="4"/>
        <v>20</v>
      </c>
      <c r="AJ355" s="23">
        <f t="shared" si="5"/>
        <v>20</v>
      </c>
      <c r="AK355" s="23">
        <f t="shared" si="6"/>
        <v>0</v>
      </c>
      <c r="AL355" s="114">
        <f>'MASTER STOCK'!I352</f>
        <v>500</v>
      </c>
      <c r="AM355" s="26">
        <f>'MASTER STOCK'!L352</f>
        <v>1500</v>
      </c>
      <c r="AN355" s="26">
        <f t="shared" si="7"/>
        <v>0</v>
      </c>
      <c r="AO355" s="26">
        <f t="shared" si="8"/>
        <v>0</v>
      </c>
      <c r="AP355" s="114">
        <f t="shared" si="9"/>
        <v>0</v>
      </c>
      <c r="AQ355" s="10"/>
    </row>
    <row r="356">
      <c r="A356" s="20" t="str">
        <f>'MASTER STOCK'!F353</f>
        <v>LEM TEMBAK</v>
      </c>
      <c r="B356" s="21">
        <f>'JULI 25'!AJ356:AJ713</f>
        <v>74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23">
        <f t="shared" si="3"/>
        <v>0</v>
      </c>
      <c r="AI356" s="24">
        <f t="shared" si="4"/>
        <v>74</v>
      </c>
      <c r="AJ356" s="23">
        <f t="shared" si="5"/>
        <v>74</v>
      </c>
      <c r="AK356" s="23">
        <f t="shared" si="6"/>
        <v>0</v>
      </c>
      <c r="AL356" s="114">
        <f>'MASTER STOCK'!I353</f>
        <v>700</v>
      </c>
      <c r="AM356" s="26">
        <f>'MASTER STOCK'!L353</f>
        <v>1500</v>
      </c>
      <c r="AN356" s="26">
        <f t="shared" si="7"/>
        <v>0</v>
      </c>
      <c r="AO356" s="26">
        <f t="shared" si="8"/>
        <v>0</v>
      </c>
      <c r="AP356" s="114">
        <f t="shared" si="9"/>
        <v>0</v>
      </c>
      <c r="AQ356" s="10"/>
    </row>
    <row r="357">
      <c r="A357" s="20" t="str">
        <f>'MASTER STOCK'!F354</f>
        <v>STOP KONTAK BROCO TANAM</v>
      </c>
      <c r="B357" s="21">
        <f>'JULI 25'!AJ357:AJ714</f>
        <v>3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23">
        <f t="shared" si="3"/>
        <v>0</v>
      </c>
      <c r="AI357" s="24">
        <f t="shared" si="4"/>
        <v>3</v>
      </c>
      <c r="AJ357" s="23">
        <f t="shared" si="5"/>
        <v>3</v>
      </c>
      <c r="AK357" s="23">
        <f t="shared" si="6"/>
        <v>0</v>
      </c>
      <c r="AL357" s="114">
        <f>'MASTER STOCK'!I354</f>
        <v>13500</v>
      </c>
      <c r="AM357" s="26">
        <f>'MASTER STOCK'!L354</f>
        <v>16000</v>
      </c>
      <c r="AN357" s="26">
        <f t="shared" si="7"/>
        <v>0</v>
      </c>
      <c r="AO357" s="26">
        <f t="shared" si="8"/>
        <v>0</v>
      </c>
      <c r="AP357" s="114">
        <f t="shared" si="9"/>
        <v>0</v>
      </c>
      <c r="AQ357" s="10"/>
    </row>
    <row r="358">
      <c r="A358" s="20" t="str">
        <f>'MASTER STOCK'!F355</f>
        <v>STOP KONTAK TANAM PANASONIC</v>
      </c>
      <c r="B358" s="21">
        <f>'JULI 25'!AJ358:AJ715</f>
        <v>3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23">
        <f t="shared" si="3"/>
        <v>0</v>
      </c>
      <c r="AI358" s="24">
        <f t="shared" si="4"/>
        <v>3</v>
      </c>
      <c r="AJ358" s="23">
        <f t="shared" si="5"/>
        <v>3</v>
      </c>
      <c r="AK358" s="23">
        <f t="shared" si="6"/>
        <v>0</v>
      </c>
      <c r="AL358" s="114">
        <f>'MASTER STOCK'!I355</f>
        <v>15000</v>
      </c>
      <c r="AM358" s="26">
        <f>'MASTER STOCK'!L355</f>
        <v>18000</v>
      </c>
      <c r="AN358" s="26">
        <f t="shared" si="7"/>
        <v>0</v>
      </c>
      <c r="AO358" s="26">
        <f t="shared" si="8"/>
        <v>0</v>
      </c>
      <c r="AP358" s="114">
        <f t="shared" si="9"/>
        <v>0</v>
      </c>
      <c r="AQ358" s="10"/>
    </row>
    <row r="359">
      <c r="A359" s="20" t="str">
        <f>'MASTER STOCK'!F356</f>
        <v>STOP KONTAK INBOW TANAM</v>
      </c>
      <c r="B359" s="21">
        <f>'JULI 25'!AJ359:AJ716</f>
        <v>5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23">
        <f t="shared" si="3"/>
        <v>0</v>
      </c>
      <c r="AI359" s="24">
        <f t="shared" si="4"/>
        <v>5</v>
      </c>
      <c r="AJ359" s="23">
        <f t="shared" si="5"/>
        <v>5</v>
      </c>
      <c r="AK359" s="23">
        <f t="shared" si="6"/>
        <v>0</v>
      </c>
      <c r="AL359" s="114">
        <f>'MASTER STOCK'!I356</f>
        <v>6400</v>
      </c>
      <c r="AM359" s="26">
        <f>'MASTER STOCK'!L356</f>
        <v>11000</v>
      </c>
      <c r="AN359" s="26">
        <f t="shared" si="7"/>
        <v>0</v>
      </c>
      <c r="AO359" s="26">
        <f t="shared" si="8"/>
        <v>0</v>
      </c>
      <c r="AP359" s="114">
        <f t="shared" si="9"/>
        <v>0</v>
      </c>
      <c r="AQ359" s="10"/>
    </row>
    <row r="360">
      <c r="A360" s="20" t="str">
        <f>'MASTER STOCK'!F357</f>
        <v>SAKLAR3 CABANG (TEE)</v>
      </c>
      <c r="B360" s="21">
        <f>'JULI 25'!AJ360:AJ717</f>
        <v>2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23">
        <f t="shared" si="3"/>
        <v>0</v>
      </c>
      <c r="AI360" s="24">
        <f t="shared" si="4"/>
        <v>2</v>
      </c>
      <c r="AJ360" s="23">
        <f t="shared" si="5"/>
        <v>2</v>
      </c>
      <c r="AK360" s="23">
        <f t="shared" si="6"/>
        <v>0</v>
      </c>
      <c r="AL360" s="114">
        <f>'MASTER STOCK'!I357</f>
        <v>17500</v>
      </c>
      <c r="AM360" s="26">
        <f>'MASTER STOCK'!L357</f>
        <v>18000</v>
      </c>
      <c r="AN360" s="26">
        <f t="shared" si="7"/>
        <v>0</v>
      </c>
      <c r="AO360" s="26">
        <f t="shared" si="8"/>
        <v>0</v>
      </c>
      <c r="AP360" s="114">
        <f t="shared" si="9"/>
        <v>0</v>
      </c>
      <c r="AQ360" s="10"/>
    </row>
    <row r="361">
      <c r="A361" s="20" t="str">
        <f>'MASTER STOCK'!F358</f>
        <v>SAKLAR HOKSUN 3 LUBANG</v>
      </c>
      <c r="B361" s="21">
        <f>'JULI 25'!AJ361:AJ718</f>
        <v>2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23">
        <f t="shared" si="3"/>
        <v>0</v>
      </c>
      <c r="AI361" s="24">
        <f t="shared" si="4"/>
        <v>2</v>
      </c>
      <c r="AJ361" s="23">
        <f t="shared" si="5"/>
        <v>2</v>
      </c>
      <c r="AK361" s="23">
        <f t="shared" si="6"/>
        <v>0</v>
      </c>
      <c r="AL361" s="114">
        <f>'MASTER STOCK'!I358</f>
        <v>15750</v>
      </c>
      <c r="AM361" s="26">
        <f>'MASTER STOCK'!L358</f>
        <v>22000</v>
      </c>
      <c r="AN361" s="26">
        <f t="shared" si="7"/>
        <v>0</v>
      </c>
      <c r="AO361" s="26">
        <f t="shared" si="8"/>
        <v>0</v>
      </c>
      <c r="AP361" s="114">
        <f t="shared" si="9"/>
        <v>0</v>
      </c>
      <c r="AQ361" s="10"/>
    </row>
    <row r="362">
      <c r="A362" s="20" t="str">
        <f>'MASTER STOCK'!F359</f>
        <v>SAKLAR TRM 4 LUBANG</v>
      </c>
      <c r="B362" s="21">
        <f>'JULI 25'!AJ362:AJ719</f>
        <v>2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23">
        <f t="shared" si="3"/>
        <v>0</v>
      </c>
      <c r="AI362" s="24">
        <f t="shared" si="4"/>
        <v>2</v>
      </c>
      <c r="AJ362" s="23">
        <f t="shared" si="5"/>
        <v>2</v>
      </c>
      <c r="AK362" s="23">
        <f t="shared" si="6"/>
        <v>0</v>
      </c>
      <c r="AL362" s="114">
        <f>'MASTER STOCK'!I359</f>
        <v>19750</v>
      </c>
      <c r="AM362" s="26">
        <f>'MASTER STOCK'!L359</f>
        <v>26000</v>
      </c>
      <c r="AN362" s="26">
        <f t="shared" si="7"/>
        <v>0</v>
      </c>
      <c r="AO362" s="26">
        <f t="shared" si="8"/>
        <v>0</v>
      </c>
      <c r="AP362" s="114">
        <f t="shared" si="9"/>
        <v>0</v>
      </c>
      <c r="AQ362" s="10"/>
    </row>
    <row r="363">
      <c r="A363" s="20" t="str">
        <f>'MASTER STOCK'!F360</f>
        <v>SEMEN MERAH PUTIH</v>
      </c>
      <c r="B363" s="21">
        <f>'JULI 25'!AJ363:AJ720</f>
        <v>5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23">
        <f t="shared" si="3"/>
        <v>0</v>
      </c>
      <c r="AI363" s="24">
        <f t="shared" si="4"/>
        <v>5</v>
      </c>
      <c r="AJ363" s="23">
        <f t="shared" si="5"/>
        <v>5</v>
      </c>
      <c r="AK363" s="23">
        <f t="shared" si="6"/>
        <v>0</v>
      </c>
      <c r="AL363" s="114">
        <f>'MASTER STOCK'!I360</f>
        <v>41000</v>
      </c>
      <c r="AM363" s="26">
        <f>'MASTER STOCK'!L360</f>
        <v>42000</v>
      </c>
      <c r="AN363" s="26">
        <f t="shared" si="7"/>
        <v>0</v>
      </c>
      <c r="AO363" s="26">
        <f t="shared" si="8"/>
        <v>0</v>
      </c>
      <c r="AP363" s="114">
        <f t="shared" si="9"/>
        <v>0</v>
      </c>
      <c r="AQ363" s="10"/>
    </row>
    <row r="364">
      <c r="A364" s="20" t="str">
        <f>'MASTER STOCK'!F361</f>
        <v>SEMEN SINGA MERAH</v>
      </c>
      <c r="B364" s="21">
        <f>'JULI 25'!AJ364:AJ721</f>
        <v>5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23">
        <f t="shared" si="3"/>
        <v>0</v>
      </c>
      <c r="AI364" s="24">
        <f t="shared" si="4"/>
        <v>5</v>
      </c>
      <c r="AJ364" s="23">
        <f t="shared" si="5"/>
        <v>5</v>
      </c>
      <c r="AK364" s="23">
        <f t="shared" si="6"/>
        <v>0</v>
      </c>
      <c r="AL364" s="114">
        <f>'MASTER STOCK'!I361</f>
        <v>43000</v>
      </c>
      <c r="AM364" s="26">
        <f>'MASTER STOCK'!L361</f>
        <v>44000</v>
      </c>
      <c r="AN364" s="26">
        <f t="shared" si="7"/>
        <v>0</v>
      </c>
      <c r="AO364" s="26">
        <f t="shared" si="8"/>
        <v>0</v>
      </c>
      <c r="AP364" s="114">
        <f t="shared" si="9"/>
        <v>0</v>
      </c>
      <c r="AQ364" s="10"/>
    </row>
    <row r="365">
      <c r="A365" s="20" t="str">
        <f>'MASTER STOCK'!F362</f>
        <v>WATERMUR 3/4</v>
      </c>
      <c r="B365" s="21">
        <f>'JULI 25'!AJ365:AJ722</f>
        <v>5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23">
        <f t="shared" si="3"/>
        <v>0</v>
      </c>
      <c r="AI365" s="24">
        <f t="shared" si="4"/>
        <v>5</v>
      </c>
      <c r="AJ365" s="23">
        <f t="shared" si="5"/>
        <v>5</v>
      </c>
      <c r="AK365" s="23">
        <f t="shared" si="6"/>
        <v>0</v>
      </c>
      <c r="AL365" s="114">
        <f>'MASTER STOCK'!I362</f>
        <v>4700</v>
      </c>
      <c r="AM365" s="26">
        <f>'MASTER STOCK'!L362</f>
        <v>7000</v>
      </c>
      <c r="AN365" s="26">
        <f t="shared" si="7"/>
        <v>0</v>
      </c>
      <c r="AO365" s="26">
        <f t="shared" si="8"/>
        <v>0</v>
      </c>
      <c r="AP365" s="114">
        <f t="shared" si="9"/>
        <v>0</v>
      </c>
      <c r="AQ365" s="10"/>
    </row>
    <row r="366">
      <c r="A366" s="20" t="str">
        <f>'MASTER STOCK'!F363</f>
        <v>SOLDER GAGANG KAYU 40W</v>
      </c>
      <c r="B366" s="21">
        <f>'JULI 25'!AJ366:AJ723</f>
        <v>5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23">
        <f t="shared" si="3"/>
        <v>0</v>
      </c>
      <c r="AI366" s="24">
        <f t="shared" si="4"/>
        <v>5</v>
      </c>
      <c r="AJ366" s="23">
        <f t="shared" si="5"/>
        <v>5</v>
      </c>
      <c r="AK366" s="23">
        <f t="shared" si="6"/>
        <v>0</v>
      </c>
      <c r="AL366" s="114">
        <f>'MASTER STOCK'!I363</f>
        <v>9000</v>
      </c>
      <c r="AM366" s="26">
        <f>'MASTER STOCK'!L363</f>
        <v>12000</v>
      </c>
      <c r="AN366" s="26">
        <f t="shared" si="7"/>
        <v>0</v>
      </c>
      <c r="AO366" s="26">
        <f t="shared" si="8"/>
        <v>0</v>
      </c>
      <c r="AP366" s="114">
        <f t="shared" si="9"/>
        <v>0</v>
      </c>
      <c r="AQ366" s="10"/>
    </row>
    <row r="367">
      <c r="A367" s="20" t="str">
        <f>'MASTER STOCK'!F364</f>
        <v>KUAS GRT 3"</v>
      </c>
      <c r="B367" s="21">
        <f>'JULI 25'!AI367:AI481</f>
        <v>12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23">
        <f t="shared" si="3"/>
        <v>0</v>
      </c>
      <c r="AI367" s="24">
        <f t="shared" si="4"/>
        <v>12</v>
      </c>
      <c r="AJ367" s="23">
        <f t="shared" si="5"/>
        <v>12</v>
      </c>
      <c r="AK367" s="23">
        <f t="shared" si="6"/>
        <v>0</v>
      </c>
      <c r="AL367" s="114">
        <f>'MASTER STOCK'!I364</f>
        <v>4000</v>
      </c>
      <c r="AM367" s="26">
        <f>'MASTER STOCK'!L364</f>
        <v>7500</v>
      </c>
      <c r="AN367" s="26">
        <f t="shared" si="7"/>
        <v>0</v>
      </c>
      <c r="AO367" s="26">
        <f t="shared" si="8"/>
        <v>0</v>
      </c>
      <c r="AP367" s="114">
        <f t="shared" si="9"/>
        <v>0</v>
      </c>
      <c r="AQ367" s="10"/>
    </row>
    <row r="368">
      <c r="A368" s="20" t="str">
        <f>'MASTER STOCK'!F365</f>
        <v>PENGAMAN REGULATOR</v>
      </c>
      <c r="B368" s="21">
        <f>'JULI 25'!AI368:AI482</f>
        <v>3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23">
        <f t="shared" si="3"/>
        <v>0</v>
      </c>
      <c r="AI368" s="24">
        <f t="shared" si="4"/>
        <v>3</v>
      </c>
      <c r="AJ368" s="23">
        <f t="shared" si="5"/>
        <v>3</v>
      </c>
      <c r="AK368" s="23">
        <f t="shared" si="6"/>
        <v>0</v>
      </c>
      <c r="AL368" s="114">
        <f>'MASTER STOCK'!I365</f>
        <v>7500</v>
      </c>
      <c r="AM368" s="26">
        <f>'MASTER STOCK'!L365</f>
        <v>12000</v>
      </c>
      <c r="AN368" s="26">
        <f t="shared" si="7"/>
        <v>0</v>
      </c>
      <c r="AO368" s="26">
        <f t="shared" si="8"/>
        <v>0</v>
      </c>
      <c r="AP368" s="114">
        <f t="shared" si="9"/>
        <v>0</v>
      </c>
      <c r="AQ368" s="10"/>
    </row>
    <row r="369">
      <c r="A369" s="20" t="str">
        <f>'MASTER STOCK'!F366</f>
        <v>KLEM REGULATOR</v>
      </c>
      <c r="B369" s="21">
        <f>'JULI 25'!AI369:AI483</f>
        <v>20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23">
        <f t="shared" si="3"/>
        <v>0</v>
      </c>
      <c r="AI369" s="24">
        <f t="shared" si="4"/>
        <v>20</v>
      </c>
      <c r="AJ369" s="23">
        <f t="shared" si="5"/>
        <v>20</v>
      </c>
      <c r="AK369" s="23">
        <f t="shared" si="6"/>
        <v>0</v>
      </c>
      <c r="AL369" s="114">
        <f>'MASTER STOCK'!I366</f>
        <v>1200</v>
      </c>
      <c r="AM369" s="26">
        <f>'MASTER STOCK'!L366</f>
        <v>2500</v>
      </c>
      <c r="AN369" s="26">
        <f t="shared" si="7"/>
        <v>0</v>
      </c>
      <c r="AO369" s="26">
        <f t="shared" si="8"/>
        <v>0</v>
      </c>
      <c r="AP369" s="114">
        <f t="shared" si="9"/>
        <v>0</v>
      </c>
      <c r="AQ369" s="10"/>
    </row>
    <row r="370">
      <c r="A370" s="20" t="str">
        <f>'MASTER STOCK'!F367</f>
        <v>TIMBA STANDART</v>
      </c>
      <c r="B370" s="21">
        <f>'JULI 25'!AI370:AI484</f>
        <v>10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23">
        <f t="shared" si="3"/>
        <v>0</v>
      </c>
      <c r="AI370" s="24">
        <f t="shared" si="4"/>
        <v>10</v>
      </c>
      <c r="AJ370" s="23">
        <f t="shared" si="5"/>
        <v>10</v>
      </c>
      <c r="AK370" s="23">
        <f t="shared" si="6"/>
        <v>0</v>
      </c>
      <c r="AL370" s="114">
        <f>'MASTER STOCK'!I367</f>
        <v>5000</v>
      </c>
      <c r="AM370" s="26">
        <f>'MASTER STOCK'!L367</f>
        <v>8000</v>
      </c>
      <c r="AN370" s="26">
        <f t="shared" si="7"/>
        <v>0</v>
      </c>
      <c r="AO370" s="26">
        <f t="shared" si="8"/>
        <v>0</v>
      </c>
      <c r="AP370" s="114">
        <f t="shared" si="9"/>
        <v>0</v>
      </c>
      <c r="AQ370" s="10"/>
    </row>
    <row r="371">
      <c r="A371" s="20" t="str">
        <f>'MASTER STOCK'!F368</f>
        <v>KNEE DRAT DALAM 1/2 DIM</v>
      </c>
      <c r="B371" s="21">
        <f>'JULI 25'!AI371:AI485</f>
        <v>15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23">
        <f t="shared" si="3"/>
        <v>0</v>
      </c>
      <c r="AI371" s="24">
        <f t="shared" si="4"/>
        <v>15</v>
      </c>
      <c r="AJ371" s="23">
        <f t="shared" si="5"/>
        <v>15</v>
      </c>
      <c r="AK371" s="23">
        <f t="shared" si="6"/>
        <v>0</v>
      </c>
      <c r="AL371" s="114">
        <f>'MASTER STOCK'!I368</f>
        <v>1400</v>
      </c>
      <c r="AM371" s="26">
        <f>'MASTER STOCK'!L368</f>
        <v>3500</v>
      </c>
      <c r="AN371" s="26">
        <f t="shared" si="7"/>
        <v>0</v>
      </c>
      <c r="AO371" s="26">
        <f t="shared" si="8"/>
        <v>0</v>
      </c>
      <c r="AP371" s="114">
        <f t="shared" si="9"/>
        <v>0</v>
      </c>
      <c r="AQ371" s="10"/>
    </row>
    <row r="372">
      <c r="A372" s="20" t="str">
        <f>'MASTER STOCK'!F369</f>
        <v>AMPLAS UK 60 </v>
      </c>
      <c r="B372" s="21">
        <f>'JULI 25'!AI372:AI486</f>
        <v>10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23">
        <f t="shared" si="3"/>
        <v>0</v>
      </c>
      <c r="AI372" s="24">
        <f t="shared" si="4"/>
        <v>10</v>
      </c>
      <c r="AJ372" s="23">
        <f t="shared" si="5"/>
        <v>10</v>
      </c>
      <c r="AK372" s="23">
        <f t="shared" si="6"/>
        <v>0</v>
      </c>
      <c r="AL372" s="114">
        <f>'MASTER STOCK'!I369</f>
        <v>4500</v>
      </c>
      <c r="AM372" s="26">
        <f>'MASTER STOCK'!L369</f>
        <v>7000</v>
      </c>
      <c r="AN372" s="26">
        <f t="shared" si="7"/>
        <v>0</v>
      </c>
      <c r="AO372" s="26">
        <f t="shared" si="8"/>
        <v>0</v>
      </c>
      <c r="AP372" s="114">
        <f t="shared" si="9"/>
        <v>0</v>
      </c>
      <c r="AQ372" s="10"/>
    </row>
    <row r="373">
      <c r="A373" s="20" t="str">
        <f>'MASTER STOCK'!F370</f>
        <v>AMPLAS UK 150</v>
      </c>
      <c r="B373" s="21">
        <f>'JULI 25'!AI373:AI487</f>
        <v>10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23">
        <f t="shared" si="3"/>
        <v>0</v>
      </c>
      <c r="AI373" s="24">
        <f t="shared" si="4"/>
        <v>10</v>
      </c>
      <c r="AJ373" s="23">
        <f t="shared" si="5"/>
        <v>10</v>
      </c>
      <c r="AK373" s="23">
        <f t="shared" si="6"/>
        <v>0</v>
      </c>
      <c r="AL373" s="114">
        <f>'MASTER STOCK'!I370</f>
        <v>4500</v>
      </c>
      <c r="AM373" s="26">
        <f>'MASTER STOCK'!L370</f>
        <v>7000</v>
      </c>
      <c r="AN373" s="26">
        <f t="shared" si="7"/>
        <v>0</v>
      </c>
      <c r="AO373" s="26">
        <f t="shared" si="8"/>
        <v>0</v>
      </c>
      <c r="AP373" s="114">
        <f t="shared" si="9"/>
        <v>0</v>
      </c>
      <c r="AQ373" s="10"/>
    </row>
    <row r="374">
      <c r="A374" s="20" t="str">
        <f>'MASTER STOCK'!F371</f>
        <v>AMPLAS UK 240</v>
      </c>
      <c r="B374" s="21">
        <f>'JULI 25'!AI374:AI488</f>
        <v>10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23">
        <f t="shared" si="3"/>
        <v>0</v>
      </c>
      <c r="AI374" s="24">
        <f t="shared" si="4"/>
        <v>10</v>
      </c>
      <c r="AJ374" s="23">
        <f t="shared" si="5"/>
        <v>10</v>
      </c>
      <c r="AK374" s="23">
        <f t="shared" si="6"/>
        <v>0</v>
      </c>
      <c r="AL374" s="114">
        <f>'MASTER STOCK'!I371</f>
        <v>4500</v>
      </c>
      <c r="AM374" s="26">
        <f>'MASTER STOCK'!L371</f>
        <v>7000</v>
      </c>
      <c r="AN374" s="26">
        <f t="shared" si="7"/>
        <v>0</v>
      </c>
      <c r="AO374" s="26">
        <f t="shared" si="8"/>
        <v>0</v>
      </c>
      <c r="AP374" s="114">
        <f t="shared" si="9"/>
        <v>0</v>
      </c>
      <c r="AQ374" s="10"/>
    </row>
    <row r="375">
      <c r="A375" s="20" t="str">
        <f>'MASTER STOCK'!F372</f>
        <v>WATERMUR DD 3/4</v>
      </c>
      <c r="B375" s="21">
        <f>'JULI 25'!AI375:AI489</f>
        <v>5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23">
        <f t="shared" si="3"/>
        <v>0</v>
      </c>
      <c r="AI375" s="24">
        <f t="shared" si="4"/>
        <v>5</v>
      </c>
      <c r="AJ375" s="23">
        <f t="shared" si="5"/>
        <v>5</v>
      </c>
      <c r="AK375" s="23">
        <f t="shared" si="6"/>
        <v>0</v>
      </c>
      <c r="AL375" s="114">
        <f>'MASTER STOCK'!I372</f>
        <v>6000</v>
      </c>
      <c r="AM375" s="26">
        <f>'MASTER STOCK'!L372</f>
        <v>8000</v>
      </c>
      <c r="AN375" s="26">
        <f t="shared" si="7"/>
        <v>0</v>
      </c>
      <c r="AO375" s="26">
        <f t="shared" si="8"/>
        <v>0</v>
      </c>
      <c r="AP375" s="114">
        <f t="shared" si="9"/>
        <v>0</v>
      </c>
      <c r="AQ375" s="10"/>
    </row>
    <row r="376">
      <c r="A376" s="20" t="str">
        <f>'MASTER STOCK'!F373</f>
        <v>BENDRAT 5KG</v>
      </c>
      <c r="B376" s="21">
        <f>'JULI 25'!AI376:AI490</f>
        <v>5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23">
        <f t="shared" si="3"/>
        <v>0</v>
      </c>
      <c r="AI376" s="24">
        <f t="shared" si="4"/>
        <v>5</v>
      </c>
      <c r="AJ376" s="23">
        <f t="shared" si="5"/>
        <v>5</v>
      </c>
      <c r="AK376" s="23">
        <f t="shared" si="6"/>
        <v>0</v>
      </c>
      <c r="AL376" s="114">
        <f>'MASTER STOCK'!I373</f>
        <v>19000</v>
      </c>
      <c r="AM376" s="26">
        <f>'MASTER STOCK'!L373</f>
        <v>25000</v>
      </c>
      <c r="AN376" s="26">
        <f t="shared" si="7"/>
        <v>0</v>
      </c>
      <c r="AO376" s="26">
        <f t="shared" si="8"/>
        <v>0</v>
      </c>
      <c r="AP376" s="114">
        <f t="shared" si="9"/>
        <v>0</v>
      </c>
      <c r="AQ376" s="10"/>
    </row>
    <row r="377">
      <c r="A377" s="20" t="str">
        <f>'MASTER STOCK'!F374</f>
        <v>S MERDEKA 5</v>
      </c>
      <c r="B377" s="21">
        <f>'JULI 25'!AI377:AI491</f>
        <v>5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23">
        <f t="shared" si="3"/>
        <v>0</v>
      </c>
      <c r="AI377" s="24">
        <f t="shared" si="4"/>
        <v>5</v>
      </c>
      <c r="AJ377" s="23">
        <f t="shared" si="5"/>
        <v>5</v>
      </c>
      <c r="AK377" s="23">
        <f t="shared" si="6"/>
        <v>0</v>
      </c>
      <c r="AL377" s="114">
        <f>'MASTER STOCK'!I374</f>
        <v>41500</v>
      </c>
      <c r="AM377" s="26">
        <f>'MASTER STOCK'!L374</f>
        <v>4300</v>
      </c>
      <c r="AN377" s="26">
        <f t="shared" si="7"/>
        <v>0</v>
      </c>
      <c r="AO377" s="26">
        <f t="shared" si="8"/>
        <v>0</v>
      </c>
      <c r="AP377" s="114">
        <f t="shared" si="9"/>
        <v>0</v>
      </c>
      <c r="AQ377" s="10"/>
    </row>
    <row r="378">
      <c r="A378" s="20" t="str">
        <f>'MASTER STOCK'!F375</f>
        <v/>
      </c>
      <c r="B378" s="21">
        <f>'JULI 25'!AI378:AI492</f>
        <v>0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</row>
    <row r="379">
      <c r="A379" s="20" t="str">
        <f>'MASTER STOCK'!F376</f>
        <v/>
      </c>
      <c r="B379" s="21" t="str">
        <f>'JULI 25'!AI379:AI493</f>
        <v/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</row>
    <row r="380">
      <c r="A380" s="20" t="str">
        <f>'MASTER STOCK'!F377</f>
        <v/>
      </c>
      <c r="B380" s="21" t="str">
        <f>'JULI 25'!AI380:AI494</f>
        <v/>
      </c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</row>
    <row r="381">
      <c r="A381" s="20" t="str">
        <f>'MASTER STOCK'!F378</f>
        <v/>
      </c>
      <c r="B381" s="42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</row>
    <row r="382">
      <c r="A382" s="20" t="str">
        <f>'MASTER STOCK'!F379</f>
        <v/>
      </c>
      <c r="B382" s="42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</row>
    <row r="383">
      <c r="A383" s="20" t="str">
        <f>'MASTER STOCK'!F380</f>
        <v/>
      </c>
      <c r="B383" s="42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</row>
    <row r="384">
      <c r="A384" s="20" t="str">
        <f>'MASTER STOCK'!F381</f>
        <v/>
      </c>
      <c r="B384" s="42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</row>
    <row r="385">
      <c r="A385" s="20" t="str">
        <f>'MASTER STOCK'!F382</f>
        <v/>
      </c>
      <c r="B385" s="42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</row>
    <row r="386">
      <c r="A386" s="20" t="str">
        <f>'MASTER STOCK'!F383</f>
        <v/>
      </c>
      <c r="B386" s="42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</row>
    <row r="387">
      <c r="A387" s="20" t="str">
        <f>'MASTER STOCK'!F384</f>
        <v/>
      </c>
      <c r="B387" s="42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</row>
    <row r="388">
      <c r="A388" s="20" t="str">
        <f>'MASTER STOCK'!F385</f>
        <v/>
      </c>
      <c r="B388" s="42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</row>
    <row r="389">
      <c r="A389" s="20" t="str">
        <f>'MASTER STOCK'!F386</f>
        <v/>
      </c>
      <c r="B389" s="42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</row>
    <row r="390">
      <c r="A390" s="20" t="str">
        <f>'MASTER STOCK'!F387</f>
        <v/>
      </c>
      <c r="B390" s="42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</row>
    <row r="391">
      <c r="A391" s="20" t="str">
        <f>'MASTER STOCK'!F388</f>
        <v/>
      </c>
      <c r="B391" s="42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</row>
    <row r="392">
      <c r="A392" s="20" t="str">
        <f>'MASTER STOCK'!F389</f>
        <v/>
      </c>
      <c r="B392" s="42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</row>
    <row r="393">
      <c r="A393" s="20" t="str">
        <f>'MASTER STOCK'!F390</f>
        <v/>
      </c>
      <c r="B393" s="42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</row>
    <row r="394">
      <c r="A394" s="20" t="str">
        <f>'MASTER STOCK'!F391</f>
        <v/>
      </c>
      <c r="B394" s="42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</row>
    <row r="395">
      <c r="A395" s="20" t="str">
        <f>'MASTER STOCK'!F392</f>
        <v/>
      </c>
      <c r="B395" s="42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</row>
    <row r="396">
      <c r="A396" s="20" t="str">
        <f>'MASTER STOCK'!F393</f>
        <v/>
      </c>
      <c r="B396" s="42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</row>
    <row r="397">
      <c r="A397" s="20" t="str">
        <f>'MASTER STOCK'!F394</f>
        <v/>
      </c>
      <c r="B397" s="42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</row>
    <row r="398">
      <c r="A398" s="20" t="str">
        <f>'MASTER STOCK'!F395</f>
        <v/>
      </c>
      <c r="B398" s="42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</row>
    <row r="399">
      <c r="A399" s="20" t="str">
        <f>'MASTER STOCK'!F396</f>
        <v/>
      </c>
      <c r="B399" s="42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</row>
    <row r="400">
      <c r="A400" s="20" t="str">
        <f>'MASTER STOCK'!F397</f>
        <v/>
      </c>
      <c r="B400" s="42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</row>
    <row r="401">
      <c r="A401" s="20" t="str">
        <f>'MASTER STOCK'!F398</f>
        <v/>
      </c>
      <c r="B401" s="42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</row>
    <row r="402">
      <c r="A402" s="20" t="str">
        <f>'MASTER STOCK'!F399</f>
        <v/>
      </c>
      <c r="B402" s="42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</row>
    <row r="403">
      <c r="A403" s="40"/>
      <c r="B403" s="42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</row>
    <row r="404">
      <c r="A404" s="40"/>
      <c r="B404" s="42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</row>
    <row r="405">
      <c r="A405" s="40"/>
      <c r="B405" s="42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</row>
    <row r="406">
      <c r="A406" s="40"/>
      <c r="B406" s="42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</row>
    <row r="407">
      <c r="A407" s="40"/>
      <c r="B407" s="42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</row>
    <row r="408">
      <c r="A408" s="40"/>
      <c r="B408" s="42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</row>
    <row r="409">
      <c r="A409" s="40"/>
      <c r="B409" s="42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</row>
    <row r="410">
      <c r="A410" s="40"/>
      <c r="B410" s="42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</row>
    <row r="411">
      <c r="A411" s="40"/>
      <c r="B411" s="42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</row>
    <row r="412">
      <c r="A412" s="40"/>
      <c r="B412" s="42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</row>
    <row r="413">
      <c r="A413" s="40"/>
      <c r="B413" s="42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</row>
    <row r="414">
      <c r="A414" s="40"/>
      <c r="B414" s="42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</row>
    <row r="415">
      <c r="A415" s="40"/>
      <c r="B415" s="42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</row>
    <row r="416">
      <c r="A416" s="40"/>
      <c r="B416" s="42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</row>
    <row r="417">
      <c r="A417" s="40"/>
      <c r="B417" s="42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</row>
    <row r="418">
      <c r="A418" s="40"/>
      <c r="B418" s="42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</row>
    <row r="419">
      <c r="A419" s="40"/>
      <c r="B419" s="42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</row>
    <row r="420">
      <c r="A420" s="40"/>
      <c r="B420" s="42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</row>
    <row r="421">
      <c r="A421" s="40"/>
      <c r="B421" s="42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</row>
    <row r="422">
      <c r="A422" s="40"/>
      <c r="B422" s="42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</row>
    <row r="423">
      <c r="A423" s="40"/>
      <c r="B423" s="42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</row>
    <row r="424">
      <c r="A424" s="40"/>
      <c r="B424" s="42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</row>
    <row r="425">
      <c r="A425" s="40"/>
      <c r="B425" s="42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</row>
    <row r="426">
      <c r="A426" s="40"/>
      <c r="B426" s="42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</row>
    <row r="427">
      <c r="A427" s="40"/>
      <c r="B427" s="42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</row>
    <row r="428">
      <c r="A428" s="40"/>
      <c r="B428" s="42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</row>
    <row r="429">
      <c r="A429" s="40"/>
      <c r="B429" s="42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</row>
    <row r="430">
      <c r="A430" s="40"/>
      <c r="B430" s="42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</row>
    <row r="431">
      <c r="A431" s="40"/>
      <c r="B431" s="42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</row>
    <row r="432">
      <c r="A432" s="40"/>
      <c r="B432" s="42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</row>
    <row r="433">
      <c r="A433" s="40"/>
      <c r="B433" s="42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</row>
    <row r="434">
      <c r="A434" s="40"/>
      <c r="B434" s="42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</row>
    <row r="435">
      <c r="A435" s="40"/>
      <c r="B435" s="42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</row>
    <row r="436">
      <c r="A436" s="40"/>
      <c r="B436" s="42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</row>
    <row r="437">
      <c r="A437" s="40"/>
      <c r="B437" s="42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</row>
    <row r="438">
      <c r="A438" s="40"/>
      <c r="B438" s="42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</row>
    <row r="439">
      <c r="A439" s="40"/>
      <c r="B439" s="42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</row>
    <row r="440">
      <c r="A440" s="40"/>
      <c r="B440" s="42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</row>
    <row r="441">
      <c r="A441" s="40"/>
      <c r="B441" s="42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</row>
    <row r="442">
      <c r="A442" s="40"/>
      <c r="B442" s="42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</row>
    <row r="443">
      <c r="A443" s="40"/>
      <c r="B443" s="42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</row>
    <row r="444">
      <c r="A444" s="40"/>
      <c r="B444" s="42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</row>
    <row r="445">
      <c r="A445" s="40"/>
      <c r="B445" s="42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</row>
    <row r="446">
      <c r="A446" s="40"/>
      <c r="B446" s="42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</row>
    <row r="447">
      <c r="A447" s="40"/>
      <c r="B447" s="42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</row>
    <row r="448">
      <c r="A448" s="40"/>
      <c r="B448" s="42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</row>
    <row r="449">
      <c r="A449" s="40"/>
      <c r="B449" s="42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</row>
    <row r="450">
      <c r="A450" s="40"/>
      <c r="B450" s="42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</row>
    <row r="451">
      <c r="A451" s="40"/>
      <c r="B451" s="42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</row>
    <row r="452">
      <c r="A452" s="40"/>
      <c r="B452" s="42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</row>
    <row r="453">
      <c r="A453" s="40"/>
      <c r="B453" s="42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</row>
    <row r="454">
      <c r="A454" s="40"/>
      <c r="B454" s="42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</row>
    <row r="455">
      <c r="A455" s="40"/>
      <c r="B455" s="42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</row>
    <row r="456">
      <c r="A456" s="40"/>
      <c r="B456" s="42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</row>
    <row r="457">
      <c r="A457" s="40"/>
      <c r="B457" s="42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</row>
    <row r="458">
      <c r="A458" s="40"/>
      <c r="B458" s="42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</row>
    <row r="459">
      <c r="A459" s="40"/>
      <c r="B459" s="42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</row>
    <row r="460">
      <c r="A460" s="40"/>
      <c r="B460" s="42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</row>
    <row r="461">
      <c r="A461" s="40"/>
      <c r="B461" s="42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</row>
    <row r="462">
      <c r="A462" s="40"/>
      <c r="B462" s="42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</row>
    <row r="463">
      <c r="A463" s="40"/>
      <c r="B463" s="42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</row>
    <row r="464">
      <c r="A464" s="40"/>
      <c r="B464" s="42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</row>
    <row r="465">
      <c r="A465" s="40"/>
      <c r="B465" s="42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</row>
    <row r="466">
      <c r="A466" s="40"/>
      <c r="B466" s="42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</row>
    <row r="467">
      <c r="A467" s="40"/>
      <c r="B467" s="42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</row>
    <row r="468">
      <c r="A468" s="40"/>
      <c r="B468" s="42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</row>
    <row r="469">
      <c r="A469" s="40"/>
      <c r="B469" s="42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</row>
    <row r="470">
      <c r="A470" s="40"/>
      <c r="B470" s="42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</row>
    <row r="471">
      <c r="A471" s="40"/>
      <c r="B471" s="42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</row>
    <row r="472">
      <c r="A472" s="40"/>
      <c r="B472" s="42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</row>
    <row r="473">
      <c r="A473" s="40"/>
      <c r="B473" s="42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</row>
    <row r="474">
      <c r="A474" s="40"/>
      <c r="B474" s="42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</row>
    <row r="475">
      <c r="A475" s="40"/>
      <c r="B475" s="42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</row>
    <row r="476">
      <c r="A476" s="40"/>
      <c r="B476" s="42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</row>
    <row r="477">
      <c r="A477" s="40"/>
      <c r="B477" s="42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</row>
    <row r="478">
      <c r="A478" s="40"/>
      <c r="B478" s="42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</row>
    <row r="479">
      <c r="A479" s="40"/>
      <c r="B479" s="42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</row>
    <row r="480">
      <c r="A480" s="40"/>
      <c r="B480" s="42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</row>
    <row r="481">
      <c r="A481" s="40"/>
      <c r="B481" s="42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</row>
    <row r="482">
      <c r="A482" s="40"/>
      <c r="B482" s="42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</row>
    <row r="483">
      <c r="A483" s="40"/>
      <c r="B483" s="42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</row>
    <row r="484">
      <c r="A484" s="40"/>
      <c r="B484" s="42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</row>
    <row r="485">
      <c r="A485" s="40"/>
      <c r="B485" s="42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</row>
    <row r="486">
      <c r="A486" s="40"/>
      <c r="B486" s="42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</row>
    <row r="487">
      <c r="A487" s="40"/>
      <c r="B487" s="42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</row>
    <row r="488">
      <c r="A488" s="40"/>
      <c r="B488" s="42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</row>
    <row r="489">
      <c r="A489" s="40"/>
      <c r="B489" s="42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</row>
    <row r="490">
      <c r="A490" s="40"/>
      <c r="B490" s="42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</row>
    <row r="491">
      <c r="A491" s="40"/>
      <c r="B491" s="42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</row>
    <row r="492">
      <c r="A492" s="40"/>
      <c r="B492" s="42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</row>
    <row r="493">
      <c r="A493" s="40"/>
      <c r="B493" s="42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</row>
    <row r="494">
      <c r="A494" s="40"/>
      <c r="B494" s="42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</row>
    <row r="495">
      <c r="A495" s="40"/>
      <c r="B495" s="42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</row>
    <row r="496">
      <c r="A496" s="40"/>
      <c r="B496" s="42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</row>
    <row r="497">
      <c r="A497" s="40"/>
      <c r="B497" s="42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</row>
    <row r="498">
      <c r="A498" s="40"/>
      <c r="B498" s="42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</row>
    <row r="499">
      <c r="A499" s="40"/>
      <c r="B499" s="42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</row>
    <row r="500">
      <c r="A500" s="40"/>
      <c r="B500" s="42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</row>
    <row r="501">
      <c r="A501" s="40"/>
      <c r="B501" s="42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</row>
    <row r="502">
      <c r="A502" s="40"/>
      <c r="B502" s="42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</row>
    <row r="503">
      <c r="A503" s="40"/>
      <c r="B503" s="42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</row>
    <row r="504">
      <c r="A504" s="40"/>
      <c r="B504" s="42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</row>
    <row r="505">
      <c r="A505" s="40"/>
      <c r="B505" s="42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</row>
    <row r="506">
      <c r="A506" s="40"/>
      <c r="B506" s="42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</row>
    <row r="507">
      <c r="A507" s="40"/>
      <c r="B507" s="42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</row>
    <row r="508">
      <c r="A508" s="40"/>
      <c r="B508" s="42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</row>
    <row r="509">
      <c r="A509" s="40"/>
      <c r="B509" s="42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</row>
    <row r="510">
      <c r="A510" s="40"/>
      <c r="B510" s="42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</row>
    <row r="511">
      <c r="A511" s="40"/>
      <c r="B511" s="42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</row>
    <row r="512">
      <c r="A512" s="40"/>
      <c r="B512" s="42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</row>
    <row r="513">
      <c r="A513" s="40"/>
      <c r="B513" s="42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</row>
    <row r="514">
      <c r="A514" s="40"/>
      <c r="B514" s="42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</row>
    <row r="515">
      <c r="A515" s="40"/>
      <c r="B515" s="42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</row>
    <row r="516">
      <c r="A516" s="40"/>
      <c r="B516" s="42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</row>
    <row r="517">
      <c r="A517" s="40"/>
      <c r="B517" s="42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</row>
    <row r="518">
      <c r="A518" s="40"/>
      <c r="B518" s="42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</row>
    <row r="519">
      <c r="A519" s="40"/>
      <c r="B519" s="42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</row>
    <row r="520">
      <c r="A520" s="40"/>
      <c r="B520" s="42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</row>
    <row r="521">
      <c r="A521" s="40"/>
      <c r="B521" s="42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</row>
    <row r="522">
      <c r="A522" s="40"/>
      <c r="B522" s="42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</row>
    <row r="523">
      <c r="A523" s="40"/>
      <c r="B523" s="42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</row>
    <row r="524">
      <c r="A524" s="40"/>
      <c r="B524" s="42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</row>
    <row r="525">
      <c r="A525" s="40"/>
      <c r="B525" s="42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</row>
    <row r="526">
      <c r="A526" s="40"/>
      <c r="B526" s="42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</row>
    <row r="527">
      <c r="A527" s="40"/>
      <c r="B527" s="42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</row>
    <row r="528">
      <c r="A528" s="40"/>
      <c r="B528" s="42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</row>
    <row r="529">
      <c r="A529" s="40"/>
      <c r="B529" s="42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</row>
    <row r="530">
      <c r="A530" s="40"/>
      <c r="B530" s="42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</row>
    <row r="531">
      <c r="A531" s="40"/>
      <c r="B531" s="42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</row>
    <row r="532">
      <c r="A532" s="40"/>
      <c r="B532" s="42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</row>
    <row r="533">
      <c r="A533" s="40"/>
      <c r="B533" s="42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</row>
    <row r="534">
      <c r="A534" s="40"/>
      <c r="B534" s="42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</row>
    <row r="535">
      <c r="A535" s="40"/>
      <c r="B535" s="42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</row>
    <row r="536">
      <c r="A536" s="40"/>
      <c r="B536" s="42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</row>
    <row r="537">
      <c r="A537" s="40"/>
      <c r="B537" s="42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</row>
    <row r="538">
      <c r="A538" s="40"/>
      <c r="B538" s="42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</row>
    <row r="539">
      <c r="A539" s="40"/>
      <c r="B539" s="42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</row>
    <row r="540">
      <c r="A540" s="40"/>
      <c r="B540" s="42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</row>
    <row r="541">
      <c r="A541" s="40"/>
      <c r="B541" s="42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</row>
    <row r="542">
      <c r="A542" s="40"/>
      <c r="B542" s="42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</row>
    <row r="543">
      <c r="A543" s="40"/>
      <c r="B543" s="42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</row>
    <row r="544">
      <c r="A544" s="40"/>
      <c r="B544" s="42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</row>
    <row r="545">
      <c r="A545" s="40"/>
      <c r="B545" s="42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</row>
    <row r="546">
      <c r="A546" s="40"/>
      <c r="B546" s="42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</row>
    <row r="547">
      <c r="A547" s="40"/>
      <c r="B547" s="42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</row>
    <row r="548">
      <c r="A548" s="40"/>
      <c r="B548" s="42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</row>
    <row r="549">
      <c r="A549" s="40"/>
      <c r="B549" s="42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</row>
    <row r="550">
      <c r="A550" s="40"/>
      <c r="B550" s="42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</row>
    <row r="551">
      <c r="A551" s="40"/>
      <c r="B551" s="42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</row>
    <row r="552">
      <c r="A552" s="40"/>
      <c r="B552" s="42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</row>
    <row r="553">
      <c r="A553" s="40"/>
      <c r="B553" s="42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</row>
    <row r="554">
      <c r="A554" s="40"/>
      <c r="B554" s="42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</row>
    <row r="555">
      <c r="A555" s="40"/>
      <c r="B555" s="42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</row>
    <row r="556">
      <c r="A556" s="40"/>
      <c r="B556" s="42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</row>
    <row r="557">
      <c r="A557" s="40"/>
      <c r="B557" s="42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</row>
    <row r="558">
      <c r="A558" s="40"/>
      <c r="B558" s="42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</row>
    <row r="559">
      <c r="A559" s="40"/>
      <c r="B559" s="42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</row>
    <row r="560">
      <c r="A560" s="40"/>
      <c r="B560" s="42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</row>
    <row r="561">
      <c r="A561" s="40"/>
      <c r="B561" s="42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</row>
    <row r="562">
      <c r="A562" s="40"/>
      <c r="B562" s="42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</row>
    <row r="563">
      <c r="A563" s="40"/>
      <c r="B563" s="42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</row>
    <row r="564">
      <c r="A564" s="40"/>
      <c r="B564" s="42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</row>
    <row r="565">
      <c r="A565" s="40"/>
      <c r="B565" s="42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</row>
    <row r="566">
      <c r="A566" s="40"/>
      <c r="B566" s="42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</row>
    <row r="567">
      <c r="A567" s="40"/>
      <c r="B567" s="42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</row>
    <row r="568">
      <c r="A568" s="40"/>
      <c r="B568" s="42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</row>
    <row r="569">
      <c r="A569" s="40"/>
      <c r="B569" s="42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</row>
    <row r="570">
      <c r="A570" s="40"/>
      <c r="B570" s="42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</row>
    <row r="571">
      <c r="A571" s="40"/>
      <c r="B571" s="42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</row>
    <row r="572">
      <c r="A572" s="40"/>
      <c r="B572" s="42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</row>
    <row r="573">
      <c r="A573" s="40"/>
      <c r="B573" s="42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</row>
    <row r="574">
      <c r="A574" s="40"/>
      <c r="B574" s="42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</row>
    <row r="575">
      <c r="A575" s="40"/>
      <c r="B575" s="42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</row>
    <row r="576">
      <c r="A576" s="40"/>
      <c r="B576" s="42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</row>
    <row r="577">
      <c r="A577" s="40"/>
      <c r="B577" s="42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</row>
    <row r="578">
      <c r="A578" s="40"/>
      <c r="B578" s="42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</row>
    <row r="579">
      <c r="A579" s="40"/>
      <c r="B579" s="42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</row>
    <row r="580">
      <c r="A580" s="40"/>
      <c r="B580" s="42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</row>
    <row r="581">
      <c r="A581" s="40"/>
      <c r="B581" s="42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</row>
    <row r="582">
      <c r="A582" s="40"/>
      <c r="B582" s="42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</row>
    <row r="583">
      <c r="A583" s="40"/>
      <c r="B583" s="42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</row>
    <row r="584">
      <c r="A584" s="40"/>
      <c r="B584" s="42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</row>
    <row r="585">
      <c r="A585" s="40"/>
      <c r="B585" s="42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</row>
    <row r="586">
      <c r="A586" s="40"/>
      <c r="B586" s="42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</row>
    <row r="587">
      <c r="A587" s="40"/>
      <c r="B587" s="42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</row>
    <row r="588">
      <c r="A588" s="40"/>
      <c r="B588" s="42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</row>
    <row r="589">
      <c r="A589" s="40"/>
      <c r="B589" s="42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</row>
    <row r="590">
      <c r="A590" s="40"/>
      <c r="B590" s="42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</row>
    <row r="591">
      <c r="A591" s="40"/>
      <c r="B591" s="42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</row>
    <row r="592">
      <c r="A592" s="40"/>
      <c r="B592" s="42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</row>
    <row r="593">
      <c r="A593" s="40"/>
      <c r="B593" s="42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</row>
    <row r="594">
      <c r="A594" s="40"/>
      <c r="B594" s="42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</row>
    <row r="595">
      <c r="A595" s="40"/>
      <c r="B595" s="42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</row>
    <row r="596">
      <c r="A596" s="40"/>
      <c r="B596" s="42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</row>
    <row r="597">
      <c r="A597" s="40"/>
      <c r="B597" s="42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</row>
    <row r="598">
      <c r="A598" s="40"/>
      <c r="B598" s="42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</row>
    <row r="599">
      <c r="A599" s="40"/>
      <c r="B599" s="42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</row>
    <row r="600">
      <c r="A600" s="40"/>
      <c r="B600" s="42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</row>
    <row r="601">
      <c r="A601" s="40"/>
      <c r="B601" s="42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</row>
    <row r="602">
      <c r="A602" s="40"/>
      <c r="B602" s="42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</row>
    <row r="603">
      <c r="A603" s="40"/>
      <c r="B603" s="42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</row>
    <row r="604">
      <c r="A604" s="40"/>
      <c r="B604" s="42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</row>
    <row r="605">
      <c r="A605" s="40"/>
      <c r="B605" s="42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</row>
    <row r="606">
      <c r="A606" s="40"/>
      <c r="B606" s="42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</row>
    <row r="607">
      <c r="A607" s="40"/>
      <c r="B607" s="42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</row>
    <row r="608">
      <c r="A608" s="40"/>
      <c r="B608" s="42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</row>
    <row r="609">
      <c r="A609" s="40"/>
      <c r="B609" s="42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</row>
    <row r="610">
      <c r="A610" s="40"/>
      <c r="B610" s="42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</row>
    <row r="611">
      <c r="A611" s="40"/>
      <c r="B611" s="42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</row>
    <row r="612">
      <c r="A612" s="40"/>
      <c r="B612" s="42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</row>
    <row r="613">
      <c r="A613" s="40"/>
      <c r="B613" s="42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</row>
    <row r="614">
      <c r="A614" s="40"/>
      <c r="B614" s="42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</row>
    <row r="615">
      <c r="A615" s="40"/>
      <c r="B615" s="42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</row>
    <row r="616">
      <c r="A616" s="40"/>
      <c r="B616" s="42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</row>
    <row r="617">
      <c r="A617" s="40"/>
      <c r="B617" s="42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</row>
    <row r="618">
      <c r="A618" s="40"/>
      <c r="B618" s="42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</row>
    <row r="619">
      <c r="A619" s="40"/>
      <c r="B619" s="42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</row>
    <row r="620">
      <c r="A620" s="40"/>
      <c r="B620" s="42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</row>
    <row r="621">
      <c r="A621" s="40"/>
      <c r="B621" s="42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</row>
    <row r="622">
      <c r="A622" s="40"/>
      <c r="B622" s="42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</row>
    <row r="623">
      <c r="A623" s="40"/>
      <c r="B623" s="42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</row>
    <row r="624">
      <c r="A624" s="40"/>
      <c r="B624" s="42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</row>
    <row r="625">
      <c r="A625" s="40"/>
      <c r="B625" s="42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</row>
    <row r="626">
      <c r="A626" s="40"/>
      <c r="B626" s="42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</row>
    <row r="627">
      <c r="A627" s="40"/>
      <c r="B627" s="42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</row>
    <row r="628">
      <c r="A628" s="40"/>
      <c r="B628" s="42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</row>
    <row r="629">
      <c r="A629" s="40"/>
      <c r="B629" s="42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</row>
    <row r="630">
      <c r="A630" s="40"/>
      <c r="B630" s="42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</row>
    <row r="631">
      <c r="A631" s="40"/>
      <c r="B631" s="42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</row>
    <row r="632">
      <c r="A632" s="40"/>
      <c r="B632" s="42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</row>
    <row r="633">
      <c r="A633" s="40"/>
      <c r="B633" s="42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</row>
    <row r="634">
      <c r="A634" s="40"/>
      <c r="B634" s="42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</row>
    <row r="635">
      <c r="A635" s="40"/>
      <c r="B635" s="42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</row>
    <row r="636">
      <c r="A636" s="40"/>
      <c r="B636" s="42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</row>
    <row r="637">
      <c r="A637" s="40"/>
      <c r="B637" s="42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</row>
    <row r="638">
      <c r="A638" s="40"/>
      <c r="B638" s="42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</row>
    <row r="639">
      <c r="A639" s="40"/>
      <c r="B639" s="42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</row>
    <row r="640">
      <c r="A640" s="40"/>
      <c r="B640" s="42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</row>
    <row r="641">
      <c r="A641" s="40"/>
      <c r="B641" s="42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</row>
    <row r="642">
      <c r="A642" s="40"/>
      <c r="B642" s="42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</row>
    <row r="643">
      <c r="A643" s="40"/>
      <c r="B643" s="42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</row>
    <row r="644">
      <c r="A644" s="40"/>
      <c r="B644" s="42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</row>
    <row r="645">
      <c r="A645" s="40"/>
      <c r="B645" s="42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</row>
    <row r="646">
      <c r="A646" s="40"/>
      <c r="B646" s="42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</row>
    <row r="647">
      <c r="A647" s="40"/>
      <c r="B647" s="42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</row>
    <row r="648">
      <c r="A648" s="40"/>
      <c r="B648" s="42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</row>
    <row r="649">
      <c r="A649" s="40"/>
      <c r="B649" s="42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</row>
    <row r="650">
      <c r="A650" s="40"/>
      <c r="B650" s="42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</row>
    <row r="651">
      <c r="A651" s="40"/>
      <c r="B651" s="42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</row>
    <row r="652">
      <c r="A652" s="40"/>
      <c r="B652" s="42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</row>
    <row r="653">
      <c r="A653" s="40"/>
      <c r="B653" s="42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</row>
    <row r="654">
      <c r="A654" s="40"/>
      <c r="B654" s="42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</row>
    <row r="655">
      <c r="A655" s="40"/>
      <c r="B655" s="42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</row>
    <row r="656">
      <c r="A656" s="40"/>
      <c r="B656" s="42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</row>
    <row r="657">
      <c r="A657" s="40"/>
      <c r="B657" s="42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</row>
    <row r="658">
      <c r="A658" s="40"/>
      <c r="B658" s="42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</row>
    <row r="659">
      <c r="A659" s="40"/>
      <c r="B659" s="42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</row>
    <row r="660">
      <c r="A660" s="40"/>
      <c r="B660" s="42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</row>
    <row r="661">
      <c r="A661" s="40"/>
      <c r="B661" s="42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</row>
    <row r="662">
      <c r="A662" s="40"/>
      <c r="B662" s="42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</row>
    <row r="663">
      <c r="A663" s="40"/>
      <c r="B663" s="42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</row>
    <row r="664">
      <c r="A664" s="40"/>
      <c r="B664" s="42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</row>
    <row r="665">
      <c r="A665" s="40"/>
      <c r="B665" s="42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</row>
    <row r="666">
      <c r="A666" s="40"/>
      <c r="B666" s="42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</row>
    <row r="667">
      <c r="A667" s="40"/>
      <c r="B667" s="42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</row>
    <row r="668">
      <c r="A668" s="40"/>
      <c r="B668" s="42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</row>
    <row r="669">
      <c r="A669" s="40"/>
      <c r="B669" s="42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</row>
    <row r="670">
      <c r="A670" s="40"/>
      <c r="B670" s="42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</row>
    <row r="671">
      <c r="A671" s="40"/>
      <c r="B671" s="42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</row>
    <row r="672">
      <c r="A672" s="40"/>
      <c r="B672" s="42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</row>
    <row r="673">
      <c r="A673" s="40"/>
      <c r="B673" s="42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</row>
    <row r="674">
      <c r="A674" s="40"/>
      <c r="B674" s="42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</row>
    <row r="675">
      <c r="A675" s="40"/>
      <c r="B675" s="42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</row>
    <row r="676">
      <c r="A676" s="40"/>
      <c r="B676" s="42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</row>
    <row r="677">
      <c r="A677" s="40"/>
      <c r="B677" s="42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</row>
    <row r="678">
      <c r="A678" s="40"/>
      <c r="B678" s="42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</row>
    <row r="679">
      <c r="A679" s="40"/>
      <c r="B679" s="42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</row>
    <row r="680">
      <c r="A680" s="40"/>
      <c r="B680" s="42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</row>
    <row r="681">
      <c r="A681" s="40"/>
      <c r="B681" s="42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</row>
    <row r="682">
      <c r="A682" s="40"/>
      <c r="B682" s="42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</row>
    <row r="683">
      <c r="A683" s="40"/>
      <c r="B683" s="42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</row>
    <row r="684">
      <c r="A684" s="40"/>
      <c r="B684" s="42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</row>
    <row r="685">
      <c r="A685" s="40"/>
      <c r="B685" s="42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</row>
    <row r="686">
      <c r="A686" s="40"/>
      <c r="B686" s="42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</row>
    <row r="687">
      <c r="A687" s="40"/>
      <c r="B687" s="42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</row>
    <row r="688">
      <c r="A688" s="40"/>
      <c r="B688" s="42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</row>
    <row r="689">
      <c r="A689" s="40"/>
      <c r="B689" s="42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</row>
    <row r="690">
      <c r="A690" s="40"/>
      <c r="B690" s="42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</row>
    <row r="691">
      <c r="A691" s="40"/>
      <c r="B691" s="42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</row>
    <row r="692">
      <c r="A692" s="40"/>
      <c r="B692" s="42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</row>
    <row r="693">
      <c r="A693" s="40"/>
      <c r="B693" s="42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</row>
    <row r="694">
      <c r="A694" s="40"/>
      <c r="B694" s="42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</row>
    <row r="695">
      <c r="A695" s="40"/>
      <c r="B695" s="42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</row>
    <row r="696">
      <c r="A696" s="40"/>
      <c r="B696" s="42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</row>
    <row r="697">
      <c r="A697" s="40"/>
      <c r="B697" s="42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</row>
    <row r="698">
      <c r="A698" s="40"/>
      <c r="B698" s="42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</row>
    <row r="699">
      <c r="A699" s="40"/>
      <c r="B699" s="42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</row>
    <row r="700">
      <c r="A700" s="40"/>
      <c r="B700" s="42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</row>
    <row r="701">
      <c r="A701" s="40"/>
      <c r="B701" s="42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</row>
    <row r="702">
      <c r="A702" s="40"/>
      <c r="B702" s="42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</row>
    <row r="703">
      <c r="A703" s="40"/>
      <c r="B703" s="42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</row>
    <row r="704">
      <c r="A704" s="40"/>
      <c r="B704" s="42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</row>
    <row r="705">
      <c r="A705" s="40"/>
      <c r="B705" s="42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</row>
    <row r="706">
      <c r="A706" s="40"/>
      <c r="B706" s="42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</row>
    <row r="707">
      <c r="A707" s="40"/>
      <c r="B707" s="42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</row>
    <row r="708">
      <c r="A708" s="40"/>
      <c r="B708" s="42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</row>
    <row r="709">
      <c r="A709" s="40"/>
      <c r="B709" s="42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</row>
    <row r="710">
      <c r="A710" s="40"/>
      <c r="B710" s="42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</row>
    <row r="711">
      <c r="A711" s="40"/>
      <c r="B711" s="42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</row>
    <row r="712">
      <c r="A712" s="40"/>
      <c r="B712" s="42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</row>
    <row r="713">
      <c r="A713" s="40"/>
      <c r="B713" s="42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</row>
    <row r="714">
      <c r="A714" s="40"/>
      <c r="B714" s="42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</row>
    <row r="715">
      <c r="A715" s="40"/>
      <c r="B715" s="42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</row>
    <row r="716">
      <c r="A716" s="40"/>
      <c r="B716" s="42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</row>
    <row r="717">
      <c r="A717" s="40"/>
      <c r="B717" s="42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</row>
    <row r="718">
      <c r="A718" s="40"/>
      <c r="B718" s="42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</row>
    <row r="719">
      <c r="A719" s="40"/>
      <c r="B719" s="42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</row>
    <row r="720">
      <c r="A720" s="40"/>
      <c r="B720" s="42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</row>
    <row r="721">
      <c r="A721" s="40"/>
      <c r="B721" s="42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</row>
    <row r="722">
      <c r="A722" s="40"/>
      <c r="B722" s="42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</row>
    <row r="723">
      <c r="A723" s="40"/>
      <c r="B723" s="42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</row>
    <row r="724">
      <c r="A724" s="40"/>
      <c r="B724" s="42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</row>
    <row r="725">
      <c r="A725" s="40"/>
      <c r="B725" s="42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</row>
    <row r="726">
      <c r="A726" s="40"/>
      <c r="B726" s="42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</row>
    <row r="727">
      <c r="A727" s="40"/>
      <c r="B727" s="42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</row>
    <row r="728">
      <c r="A728" s="40"/>
      <c r="B728" s="42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</row>
    <row r="729">
      <c r="A729" s="40"/>
      <c r="B729" s="42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</row>
    <row r="730">
      <c r="A730" s="40"/>
      <c r="B730" s="42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</row>
    <row r="731">
      <c r="A731" s="40"/>
      <c r="B731" s="42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</row>
    <row r="732">
      <c r="A732" s="40"/>
      <c r="B732" s="42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</row>
    <row r="733">
      <c r="A733" s="40"/>
      <c r="B733" s="42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</row>
    <row r="734">
      <c r="A734" s="40"/>
      <c r="B734" s="42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</row>
    <row r="735">
      <c r="A735" s="40"/>
      <c r="B735" s="42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</row>
    <row r="736">
      <c r="A736" s="40"/>
      <c r="B736" s="42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</row>
    <row r="737">
      <c r="A737" s="40"/>
      <c r="B737" s="42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</row>
    <row r="738">
      <c r="A738" s="40"/>
      <c r="B738" s="42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</row>
    <row r="739">
      <c r="A739" s="40"/>
      <c r="B739" s="42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</row>
    <row r="740">
      <c r="A740" s="40"/>
      <c r="B740" s="42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</row>
    <row r="741">
      <c r="A741" s="40"/>
      <c r="B741" s="42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</row>
    <row r="742">
      <c r="A742" s="40"/>
      <c r="B742" s="42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</row>
    <row r="743">
      <c r="A743" s="40"/>
      <c r="B743" s="42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</row>
    <row r="744">
      <c r="A744" s="40"/>
      <c r="B744" s="42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</row>
    <row r="745">
      <c r="A745" s="40"/>
      <c r="B745" s="42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</row>
    <row r="746">
      <c r="A746" s="40"/>
      <c r="B746" s="42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</row>
    <row r="747">
      <c r="A747" s="40"/>
      <c r="B747" s="42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</row>
    <row r="748">
      <c r="A748" s="40"/>
      <c r="B748" s="42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</row>
    <row r="749">
      <c r="A749" s="40"/>
      <c r="B749" s="42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</row>
    <row r="750">
      <c r="A750" s="40"/>
      <c r="B750" s="42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</row>
    <row r="751">
      <c r="A751" s="40"/>
      <c r="B751" s="42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</row>
    <row r="752">
      <c r="A752" s="40"/>
      <c r="B752" s="42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</row>
    <row r="753">
      <c r="A753" s="40"/>
      <c r="B753" s="42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</row>
    <row r="754">
      <c r="A754" s="40"/>
      <c r="B754" s="42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</row>
    <row r="755">
      <c r="A755" s="40"/>
      <c r="B755" s="42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</row>
    <row r="756">
      <c r="A756" s="40"/>
      <c r="B756" s="42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</row>
    <row r="757">
      <c r="A757" s="40"/>
      <c r="B757" s="42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</row>
    <row r="758">
      <c r="A758" s="40"/>
      <c r="B758" s="42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</row>
    <row r="759">
      <c r="A759" s="40"/>
      <c r="B759" s="42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</row>
    <row r="760">
      <c r="A760" s="40"/>
      <c r="B760" s="42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</row>
    <row r="761">
      <c r="A761" s="40"/>
      <c r="B761" s="42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</row>
    <row r="762">
      <c r="A762" s="40"/>
      <c r="B762" s="42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</row>
    <row r="763">
      <c r="A763" s="40"/>
      <c r="B763" s="42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</row>
    <row r="764">
      <c r="A764" s="40"/>
      <c r="B764" s="42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</row>
    <row r="765">
      <c r="A765" s="40"/>
      <c r="B765" s="42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</row>
    <row r="766">
      <c r="A766" s="40"/>
      <c r="B766" s="42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</row>
    <row r="767">
      <c r="A767" s="40"/>
      <c r="B767" s="42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</row>
    <row r="768">
      <c r="A768" s="40"/>
      <c r="B768" s="42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</row>
    <row r="769">
      <c r="A769" s="40"/>
      <c r="B769" s="42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</row>
    <row r="770">
      <c r="A770" s="40"/>
      <c r="B770" s="42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</row>
    <row r="771">
      <c r="A771" s="40"/>
      <c r="B771" s="42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</row>
    <row r="772">
      <c r="A772" s="40"/>
      <c r="B772" s="42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</row>
    <row r="773">
      <c r="A773" s="40"/>
      <c r="B773" s="42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</row>
    <row r="774">
      <c r="A774" s="40"/>
      <c r="B774" s="42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</row>
    <row r="775">
      <c r="A775" s="40"/>
      <c r="B775" s="42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</row>
    <row r="776">
      <c r="A776" s="40"/>
      <c r="B776" s="42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</row>
    <row r="777">
      <c r="A777" s="40"/>
      <c r="B777" s="42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</row>
    <row r="778">
      <c r="A778" s="40"/>
      <c r="B778" s="42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</row>
    <row r="779">
      <c r="A779" s="40"/>
      <c r="B779" s="42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</row>
    <row r="780">
      <c r="A780" s="40"/>
      <c r="B780" s="42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</row>
    <row r="781">
      <c r="A781" s="40"/>
      <c r="B781" s="42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</row>
    <row r="782">
      <c r="A782" s="40"/>
      <c r="B782" s="42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</row>
    <row r="783">
      <c r="A783" s="40"/>
      <c r="B783" s="42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</row>
    <row r="784">
      <c r="A784" s="40"/>
      <c r="B784" s="42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</row>
    <row r="785">
      <c r="A785" s="40"/>
      <c r="B785" s="42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</row>
    <row r="786">
      <c r="A786" s="40"/>
      <c r="B786" s="42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</row>
    <row r="787">
      <c r="A787" s="40"/>
      <c r="B787" s="42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</row>
    <row r="788">
      <c r="A788" s="40"/>
      <c r="B788" s="42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</row>
    <row r="789">
      <c r="A789" s="40"/>
      <c r="B789" s="42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</row>
    <row r="790">
      <c r="A790" s="40"/>
      <c r="B790" s="42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</row>
    <row r="791">
      <c r="A791" s="40"/>
      <c r="B791" s="42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</row>
    <row r="792">
      <c r="A792" s="40"/>
      <c r="B792" s="42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</row>
    <row r="793">
      <c r="A793" s="40"/>
      <c r="B793" s="42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</row>
    <row r="794">
      <c r="A794" s="40"/>
      <c r="B794" s="42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</row>
    <row r="795">
      <c r="A795" s="40"/>
      <c r="B795" s="42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</row>
    <row r="796">
      <c r="A796" s="40"/>
      <c r="B796" s="42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</row>
    <row r="797">
      <c r="A797" s="40"/>
      <c r="B797" s="42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</row>
    <row r="798">
      <c r="A798" s="40"/>
      <c r="B798" s="42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</row>
    <row r="799">
      <c r="A799" s="40"/>
      <c r="B799" s="42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</row>
    <row r="800">
      <c r="A800" s="40"/>
      <c r="B800" s="42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</row>
    <row r="801">
      <c r="A801" s="40"/>
      <c r="B801" s="42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</row>
    <row r="802">
      <c r="A802" s="40"/>
      <c r="B802" s="42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</row>
    <row r="803">
      <c r="A803" s="40"/>
      <c r="B803" s="42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</row>
    <row r="804">
      <c r="A804" s="40"/>
      <c r="B804" s="42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</row>
    <row r="805">
      <c r="A805" s="40"/>
      <c r="B805" s="42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</row>
    <row r="806">
      <c r="A806" s="40"/>
      <c r="B806" s="42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</row>
    <row r="807">
      <c r="A807" s="40"/>
      <c r="B807" s="42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</row>
    <row r="808">
      <c r="A808" s="40"/>
      <c r="B808" s="42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</row>
    <row r="809">
      <c r="A809" s="40"/>
      <c r="B809" s="42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</row>
    <row r="810">
      <c r="A810" s="40"/>
      <c r="B810" s="42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</row>
    <row r="811">
      <c r="A811" s="40"/>
      <c r="B811" s="42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</row>
    <row r="812">
      <c r="A812" s="40"/>
      <c r="B812" s="42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</row>
    <row r="813">
      <c r="A813" s="40"/>
      <c r="B813" s="42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</row>
    <row r="814">
      <c r="A814" s="40"/>
      <c r="B814" s="42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</row>
    <row r="815">
      <c r="A815" s="40"/>
      <c r="B815" s="42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</row>
    <row r="816">
      <c r="A816" s="40"/>
      <c r="B816" s="42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</row>
    <row r="817">
      <c r="A817" s="40"/>
      <c r="B817" s="42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</row>
    <row r="818">
      <c r="A818" s="40"/>
      <c r="B818" s="42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</row>
    <row r="819">
      <c r="A819" s="40"/>
      <c r="B819" s="42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</row>
    <row r="820">
      <c r="A820" s="40"/>
      <c r="B820" s="42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</row>
    <row r="821">
      <c r="A821" s="40"/>
      <c r="B821" s="42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</row>
    <row r="822">
      <c r="A822" s="40"/>
      <c r="B822" s="42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</row>
    <row r="823">
      <c r="A823" s="40"/>
      <c r="B823" s="42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</row>
    <row r="824">
      <c r="A824" s="40"/>
      <c r="B824" s="42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</row>
    <row r="825">
      <c r="A825" s="40"/>
      <c r="B825" s="42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</row>
    <row r="826">
      <c r="A826" s="40"/>
      <c r="B826" s="42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</row>
    <row r="827">
      <c r="A827" s="40"/>
      <c r="B827" s="42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</row>
    <row r="828">
      <c r="A828" s="40"/>
      <c r="B828" s="42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</row>
    <row r="829">
      <c r="A829" s="40"/>
      <c r="B829" s="42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</row>
    <row r="830">
      <c r="A830" s="40"/>
      <c r="B830" s="42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</row>
    <row r="831">
      <c r="A831" s="40"/>
      <c r="B831" s="42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</row>
    <row r="832">
      <c r="A832" s="40"/>
      <c r="B832" s="42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</row>
    <row r="833">
      <c r="A833" s="40"/>
      <c r="B833" s="42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</row>
    <row r="834">
      <c r="A834" s="40"/>
      <c r="B834" s="42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</row>
    <row r="835">
      <c r="A835" s="40"/>
      <c r="B835" s="42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</row>
    <row r="836">
      <c r="A836" s="40"/>
      <c r="B836" s="42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</row>
    <row r="837">
      <c r="A837" s="40"/>
      <c r="B837" s="42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</row>
    <row r="838">
      <c r="A838" s="40"/>
      <c r="B838" s="42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</row>
    <row r="839">
      <c r="A839" s="40"/>
      <c r="B839" s="42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</row>
    <row r="840">
      <c r="A840" s="40"/>
      <c r="B840" s="42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</row>
    <row r="841">
      <c r="A841" s="40"/>
      <c r="B841" s="42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</row>
    <row r="842">
      <c r="A842" s="40"/>
      <c r="B842" s="42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</row>
    <row r="843">
      <c r="A843" s="40"/>
      <c r="B843" s="42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</row>
    <row r="844">
      <c r="A844" s="40"/>
      <c r="B844" s="42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</row>
    <row r="845">
      <c r="A845" s="40"/>
      <c r="B845" s="42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</row>
    <row r="846">
      <c r="A846" s="40"/>
      <c r="B846" s="42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</row>
    <row r="847">
      <c r="A847" s="40"/>
      <c r="B847" s="42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</row>
    <row r="848">
      <c r="A848" s="40"/>
      <c r="B848" s="42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</row>
    <row r="849">
      <c r="A849" s="40"/>
      <c r="B849" s="42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</row>
    <row r="850">
      <c r="A850" s="40"/>
      <c r="B850" s="42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</row>
    <row r="851">
      <c r="A851" s="40"/>
      <c r="B851" s="42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</row>
    <row r="852">
      <c r="A852" s="40"/>
      <c r="B852" s="42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</row>
    <row r="853">
      <c r="A853" s="40"/>
      <c r="B853" s="42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</row>
    <row r="854">
      <c r="A854" s="40"/>
      <c r="B854" s="42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</row>
    <row r="855">
      <c r="A855" s="40"/>
      <c r="B855" s="42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</row>
    <row r="856">
      <c r="A856" s="40"/>
      <c r="B856" s="42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</row>
    <row r="857">
      <c r="A857" s="40"/>
      <c r="B857" s="42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</row>
    <row r="858">
      <c r="A858" s="40"/>
      <c r="B858" s="42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</row>
    <row r="859">
      <c r="A859" s="40"/>
      <c r="B859" s="42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</row>
    <row r="860">
      <c r="A860" s="40"/>
      <c r="B860" s="42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</row>
    <row r="861">
      <c r="A861" s="40"/>
      <c r="B861" s="42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</row>
    <row r="862">
      <c r="A862" s="40"/>
      <c r="B862" s="42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</row>
    <row r="863">
      <c r="A863" s="40"/>
      <c r="B863" s="42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</row>
    <row r="864">
      <c r="A864" s="40"/>
      <c r="B864" s="42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</row>
    <row r="865">
      <c r="A865" s="40"/>
      <c r="B865" s="42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</row>
    <row r="866">
      <c r="A866" s="40"/>
      <c r="B866" s="42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</row>
    <row r="867">
      <c r="A867" s="40"/>
      <c r="B867" s="42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</row>
    <row r="868">
      <c r="A868" s="40"/>
      <c r="B868" s="42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</row>
    <row r="869">
      <c r="A869" s="40"/>
      <c r="B869" s="42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</row>
    <row r="870">
      <c r="A870" s="40"/>
      <c r="B870" s="42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</row>
    <row r="871">
      <c r="A871" s="40"/>
      <c r="B871" s="42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</row>
    <row r="872">
      <c r="A872" s="40"/>
      <c r="B872" s="42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</row>
    <row r="873">
      <c r="A873" s="40"/>
      <c r="B873" s="42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</row>
    <row r="874">
      <c r="A874" s="40"/>
      <c r="B874" s="42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</row>
    <row r="875">
      <c r="A875" s="40"/>
      <c r="B875" s="42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</row>
    <row r="876">
      <c r="A876" s="40"/>
      <c r="B876" s="42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</row>
    <row r="877">
      <c r="A877" s="40"/>
      <c r="B877" s="42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</row>
    <row r="878">
      <c r="A878" s="40"/>
      <c r="B878" s="42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</row>
    <row r="879">
      <c r="A879" s="40"/>
      <c r="B879" s="42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</row>
    <row r="880">
      <c r="A880" s="40"/>
      <c r="B880" s="42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</row>
    <row r="881">
      <c r="A881" s="40"/>
      <c r="B881" s="42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</row>
    <row r="882">
      <c r="A882" s="40"/>
      <c r="B882" s="42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</row>
    <row r="883">
      <c r="A883" s="40"/>
      <c r="B883" s="42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</row>
    <row r="884">
      <c r="A884" s="40"/>
      <c r="B884" s="42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</row>
    <row r="885">
      <c r="A885" s="40"/>
      <c r="B885" s="42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</row>
    <row r="886">
      <c r="A886" s="40"/>
      <c r="B886" s="42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</row>
    <row r="887">
      <c r="A887" s="40"/>
      <c r="B887" s="42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</row>
    <row r="888">
      <c r="A888" s="40"/>
      <c r="B888" s="42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</row>
    <row r="889">
      <c r="A889" s="40"/>
      <c r="B889" s="42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</row>
    <row r="890">
      <c r="A890" s="40"/>
      <c r="B890" s="42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</row>
    <row r="891">
      <c r="A891" s="40"/>
      <c r="B891" s="42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</row>
    <row r="892">
      <c r="A892" s="40"/>
      <c r="B892" s="42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</row>
    <row r="893">
      <c r="A893" s="40"/>
      <c r="B893" s="42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</row>
    <row r="894">
      <c r="A894" s="40"/>
      <c r="B894" s="42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</row>
    <row r="895">
      <c r="A895" s="40"/>
      <c r="B895" s="42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</row>
    <row r="896">
      <c r="A896" s="40"/>
      <c r="B896" s="42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</row>
    <row r="897">
      <c r="A897" s="40"/>
      <c r="B897" s="42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</row>
    <row r="898">
      <c r="A898" s="40"/>
      <c r="B898" s="42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</row>
    <row r="899">
      <c r="A899" s="40"/>
      <c r="B899" s="42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</row>
    <row r="900">
      <c r="A900" s="40"/>
      <c r="B900" s="42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</row>
    <row r="901">
      <c r="A901" s="40"/>
      <c r="B901" s="42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</row>
    <row r="902">
      <c r="A902" s="40"/>
      <c r="B902" s="42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</row>
    <row r="903">
      <c r="A903" s="40"/>
      <c r="B903" s="42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</row>
    <row r="904">
      <c r="A904" s="40"/>
      <c r="B904" s="42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</row>
    <row r="905">
      <c r="A905" s="40"/>
      <c r="B905" s="42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</row>
    <row r="906">
      <c r="A906" s="40"/>
      <c r="B906" s="42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</row>
    <row r="907">
      <c r="A907" s="40"/>
      <c r="B907" s="42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</row>
    <row r="908">
      <c r="A908" s="40"/>
      <c r="B908" s="42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</row>
    <row r="909">
      <c r="A909" s="40"/>
      <c r="B909" s="42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</row>
    <row r="910">
      <c r="A910" s="40"/>
      <c r="B910" s="42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</row>
    <row r="911">
      <c r="A911" s="40"/>
      <c r="B911" s="42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</row>
    <row r="912">
      <c r="A912" s="40"/>
      <c r="B912" s="42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</row>
    <row r="913">
      <c r="A913" s="40"/>
      <c r="B913" s="42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</row>
    <row r="914">
      <c r="A914" s="40"/>
      <c r="B914" s="42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</row>
    <row r="915">
      <c r="A915" s="40"/>
      <c r="B915" s="42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</row>
    <row r="916">
      <c r="A916" s="40"/>
      <c r="B916" s="42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</row>
    <row r="917">
      <c r="A917" s="40"/>
      <c r="B917" s="42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</row>
    <row r="918">
      <c r="A918" s="40"/>
      <c r="B918" s="42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</row>
    <row r="919">
      <c r="A919" s="40"/>
      <c r="B919" s="42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</row>
    <row r="920">
      <c r="A920" s="40"/>
      <c r="B920" s="42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</row>
    <row r="921">
      <c r="A921" s="40"/>
      <c r="B921" s="42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</row>
    <row r="922">
      <c r="A922" s="40"/>
      <c r="B922" s="42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</row>
    <row r="923">
      <c r="A923" s="40"/>
      <c r="B923" s="42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</row>
    <row r="924">
      <c r="A924" s="40"/>
      <c r="B924" s="42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</row>
    <row r="925">
      <c r="A925" s="40"/>
      <c r="B925" s="42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</row>
    <row r="926">
      <c r="A926" s="40"/>
      <c r="B926" s="42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</row>
    <row r="927">
      <c r="A927" s="40"/>
      <c r="B927" s="42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</row>
    <row r="928">
      <c r="A928" s="40"/>
      <c r="B928" s="42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</row>
    <row r="929">
      <c r="A929" s="40"/>
      <c r="B929" s="42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</row>
    <row r="930">
      <c r="A930" s="40"/>
      <c r="B930" s="42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</row>
    <row r="931">
      <c r="A931" s="40"/>
      <c r="B931" s="42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</row>
    <row r="932">
      <c r="A932" s="40"/>
      <c r="B932" s="42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</row>
    <row r="933">
      <c r="A933" s="40"/>
      <c r="B933" s="42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</row>
    <row r="934">
      <c r="A934" s="40"/>
      <c r="B934" s="42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</row>
    <row r="935">
      <c r="A935" s="40"/>
      <c r="B935" s="42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</row>
    <row r="936">
      <c r="A936" s="40"/>
      <c r="B936" s="42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</row>
    <row r="937">
      <c r="A937" s="40"/>
      <c r="B937" s="42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</row>
    <row r="938">
      <c r="A938" s="40"/>
      <c r="B938" s="42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</row>
    <row r="939">
      <c r="A939" s="40"/>
      <c r="B939" s="42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</row>
    <row r="940">
      <c r="A940" s="40"/>
      <c r="B940" s="42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</row>
    <row r="941">
      <c r="A941" s="40"/>
      <c r="B941" s="42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</row>
    <row r="942">
      <c r="A942" s="40"/>
      <c r="B942" s="42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</row>
    <row r="943">
      <c r="A943" s="40"/>
      <c r="B943" s="42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</row>
    <row r="944">
      <c r="A944" s="40"/>
      <c r="B944" s="42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</row>
    <row r="945">
      <c r="A945" s="40"/>
      <c r="B945" s="42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</row>
    <row r="946">
      <c r="A946" s="40"/>
      <c r="B946" s="42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</row>
    <row r="947">
      <c r="A947" s="40"/>
      <c r="B947" s="42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</row>
    <row r="948">
      <c r="A948" s="40"/>
      <c r="B948" s="42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</row>
    <row r="949">
      <c r="A949" s="40"/>
      <c r="B949" s="42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</row>
    <row r="950">
      <c r="A950" s="40"/>
      <c r="B950" s="42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</row>
    <row r="951">
      <c r="A951" s="40"/>
      <c r="B951" s="42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</row>
    <row r="952">
      <c r="A952" s="40"/>
      <c r="B952" s="42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</row>
    <row r="953">
      <c r="A953" s="40"/>
      <c r="B953" s="42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</row>
    <row r="954">
      <c r="A954" s="40"/>
      <c r="B954" s="42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</row>
    <row r="955">
      <c r="A955" s="40"/>
      <c r="B955" s="42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</row>
    <row r="956">
      <c r="A956" s="40"/>
      <c r="B956" s="42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</row>
    <row r="957">
      <c r="A957" s="40"/>
      <c r="B957" s="42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</row>
    <row r="958">
      <c r="A958" s="40"/>
      <c r="B958" s="42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</row>
    <row r="959">
      <c r="A959" s="40"/>
      <c r="B959" s="42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</row>
    <row r="960">
      <c r="A960" s="40"/>
      <c r="B960" s="42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</row>
    <row r="961">
      <c r="A961" s="40"/>
      <c r="B961" s="42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</row>
    <row r="962">
      <c r="A962" s="40"/>
      <c r="B962" s="42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</row>
    <row r="963">
      <c r="A963" s="40"/>
      <c r="B963" s="42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</row>
    <row r="964">
      <c r="A964" s="40"/>
      <c r="B964" s="42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</row>
    <row r="965">
      <c r="A965" s="40"/>
      <c r="B965" s="42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</row>
    <row r="966">
      <c r="A966" s="40"/>
      <c r="B966" s="42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</row>
    <row r="967">
      <c r="A967" s="40"/>
      <c r="B967" s="42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</row>
    <row r="968">
      <c r="A968" s="40"/>
      <c r="B968" s="42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</row>
    <row r="969">
      <c r="A969" s="40"/>
      <c r="B969" s="42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</row>
    <row r="970">
      <c r="A970" s="40"/>
      <c r="B970" s="42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</row>
    <row r="971">
      <c r="A971" s="40"/>
      <c r="B971" s="42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</row>
    <row r="972">
      <c r="A972" s="40"/>
      <c r="B972" s="42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</row>
    <row r="973">
      <c r="A973" s="40"/>
      <c r="B973" s="42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</row>
    <row r="974">
      <c r="A974" s="40"/>
      <c r="B974" s="42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</row>
    <row r="975">
      <c r="A975" s="40"/>
      <c r="B975" s="42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</row>
    <row r="976">
      <c r="A976" s="40"/>
      <c r="B976" s="42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</row>
    <row r="977">
      <c r="A977" s="40"/>
      <c r="B977" s="42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</row>
    <row r="978">
      <c r="A978" s="40"/>
      <c r="B978" s="42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</row>
    <row r="979">
      <c r="A979" s="40"/>
      <c r="B979" s="42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</row>
    <row r="980">
      <c r="A980" s="40"/>
      <c r="B980" s="42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</row>
    <row r="981">
      <c r="A981" s="40"/>
      <c r="B981" s="42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</row>
    <row r="982">
      <c r="A982" s="40"/>
      <c r="B982" s="42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</row>
    <row r="983">
      <c r="A983" s="40"/>
      <c r="B983" s="42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</row>
    <row r="984">
      <c r="A984" s="40"/>
      <c r="B984" s="42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</row>
    <row r="985">
      <c r="A985" s="40"/>
      <c r="B985" s="42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</row>
    <row r="986">
      <c r="A986" s="40"/>
      <c r="B986" s="42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</row>
    <row r="987">
      <c r="A987" s="40"/>
      <c r="B987" s="42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</row>
    <row r="988">
      <c r="A988" s="40"/>
      <c r="B988" s="42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</row>
    <row r="989">
      <c r="A989" s="40"/>
      <c r="B989" s="42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</row>
    <row r="990">
      <c r="A990" s="40"/>
      <c r="B990" s="42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</row>
    <row r="991">
      <c r="A991" s="40"/>
      <c r="B991" s="42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</row>
    <row r="992">
      <c r="A992" s="40"/>
      <c r="B992" s="42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</row>
    <row r="993">
      <c r="A993" s="40"/>
      <c r="B993" s="42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</row>
    <row r="994">
      <c r="A994" s="40"/>
      <c r="B994" s="42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</row>
    <row r="995">
      <c r="A995" s="40"/>
      <c r="B995" s="42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</row>
    <row r="996">
      <c r="B996" s="39"/>
    </row>
    <row r="997">
      <c r="B997" s="39"/>
    </row>
    <row r="998">
      <c r="B998" s="39"/>
    </row>
  </sheetData>
  <mergeCells count="4">
    <mergeCell ref="A1:AK1"/>
    <mergeCell ref="A2:A4"/>
    <mergeCell ref="B2:B4"/>
    <mergeCell ref="C2:AK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5.13"/>
    <col customWidth="1" min="2" max="2" width="10.13"/>
    <col customWidth="1" min="3" max="3" width="4.13"/>
    <col customWidth="1" min="4" max="4" width="4.25"/>
    <col customWidth="1" min="5" max="5" width="3.0"/>
    <col customWidth="1" min="6" max="6" width="4.25"/>
    <col customWidth="1" min="7" max="8" width="3.0"/>
    <col customWidth="1" min="9" max="9" width="4.25"/>
    <col customWidth="1" min="10" max="18" width="3.0"/>
    <col customWidth="1" min="19" max="19" width="4.25"/>
    <col customWidth="1" min="20" max="37" width="3.0"/>
    <col customWidth="1" min="38" max="38" width="10.38"/>
    <col customWidth="1" min="39" max="40" width="12.63"/>
    <col customWidth="1" min="41" max="41" width="11.25"/>
    <col customWidth="1" min="42" max="42" width="10.38"/>
  </cols>
  <sheetData>
    <row r="1">
      <c r="A1" s="11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7"/>
      <c r="AL1" s="2"/>
      <c r="AM1" s="2"/>
      <c r="AN1" s="2"/>
      <c r="AO1" s="2"/>
      <c r="AP1" s="2"/>
      <c r="AQ1" s="113">
        <v>45901.0</v>
      </c>
    </row>
    <row r="2">
      <c r="A2" s="4" t="s">
        <v>1</v>
      </c>
      <c r="B2" s="4" t="s">
        <v>2</v>
      </c>
      <c r="C2" s="5" t="str">
        <f>UPPER("HARI / BULAN : " &amp; TEXT(AQ1, "MMMM YYYY"))</f>
        <v>HARI / BULAN : SEPTEMBER 2025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  <c r="AL2" s="8"/>
      <c r="AM2" s="8"/>
      <c r="AN2" s="8"/>
      <c r="AO2" s="8"/>
      <c r="AP2" s="8"/>
      <c r="AQ2" s="10"/>
    </row>
    <row r="3">
      <c r="A3" s="11"/>
      <c r="B3" s="11"/>
      <c r="C3" s="12" t="str">
        <f t="shared" ref="C3:AG3" si="1">TEXT(C4,"dddd")</f>
        <v>Senin</v>
      </c>
      <c r="D3" s="12" t="str">
        <f t="shared" si="1"/>
        <v>Selasa</v>
      </c>
      <c r="E3" s="12" t="str">
        <f t="shared" si="1"/>
        <v>Rabu</v>
      </c>
      <c r="F3" s="12" t="str">
        <f t="shared" si="1"/>
        <v>Kamis</v>
      </c>
      <c r="G3" s="12" t="str">
        <f t="shared" si="1"/>
        <v>Jumat</v>
      </c>
      <c r="H3" s="12" t="str">
        <f t="shared" si="1"/>
        <v>Sabtu</v>
      </c>
      <c r="I3" s="12" t="str">
        <f t="shared" si="1"/>
        <v>Minggu</v>
      </c>
      <c r="J3" s="12" t="str">
        <f t="shared" si="1"/>
        <v>Senin</v>
      </c>
      <c r="K3" s="12" t="str">
        <f t="shared" si="1"/>
        <v>Selasa</v>
      </c>
      <c r="L3" s="12" t="str">
        <f t="shared" si="1"/>
        <v>Rabu</v>
      </c>
      <c r="M3" s="12" t="str">
        <f t="shared" si="1"/>
        <v>Kamis</v>
      </c>
      <c r="N3" s="12" t="str">
        <f t="shared" si="1"/>
        <v>Jumat</v>
      </c>
      <c r="O3" s="12" t="str">
        <f t="shared" si="1"/>
        <v>Sabtu</v>
      </c>
      <c r="P3" s="12" t="str">
        <f t="shared" si="1"/>
        <v>Minggu</v>
      </c>
      <c r="Q3" s="12" t="str">
        <f t="shared" si="1"/>
        <v>Senin</v>
      </c>
      <c r="R3" s="12" t="str">
        <f t="shared" si="1"/>
        <v>Selasa</v>
      </c>
      <c r="S3" s="12" t="str">
        <f t="shared" si="1"/>
        <v>Rabu</v>
      </c>
      <c r="T3" s="12" t="str">
        <f t="shared" si="1"/>
        <v>Kamis</v>
      </c>
      <c r="U3" s="12" t="str">
        <f t="shared" si="1"/>
        <v>Jumat</v>
      </c>
      <c r="V3" s="12" t="str">
        <f t="shared" si="1"/>
        <v>Sabtu</v>
      </c>
      <c r="W3" s="12" t="str">
        <f t="shared" si="1"/>
        <v>Minggu</v>
      </c>
      <c r="X3" s="12" t="str">
        <f t="shared" si="1"/>
        <v>Senin</v>
      </c>
      <c r="Y3" s="12" t="str">
        <f t="shared" si="1"/>
        <v>Selasa</v>
      </c>
      <c r="Z3" s="12" t="str">
        <f t="shared" si="1"/>
        <v>Rabu</v>
      </c>
      <c r="AA3" s="12" t="str">
        <f t="shared" si="1"/>
        <v>Kamis</v>
      </c>
      <c r="AB3" s="12" t="str">
        <f t="shared" si="1"/>
        <v>Jumat</v>
      </c>
      <c r="AC3" s="12" t="str">
        <f t="shared" si="1"/>
        <v>Sabtu</v>
      </c>
      <c r="AD3" s="12" t="str">
        <f t="shared" si="1"/>
        <v>Minggu</v>
      </c>
      <c r="AE3" s="12" t="str">
        <f t="shared" si="1"/>
        <v>Senin</v>
      </c>
      <c r="AF3" s="12" t="str">
        <f t="shared" si="1"/>
        <v>Selasa</v>
      </c>
      <c r="AG3" s="12" t="str">
        <f t="shared" si="1"/>
        <v/>
      </c>
      <c r="AH3" s="13" t="s">
        <v>3</v>
      </c>
      <c r="AI3" s="13" t="s">
        <v>4</v>
      </c>
      <c r="AJ3" s="13" t="s">
        <v>5</v>
      </c>
      <c r="AK3" s="13" t="s">
        <v>6</v>
      </c>
      <c r="AL3" s="14" t="s">
        <v>7</v>
      </c>
      <c r="AM3" s="14" t="s">
        <v>8</v>
      </c>
      <c r="AN3" s="14" t="s">
        <v>9</v>
      </c>
      <c r="AO3" s="14" t="s">
        <v>10</v>
      </c>
      <c r="AP3" s="14" t="s">
        <v>509</v>
      </c>
      <c r="AQ3" s="10"/>
    </row>
    <row r="4">
      <c r="A4" s="15"/>
      <c r="B4" s="15"/>
      <c r="C4" s="16">
        <f>AQ1</f>
        <v>45901</v>
      </c>
      <c r="D4" s="16">
        <f t="shared" ref="D4:AG4" si="2">IF(AND(MONTH(C4+1) = MONTH(C4), C4&lt;&gt;""),C4  + 1, "")</f>
        <v>45902</v>
      </c>
      <c r="E4" s="16">
        <f t="shared" si="2"/>
        <v>45903</v>
      </c>
      <c r="F4" s="16">
        <f t="shared" si="2"/>
        <v>45904</v>
      </c>
      <c r="G4" s="16">
        <f t="shared" si="2"/>
        <v>45905</v>
      </c>
      <c r="H4" s="16">
        <f t="shared" si="2"/>
        <v>45906</v>
      </c>
      <c r="I4" s="16">
        <f t="shared" si="2"/>
        <v>45907</v>
      </c>
      <c r="J4" s="16">
        <f t="shared" si="2"/>
        <v>45908</v>
      </c>
      <c r="K4" s="16">
        <f t="shared" si="2"/>
        <v>45909</v>
      </c>
      <c r="L4" s="16">
        <f t="shared" si="2"/>
        <v>45910</v>
      </c>
      <c r="M4" s="16">
        <f t="shared" si="2"/>
        <v>45911</v>
      </c>
      <c r="N4" s="16">
        <f t="shared" si="2"/>
        <v>45912</v>
      </c>
      <c r="O4" s="16">
        <f t="shared" si="2"/>
        <v>45913</v>
      </c>
      <c r="P4" s="16">
        <f t="shared" si="2"/>
        <v>45914</v>
      </c>
      <c r="Q4" s="16">
        <f t="shared" si="2"/>
        <v>45915</v>
      </c>
      <c r="R4" s="16">
        <f t="shared" si="2"/>
        <v>45916</v>
      </c>
      <c r="S4" s="16">
        <f t="shared" si="2"/>
        <v>45917</v>
      </c>
      <c r="T4" s="16">
        <f t="shared" si="2"/>
        <v>45918</v>
      </c>
      <c r="U4" s="16">
        <f t="shared" si="2"/>
        <v>45919</v>
      </c>
      <c r="V4" s="16">
        <f t="shared" si="2"/>
        <v>45920</v>
      </c>
      <c r="W4" s="16">
        <f t="shared" si="2"/>
        <v>45921</v>
      </c>
      <c r="X4" s="16">
        <f t="shared" si="2"/>
        <v>45922</v>
      </c>
      <c r="Y4" s="16">
        <f t="shared" si="2"/>
        <v>45923</v>
      </c>
      <c r="Z4" s="16">
        <f t="shared" si="2"/>
        <v>45924</v>
      </c>
      <c r="AA4" s="16">
        <f t="shared" si="2"/>
        <v>45925</v>
      </c>
      <c r="AB4" s="16">
        <f t="shared" si="2"/>
        <v>45926</v>
      </c>
      <c r="AC4" s="16">
        <f t="shared" si="2"/>
        <v>45927</v>
      </c>
      <c r="AD4" s="16">
        <f t="shared" si="2"/>
        <v>45928</v>
      </c>
      <c r="AE4" s="16">
        <f t="shared" si="2"/>
        <v>45929</v>
      </c>
      <c r="AF4" s="16">
        <f t="shared" si="2"/>
        <v>45930</v>
      </c>
      <c r="AG4" s="16" t="str">
        <f t="shared" si="2"/>
        <v/>
      </c>
      <c r="AH4" s="17"/>
      <c r="AI4" s="17"/>
      <c r="AJ4" s="18"/>
      <c r="AK4" s="18"/>
      <c r="AL4" s="19"/>
      <c r="AM4" s="19"/>
      <c r="AN4" s="19"/>
      <c r="AO4" s="19"/>
      <c r="AP4" s="19"/>
      <c r="AQ4" s="10"/>
    </row>
    <row r="5">
      <c r="A5" s="20" t="str">
        <f>'MASTER STOCK'!F2</f>
        <v>Fitting Gantung</v>
      </c>
      <c r="B5" s="21">
        <f>'AGS 25'!AJ5:AJ367</f>
        <v>12</v>
      </c>
      <c r="C5" s="22"/>
      <c r="D5" s="22"/>
      <c r="E5" s="10"/>
      <c r="F5" s="10"/>
      <c r="G5" s="22">
        <v>2.0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23">
        <f t="shared" ref="AH5:AH377" si="3">SUM(C5:AG5)</f>
        <v>2</v>
      </c>
      <c r="AI5" s="24">
        <v>0.0</v>
      </c>
      <c r="AJ5" s="23">
        <f t="shared" ref="AJ5:AJ377" si="4">B5-AH5</f>
        <v>10</v>
      </c>
      <c r="AK5" s="23">
        <f t="shared" ref="AK5:AK377" si="5">AJ5-AI5</f>
        <v>10</v>
      </c>
      <c r="AL5" s="25">
        <f>'MASTER STOCK'!I2</f>
        <v>1400</v>
      </c>
      <c r="AM5" s="27">
        <f>'MASTER STOCK'!L2</f>
        <v>1820</v>
      </c>
      <c r="AN5" s="27">
        <f t="shared" ref="AN5:AN377" si="6">AH5*AM5</f>
        <v>3640</v>
      </c>
      <c r="AO5" s="27">
        <f t="shared" ref="AO5:AO377" si="7">AN5-(AH5*AL5)</f>
        <v>840</v>
      </c>
      <c r="AP5" s="25">
        <f t="shared" ref="AP5:AP377" si="8">AH5*AL5</f>
        <v>2800</v>
      </c>
      <c r="AQ5" s="10"/>
    </row>
    <row r="6">
      <c r="A6" s="20" t="str">
        <f>'MASTER STOCK'!F3</f>
        <v>Colokan T </v>
      </c>
      <c r="B6" s="21">
        <f>'AGS 25'!AJ6:AJ368</f>
        <v>12</v>
      </c>
      <c r="C6" s="22"/>
      <c r="D6" s="10"/>
      <c r="E6" s="10"/>
      <c r="F6" s="10"/>
      <c r="G6" s="10"/>
      <c r="H6" s="22">
        <v>1.0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23">
        <f t="shared" si="3"/>
        <v>1</v>
      </c>
      <c r="AI6" s="24">
        <v>0.0</v>
      </c>
      <c r="AJ6" s="23">
        <f t="shared" si="4"/>
        <v>11</v>
      </c>
      <c r="AK6" s="23">
        <f t="shared" si="5"/>
        <v>11</v>
      </c>
      <c r="AL6" s="25">
        <f>'MASTER STOCK'!I3</f>
        <v>3000</v>
      </c>
      <c r="AM6" s="27">
        <f>'MASTER STOCK'!L3</f>
        <v>3900</v>
      </c>
      <c r="AN6" s="27">
        <f t="shared" si="6"/>
        <v>3900</v>
      </c>
      <c r="AO6" s="27">
        <f t="shared" si="7"/>
        <v>900</v>
      </c>
      <c r="AP6" s="25">
        <f t="shared" si="8"/>
        <v>3000</v>
      </c>
      <c r="AQ6" s="10"/>
    </row>
    <row r="7">
      <c r="A7" s="20" t="str">
        <f>'MASTER STOCK'!F4</f>
        <v>Steker Bulat</v>
      </c>
      <c r="B7" s="21">
        <f>'AGS 25'!AJ7:AJ369</f>
        <v>12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23">
        <f t="shared" si="3"/>
        <v>0</v>
      </c>
      <c r="AI7" s="24">
        <v>0.0</v>
      </c>
      <c r="AJ7" s="23">
        <f t="shared" si="4"/>
        <v>12</v>
      </c>
      <c r="AK7" s="23">
        <f t="shared" si="5"/>
        <v>12</v>
      </c>
      <c r="AL7" s="25">
        <f>'MASTER STOCK'!I4</f>
        <v>3000</v>
      </c>
      <c r="AM7" s="27">
        <f>'MASTER STOCK'!L4</f>
        <v>6000</v>
      </c>
      <c r="AN7" s="27">
        <f t="shared" si="6"/>
        <v>0</v>
      </c>
      <c r="AO7" s="27">
        <f t="shared" si="7"/>
        <v>0</v>
      </c>
      <c r="AP7" s="25">
        <f t="shared" si="8"/>
        <v>0</v>
      </c>
      <c r="AQ7" s="10"/>
    </row>
    <row r="8">
      <c r="A8" s="20" t="str">
        <f>'MASTER STOCK'!F5</f>
        <v>Steker Gepeng</v>
      </c>
      <c r="B8" s="21">
        <f>'AGS 25'!AJ8:AJ370</f>
        <v>12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23">
        <f t="shared" si="3"/>
        <v>0</v>
      </c>
      <c r="AI8" s="24">
        <v>0.0</v>
      </c>
      <c r="AJ8" s="23">
        <f t="shared" si="4"/>
        <v>12</v>
      </c>
      <c r="AK8" s="23">
        <f t="shared" si="5"/>
        <v>12</v>
      </c>
      <c r="AL8" s="25">
        <f>'MASTER STOCK'!I5</f>
        <v>1100</v>
      </c>
      <c r="AM8" s="27">
        <f>'MASTER STOCK'!L5</f>
        <v>1430</v>
      </c>
      <c r="AN8" s="27">
        <f t="shared" si="6"/>
        <v>0</v>
      </c>
      <c r="AO8" s="27">
        <f t="shared" si="7"/>
        <v>0</v>
      </c>
      <c r="AP8" s="25">
        <f t="shared" si="8"/>
        <v>0</v>
      </c>
      <c r="AQ8" s="10"/>
    </row>
    <row r="9">
      <c r="A9" s="20" t="str">
        <f>'MASTER STOCK'!F6</f>
        <v>Saklar Gantung Putih jumbo</v>
      </c>
      <c r="B9" s="21">
        <f>'AGS 25'!AJ9:AJ371</f>
        <v>12</v>
      </c>
      <c r="C9" s="10"/>
      <c r="D9" s="10"/>
      <c r="E9" s="10"/>
      <c r="F9" s="10"/>
      <c r="G9" s="22">
        <v>2.0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22">
        <v>1.0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23">
        <f t="shared" si="3"/>
        <v>3</v>
      </c>
      <c r="AI9" s="24">
        <v>0.0</v>
      </c>
      <c r="AJ9" s="23">
        <f t="shared" si="4"/>
        <v>9</v>
      </c>
      <c r="AK9" s="23">
        <f t="shared" si="5"/>
        <v>9</v>
      </c>
      <c r="AL9" s="25">
        <f>'MASTER STOCK'!I6</f>
        <v>2250</v>
      </c>
      <c r="AM9" s="27">
        <f>'MASTER STOCK'!L6</f>
        <v>4000</v>
      </c>
      <c r="AN9" s="27">
        <f t="shared" si="6"/>
        <v>12000</v>
      </c>
      <c r="AO9" s="27">
        <f t="shared" si="7"/>
        <v>5250</v>
      </c>
      <c r="AP9" s="25">
        <f t="shared" si="8"/>
        <v>6750</v>
      </c>
      <c r="AQ9" s="10"/>
    </row>
    <row r="10">
      <c r="A10" s="20" t="str">
        <f>'MASTER STOCK'!F7</f>
        <v>Saklar Gantung Hitam</v>
      </c>
      <c r="B10" s="21">
        <f>'AGS 25'!AJ10:AJ372</f>
        <v>12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23">
        <f t="shared" si="3"/>
        <v>0</v>
      </c>
      <c r="AI10" s="24">
        <v>0.0</v>
      </c>
      <c r="AJ10" s="23">
        <f t="shared" si="4"/>
        <v>12</v>
      </c>
      <c r="AK10" s="23">
        <f t="shared" si="5"/>
        <v>12</v>
      </c>
      <c r="AL10" s="25">
        <f>'MASTER STOCK'!I7</f>
        <v>1850</v>
      </c>
      <c r="AM10" s="27">
        <f>'MASTER STOCK'!L7</f>
        <v>4000</v>
      </c>
      <c r="AN10" s="27">
        <f t="shared" si="6"/>
        <v>0</v>
      </c>
      <c r="AO10" s="27">
        <f t="shared" si="7"/>
        <v>0</v>
      </c>
      <c r="AP10" s="25">
        <f t="shared" si="8"/>
        <v>0</v>
      </c>
      <c r="AQ10" s="10"/>
    </row>
    <row r="11">
      <c r="A11" s="20" t="str">
        <f>'MASTER STOCK'!F8</f>
        <v>Isolasi Hitam National</v>
      </c>
      <c r="B11" s="21">
        <f>'AGS 25'!AJ11:AJ373</f>
        <v>20</v>
      </c>
      <c r="C11" s="10"/>
      <c r="D11" s="10"/>
      <c r="E11" s="10"/>
      <c r="F11" s="10"/>
      <c r="G11" s="22">
        <v>1.0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23">
        <f t="shared" si="3"/>
        <v>1</v>
      </c>
      <c r="AI11" s="24">
        <v>0.0</v>
      </c>
      <c r="AJ11" s="23">
        <f t="shared" si="4"/>
        <v>19</v>
      </c>
      <c r="AK11" s="23">
        <f t="shared" si="5"/>
        <v>19</v>
      </c>
      <c r="AL11" s="25">
        <f>'MASTER STOCK'!I8</f>
        <v>5150</v>
      </c>
      <c r="AM11" s="27">
        <f>'MASTER STOCK'!L8</f>
        <v>7982.5</v>
      </c>
      <c r="AN11" s="27">
        <f t="shared" si="6"/>
        <v>7982.5</v>
      </c>
      <c r="AO11" s="27">
        <f t="shared" si="7"/>
        <v>2832.5</v>
      </c>
      <c r="AP11" s="25">
        <f t="shared" si="8"/>
        <v>5150</v>
      </c>
      <c r="AQ11" s="10"/>
    </row>
    <row r="12">
      <c r="A12" s="20" t="str">
        <f>'MASTER STOCK'!F9</f>
        <v>Lem PVC Isarplas 40gram</v>
      </c>
      <c r="B12" s="21">
        <f>'AGS 25'!AJ12:AJ374</f>
        <v>23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22"/>
      <c r="T12" s="10"/>
      <c r="U12" s="10"/>
      <c r="V12" s="10"/>
      <c r="W12" s="10"/>
      <c r="X12" s="10"/>
      <c r="Y12" s="22">
        <v>1.0</v>
      </c>
      <c r="Z12" s="10"/>
      <c r="AA12" s="10"/>
      <c r="AB12" s="10"/>
      <c r="AC12" s="10"/>
      <c r="AD12" s="10"/>
      <c r="AE12" s="10"/>
      <c r="AF12" s="10"/>
      <c r="AG12" s="10"/>
      <c r="AH12" s="23">
        <f t="shared" si="3"/>
        <v>1</v>
      </c>
      <c r="AI12" s="24">
        <v>0.0</v>
      </c>
      <c r="AJ12" s="23">
        <f t="shared" si="4"/>
        <v>22</v>
      </c>
      <c r="AK12" s="23">
        <f t="shared" si="5"/>
        <v>22</v>
      </c>
      <c r="AL12" s="25">
        <f>'MASTER STOCK'!I9</f>
        <v>6900</v>
      </c>
      <c r="AM12" s="27">
        <f>'MASTER STOCK'!L9</f>
        <v>9500</v>
      </c>
      <c r="AN12" s="27">
        <f t="shared" si="6"/>
        <v>9500</v>
      </c>
      <c r="AO12" s="27">
        <f t="shared" si="7"/>
        <v>2600</v>
      </c>
      <c r="AP12" s="25">
        <f t="shared" si="8"/>
        <v>6900</v>
      </c>
      <c r="AQ12" s="10"/>
    </row>
    <row r="13">
      <c r="A13" s="20" t="str">
        <f>'MASTER STOCK'!F10</f>
        <v>Isolasi Kran air onda </v>
      </c>
      <c r="B13" s="21">
        <f>'AGS 25'!AJ13:AJ375</f>
        <v>60</v>
      </c>
      <c r="C13" s="23"/>
      <c r="D13" s="23"/>
      <c r="E13" s="23"/>
      <c r="F13" s="2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23">
        <f t="shared" si="3"/>
        <v>0</v>
      </c>
      <c r="AI13" s="24">
        <v>0.0</v>
      </c>
      <c r="AJ13" s="23">
        <f t="shared" si="4"/>
        <v>60</v>
      </c>
      <c r="AK13" s="23">
        <f t="shared" si="5"/>
        <v>60</v>
      </c>
      <c r="AL13" s="25">
        <f>'MASTER STOCK'!I10</f>
        <v>1150</v>
      </c>
      <c r="AM13" s="27">
        <f>'MASTER STOCK'!L10</f>
        <v>1495</v>
      </c>
      <c r="AN13" s="27">
        <f t="shared" si="6"/>
        <v>0</v>
      </c>
      <c r="AO13" s="27">
        <f t="shared" si="7"/>
        <v>0</v>
      </c>
      <c r="AP13" s="25">
        <f t="shared" si="8"/>
        <v>0</v>
      </c>
      <c r="AQ13" s="10"/>
    </row>
    <row r="14">
      <c r="A14" s="20" t="str">
        <f>'MASTER STOCK'!F11</f>
        <v>Tutup Pipa 3/4"</v>
      </c>
      <c r="B14" s="21">
        <f>'AGS 25'!AJ14:AJ376</f>
        <v>50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23">
        <f t="shared" si="3"/>
        <v>0</v>
      </c>
      <c r="AI14" s="24">
        <v>0.0</v>
      </c>
      <c r="AJ14" s="23">
        <f t="shared" si="4"/>
        <v>50</v>
      </c>
      <c r="AK14" s="23">
        <f t="shared" si="5"/>
        <v>50</v>
      </c>
      <c r="AL14" s="25">
        <f>'MASTER STOCK'!I11</f>
        <v>850</v>
      </c>
      <c r="AM14" s="27">
        <f>'MASTER STOCK'!L11</f>
        <v>1275</v>
      </c>
      <c r="AN14" s="27">
        <f t="shared" si="6"/>
        <v>0</v>
      </c>
      <c r="AO14" s="27">
        <f t="shared" si="7"/>
        <v>0</v>
      </c>
      <c r="AP14" s="25">
        <f t="shared" si="8"/>
        <v>0</v>
      </c>
      <c r="AQ14" s="10"/>
    </row>
    <row r="15">
      <c r="A15" s="20" t="str">
        <f>'MASTER STOCK'!F12</f>
        <v>Fitting lampu gantung outdoor (10 m 5 fitting)</v>
      </c>
      <c r="B15" s="21">
        <f>'AGS 25'!AJ15:AJ377</f>
        <v>1</v>
      </c>
      <c r="C15" s="28"/>
      <c r="D15" s="28"/>
      <c r="E15" s="28"/>
      <c r="F15" s="28"/>
      <c r="G15" s="10"/>
      <c r="H15" s="10"/>
      <c r="I15" s="2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23">
        <f t="shared" si="3"/>
        <v>0</v>
      </c>
      <c r="AI15" s="24">
        <v>0.0</v>
      </c>
      <c r="AJ15" s="23">
        <f t="shared" si="4"/>
        <v>1</v>
      </c>
      <c r="AK15" s="23">
        <f t="shared" si="5"/>
        <v>1</v>
      </c>
      <c r="AL15" s="25">
        <f>'MASTER STOCK'!I12</f>
        <v>38000</v>
      </c>
      <c r="AM15" s="27">
        <f>'MASTER STOCK'!L12</f>
        <v>49400</v>
      </c>
      <c r="AN15" s="27">
        <f t="shared" si="6"/>
        <v>0</v>
      </c>
      <c r="AO15" s="27">
        <f t="shared" si="7"/>
        <v>0</v>
      </c>
      <c r="AP15" s="25">
        <f t="shared" si="8"/>
        <v>0</v>
      </c>
      <c r="AQ15" s="10"/>
    </row>
    <row r="16">
      <c r="A16" s="20" t="str">
        <f>'MASTER STOCK'!F13</f>
        <v>Obeng karet 4" plus</v>
      </c>
      <c r="B16" s="21">
        <f>'AGS 25'!AJ16:AJ378</f>
        <v>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23">
        <f t="shared" si="3"/>
        <v>0</v>
      </c>
      <c r="AI16" s="24">
        <v>0.0</v>
      </c>
      <c r="AJ16" s="23">
        <f t="shared" si="4"/>
        <v>5</v>
      </c>
      <c r="AK16" s="23">
        <f t="shared" si="5"/>
        <v>5</v>
      </c>
      <c r="AL16" s="25">
        <f>'MASTER STOCK'!I13</f>
        <v>5500</v>
      </c>
      <c r="AM16" s="27">
        <f>'MASTER STOCK'!L13</f>
        <v>7150</v>
      </c>
      <c r="AN16" s="27">
        <f t="shared" si="6"/>
        <v>0</v>
      </c>
      <c r="AO16" s="27">
        <f t="shared" si="7"/>
        <v>0</v>
      </c>
      <c r="AP16" s="25">
        <f t="shared" si="8"/>
        <v>0</v>
      </c>
      <c r="AQ16" s="10"/>
    </row>
    <row r="17">
      <c r="A17" s="20" t="str">
        <f>'MASTER STOCK'!F14</f>
        <v>Obeng karet 4" minus</v>
      </c>
      <c r="B17" s="21">
        <f>'AGS 25'!AJ17:AJ379</f>
        <v>4</v>
      </c>
      <c r="C17" s="28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22"/>
      <c r="T17" s="22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23">
        <f t="shared" si="3"/>
        <v>0</v>
      </c>
      <c r="AI17" s="24">
        <v>0.0</v>
      </c>
      <c r="AJ17" s="23">
        <f t="shared" si="4"/>
        <v>4</v>
      </c>
      <c r="AK17" s="23">
        <f t="shared" si="5"/>
        <v>4</v>
      </c>
      <c r="AL17" s="25">
        <f>'MASTER STOCK'!I14</f>
        <v>5500</v>
      </c>
      <c r="AM17" s="27">
        <f>'MASTER STOCK'!L14</f>
        <v>7150</v>
      </c>
      <c r="AN17" s="27">
        <f t="shared" si="6"/>
        <v>0</v>
      </c>
      <c r="AO17" s="27">
        <f t="shared" si="7"/>
        <v>0</v>
      </c>
      <c r="AP17" s="25">
        <f t="shared" si="8"/>
        <v>0</v>
      </c>
      <c r="AQ17" s="10"/>
    </row>
    <row r="18">
      <c r="A18" s="20" t="str">
        <f>'MASTER STOCK'!F15</f>
        <v>Obeng karet 6" plus</v>
      </c>
      <c r="B18" s="21">
        <f>'AGS 25'!AJ18:AJ380</f>
        <v>5</v>
      </c>
      <c r="C18" s="28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23">
        <f t="shared" si="3"/>
        <v>0</v>
      </c>
      <c r="AI18" s="24">
        <v>0.0</v>
      </c>
      <c r="AJ18" s="23">
        <f t="shared" si="4"/>
        <v>5</v>
      </c>
      <c r="AK18" s="23">
        <f t="shared" si="5"/>
        <v>5</v>
      </c>
      <c r="AL18" s="25">
        <f>'MASTER STOCK'!I15</f>
        <v>7000</v>
      </c>
      <c r="AM18" s="27">
        <f>'MASTER STOCK'!L15</f>
        <v>9100</v>
      </c>
      <c r="AN18" s="27">
        <f t="shared" si="6"/>
        <v>0</v>
      </c>
      <c r="AO18" s="27">
        <f t="shared" si="7"/>
        <v>0</v>
      </c>
      <c r="AP18" s="25">
        <f t="shared" si="8"/>
        <v>0</v>
      </c>
      <c r="AQ18" s="10"/>
    </row>
    <row r="19">
      <c r="A19" s="20" t="str">
        <f>'MASTER STOCK'!F16</f>
        <v>Obeng karet 6" Minus</v>
      </c>
      <c r="B19" s="21">
        <f>'AGS 25'!AJ19:AJ381</f>
        <v>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22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23">
        <f t="shared" si="3"/>
        <v>0</v>
      </c>
      <c r="AI19" s="24">
        <v>0.0</v>
      </c>
      <c r="AJ19" s="23">
        <f t="shared" si="4"/>
        <v>5</v>
      </c>
      <c r="AK19" s="23">
        <f t="shared" si="5"/>
        <v>5</v>
      </c>
      <c r="AL19" s="25">
        <f>'MASTER STOCK'!I16</f>
        <v>7000</v>
      </c>
      <c r="AM19" s="27">
        <f>'MASTER STOCK'!L16</f>
        <v>9100</v>
      </c>
      <c r="AN19" s="27">
        <f t="shared" si="6"/>
        <v>0</v>
      </c>
      <c r="AO19" s="27">
        <f t="shared" si="7"/>
        <v>0</v>
      </c>
      <c r="AP19" s="25">
        <f t="shared" si="8"/>
        <v>0</v>
      </c>
      <c r="AQ19" s="10"/>
    </row>
    <row r="20">
      <c r="A20" s="20" t="str">
        <f>'MASTER STOCK'!F17</f>
        <v>Kabel Awg 24 Double 2x18 merah hitam</v>
      </c>
      <c r="B20" s="21">
        <f>'AGS 25'!AJ20:AJ382</f>
        <v>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23">
        <f t="shared" si="3"/>
        <v>0</v>
      </c>
      <c r="AI20" s="24">
        <v>0.0</v>
      </c>
      <c r="AJ20" s="23">
        <f t="shared" si="4"/>
        <v>2</v>
      </c>
      <c r="AK20" s="23">
        <f t="shared" si="5"/>
        <v>2</v>
      </c>
      <c r="AL20" s="25">
        <f>'MASTER STOCK'!I17</f>
        <v>106500</v>
      </c>
      <c r="AM20" s="27">
        <f>'MASTER STOCK'!L17</f>
        <v>181050</v>
      </c>
      <c r="AN20" s="27">
        <f t="shared" si="6"/>
        <v>0</v>
      </c>
      <c r="AO20" s="27">
        <f t="shared" si="7"/>
        <v>0</v>
      </c>
      <c r="AP20" s="25">
        <f t="shared" si="8"/>
        <v>0</v>
      </c>
      <c r="AQ20" s="10"/>
    </row>
    <row r="21">
      <c r="A21" s="20" t="str">
        <f>'MASTER STOCK'!F18</f>
        <v>Kabel bintik serabut tembaga motor mobil 20mx0.5mm/0,85mm merah 0,5mm</v>
      </c>
      <c r="B21" s="21">
        <f>'AGS 25'!AJ21:AJ383</f>
        <v>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22">
        <v>1.0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23">
        <f t="shared" si="3"/>
        <v>1</v>
      </c>
      <c r="AI21" s="24">
        <v>0.0</v>
      </c>
      <c r="AJ21" s="23">
        <f t="shared" si="4"/>
        <v>1</v>
      </c>
      <c r="AK21" s="23">
        <f t="shared" si="5"/>
        <v>1</v>
      </c>
      <c r="AL21" s="25">
        <f>'MASTER STOCK'!I18</f>
        <v>33700</v>
      </c>
      <c r="AM21" s="27">
        <f>'MASTER STOCK'!L18</f>
        <v>57290</v>
      </c>
      <c r="AN21" s="27">
        <f t="shared" si="6"/>
        <v>57290</v>
      </c>
      <c r="AO21" s="27">
        <f t="shared" si="7"/>
        <v>23590</v>
      </c>
      <c r="AP21" s="25">
        <f t="shared" si="8"/>
        <v>33700</v>
      </c>
      <c r="AQ21" s="10"/>
    </row>
    <row r="22">
      <c r="A22" s="20" t="str">
        <f>'MASTER STOCK'!F19</f>
        <v>Kabel bintik serabut tembaga motor mobil 20mx0.5mm/0,85mm hitam 0,5mm</v>
      </c>
      <c r="B22" s="21">
        <f>'AGS 25'!AJ22:AJ384</f>
        <v>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22">
        <v>1.0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23">
        <f t="shared" si="3"/>
        <v>1</v>
      </c>
      <c r="AI22" s="24">
        <v>0.0</v>
      </c>
      <c r="AJ22" s="23">
        <f t="shared" si="4"/>
        <v>1</v>
      </c>
      <c r="AK22" s="23">
        <f t="shared" si="5"/>
        <v>1</v>
      </c>
      <c r="AL22" s="25">
        <f>'MASTER STOCK'!I19</f>
        <v>33700</v>
      </c>
      <c r="AM22" s="27">
        <f>'MASTER STOCK'!L19</f>
        <v>57290</v>
      </c>
      <c r="AN22" s="27">
        <f t="shared" si="6"/>
        <v>57290</v>
      </c>
      <c r="AO22" s="27">
        <f t="shared" si="7"/>
        <v>23590</v>
      </c>
      <c r="AP22" s="25">
        <f t="shared" si="8"/>
        <v>33700</v>
      </c>
      <c r="AQ22" s="10"/>
    </row>
    <row r="23">
      <c r="A23" s="20" t="str">
        <f>'MASTER STOCK'!F20</f>
        <v>Mata Gerinda keramik 4 inch kering</v>
      </c>
      <c r="B23" s="21">
        <f>'AGS 25'!AJ23:AJ385</f>
        <v>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23">
        <f t="shared" si="3"/>
        <v>0</v>
      </c>
      <c r="AI23" s="24">
        <v>0.0</v>
      </c>
      <c r="AJ23" s="23">
        <f t="shared" si="4"/>
        <v>5</v>
      </c>
      <c r="AK23" s="23">
        <f t="shared" si="5"/>
        <v>5</v>
      </c>
      <c r="AL23" s="25">
        <f>'MASTER STOCK'!I20</f>
        <v>12000</v>
      </c>
      <c r="AM23" s="27">
        <f>'MASTER STOCK'!L20</f>
        <v>18000</v>
      </c>
      <c r="AN23" s="27">
        <f t="shared" si="6"/>
        <v>0</v>
      </c>
      <c r="AO23" s="27">
        <f t="shared" si="7"/>
        <v>0</v>
      </c>
      <c r="AP23" s="25">
        <f t="shared" si="8"/>
        <v>0</v>
      </c>
      <c r="AQ23" s="10"/>
    </row>
    <row r="24">
      <c r="A24" s="20" t="str">
        <f>'MASTER STOCK'!F21</f>
        <v>Kabel tunggal serabut 0.8mmx25m biru 25m</v>
      </c>
      <c r="B24" s="21">
        <f>'AGS 25'!AJ24:AJ386</f>
        <v>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23">
        <f t="shared" si="3"/>
        <v>0</v>
      </c>
      <c r="AI24" s="24">
        <v>0.0</v>
      </c>
      <c r="AJ24" s="23">
        <f t="shared" si="4"/>
        <v>1</v>
      </c>
      <c r="AK24" s="23">
        <f t="shared" si="5"/>
        <v>1</v>
      </c>
      <c r="AL24" s="25">
        <f>'MASTER STOCK'!I21</f>
        <v>17500</v>
      </c>
      <c r="AM24" s="27">
        <f>'MASTER STOCK'!L21</f>
        <v>29750</v>
      </c>
      <c r="AN24" s="27">
        <f t="shared" si="6"/>
        <v>0</v>
      </c>
      <c r="AO24" s="27">
        <f t="shared" si="7"/>
        <v>0</v>
      </c>
      <c r="AP24" s="25">
        <f t="shared" si="8"/>
        <v>0</v>
      </c>
      <c r="AQ24" s="10"/>
    </row>
    <row r="25">
      <c r="A25" s="20" t="str">
        <f>'MASTER STOCK'!F22</f>
        <v>Kabel tunggal serabut 0.8mmx25m Hitam 25m</v>
      </c>
      <c r="B25" s="21">
        <f>'AGS 25'!AJ25:AJ387</f>
        <v>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23">
        <f t="shared" si="3"/>
        <v>0</v>
      </c>
      <c r="AI25" s="24">
        <v>0.0</v>
      </c>
      <c r="AJ25" s="23">
        <f t="shared" si="4"/>
        <v>1</v>
      </c>
      <c r="AK25" s="23">
        <f t="shared" si="5"/>
        <v>1</v>
      </c>
      <c r="AL25" s="25">
        <f>'MASTER STOCK'!I22</f>
        <v>17500</v>
      </c>
      <c r="AM25" s="27">
        <f>'MASTER STOCK'!L22</f>
        <v>29750</v>
      </c>
      <c r="AN25" s="27">
        <f t="shared" si="6"/>
        <v>0</v>
      </c>
      <c r="AO25" s="27">
        <f t="shared" si="7"/>
        <v>0</v>
      </c>
      <c r="AP25" s="25">
        <f t="shared" si="8"/>
        <v>0</v>
      </c>
      <c r="AQ25" s="10"/>
    </row>
    <row r="26">
      <c r="A26" s="20" t="str">
        <f>'MASTER STOCK'!F23</f>
        <v>Lampu Hias LED strip USB 10m+adaptor </v>
      </c>
      <c r="B26" s="21">
        <f>'AGS 25'!AJ26:AJ388</f>
        <v>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23">
        <f t="shared" si="3"/>
        <v>0</v>
      </c>
      <c r="AI26" s="24">
        <v>0.0</v>
      </c>
      <c r="AJ26" s="23">
        <f t="shared" si="4"/>
        <v>2</v>
      </c>
      <c r="AK26" s="23">
        <f t="shared" si="5"/>
        <v>2</v>
      </c>
      <c r="AL26" s="25">
        <f>'MASTER STOCK'!I23</f>
        <v>50000</v>
      </c>
      <c r="AM26" s="27">
        <f>'MASTER STOCK'!L23</f>
        <v>65000</v>
      </c>
      <c r="AN26" s="27">
        <f t="shared" si="6"/>
        <v>0</v>
      </c>
      <c r="AO26" s="27">
        <f t="shared" si="7"/>
        <v>0</v>
      </c>
      <c r="AP26" s="25">
        <f t="shared" si="8"/>
        <v>0</v>
      </c>
      <c r="AQ26" s="10"/>
    </row>
    <row r="27">
      <c r="A27" s="20" t="str">
        <f>'MASTER STOCK'!F24</f>
        <v>Lampu LED strip outdoor rainbow 10m +adaptor</v>
      </c>
      <c r="B27" s="21">
        <f>'AGS 25'!AJ27:AJ389</f>
        <v>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23">
        <f t="shared" si="3"/>
        <v>0</v>
      </c>
      <c r="AI27" s="24">
        <v>0.0</v>
      </c>
      <c r="AJ27" s="23">
        <f t="shared" si="4"/>
        <v>5</v>
      </c>
      <c r="AK27" s="23">
        <f t="shared" si="5"/>
        <v>5</v>
      </c>
      <c r="AL27" s="25">
        <f>'MASTER STOCK'!I24</f>
        <v>27000</v>
      </c>
      <c r="AM27" s="27">
        <f>'MASTER STOCK'!L24</f>
        <v>35100</v>
      </c>
      <c r="AN27" s="27">
        <f t="shared" si="6"/>
        <v>0</v>
      </c>
      <c r="AO27" s="27">
        <f t="shared" si="7"/>
        <v>0</v>
      </c>
      <c r="AP27" s="25">
        <f t="shared" si="8"/>
        <v>0</v>
      </c>
      <c r="AQ27" s="10"/>
    </row>
    <row r="28">
      <c r="A28" s="20" t="str">
        <f>'MASTER STOCK'!F25</f>
        <v>Lampu LED strip outdoor merah putih 10m +adaptor</v>
      </c>
      <c r="B28" s="21">
        <f>'AGS 25'!AJ28:AJ390</f>
        <v>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22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23">
        <f t="shared" si="3"/>
        <v>0</v>
      </c>
      <c r="AI28" s="24">
        <v>0.0</v>
      </c>
      <c r="AJ28" s="23">
        <f t="shared" si="4"/>
        <v>4</v>
      </c>
      <c r="AK28" s="23">
        <f t="shared" si="5"/>
        <v>4</v>
      </c>
      <c r="AL28" s="25">
        <f>'MASTER STOCK'!I25</f>
        <v>30000</v>
      </c>
      <c r="AM28" s="27">
        <f>'MASTER STOCK'!L25</f>
        <v>40500</v>
      </c>
      <c r="AN28" s="27">
        <f t="shared" si="6"/>
        <v>0</v>
      </c>
      <c r="AO28" s="27">
        <f t="shared" si="7"/>
        <v>0</v>
      </c>
      <c r="AP28" s="25">
        <f t="shared" si="8"/>
        <v>0</v>
      </c>
      <c r="AQ28" s="10"/>
    </row>
    <row r="29">
      <c r="A29" s="20" t="str">
        <f>'MASTER STOCK'!F26</f>
        <v>Lampu tumbler 10m (rainbow)</v>
      </c>
      <c r="B29" s="21">
        <f>'AGS 25'!AJ29:AJ391</f>
        <v>5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23">
        <f t="shared" si="3"/>
        <v>0</v>
      </c>
      <c r="AI29" s="24">
        <v>0.0</v>
      </c>
      <c r="AJ29" s="23">
        <f t="shared" si="4"/>
        <v>5</v>
      </c>
      <c r="AK29" s="23">
        <f t="shared" si="5"/>
        <v>5</v>
      </c>
      <c r="AL29" s="25">
        <f>'MASTER STOCK'!I26</f>
        <v>11000</v>
      </c>
      <c r="AM29" s="27">
        <f>'MASTER STOCK'!L26</f>
        <v>14300</v>
      </c>
      <c r="AN29" s="27">
        <f t="shared" si="6"/>
        <v>0</v>
      </c>
      <c r="AO29" s="27">
        <f t="shared" si="7"/>
        <v>0</v>
      </c>
      <c r="AP29" s="25">
        <f t="shared" si="8"/>
        <v>0</v>
      </c>
      <c r="AQ29" s="10"/>
    </row>
    <row r="30">
      <c r="A30" s="20" t="str">
        <f>'MASTER STOCK'!F27</f>
        <v>WD Gerinda potong besi</v>
      </c>
      <c r="B30" s="21">
        <f>'AGS 25'!AJ30:AJ392</f>
        <v>58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23">
        <f t="shared" si="3"/>
        <v>0</v>
      </c>
      <c r="AI30" s="24">
        <v>0.0</v>
      </c>
      <c r="AJ30" s="23">
        <f t="shared" si="4"/>
        <v>58</v>
      </c>
      <c r="AK30" s="23">
        <f t="shared" si="5"/>
        <v>58</v>
      </c>
      <c r="AL30" s="25">
        <f>'MASTER STOCK'!I27</f>
        <v>2900</v>
      </c>
      <c r="AM30" s="27">
        <f>'MASTER STOCK'!L27</f>
        <v>5000</v>
      </c>
      <c r="AN30" s="27">
        <f t="shared" si="6"/>
        <v>0</v>
      </c>
      <c r="AO30" s="27">
        <f t="shared" si="7"/>
        <v>0</v>
      </c>
      <c r="AP30" s="25">
        <f t="shared" si="8"/>
        <v>0</v>
      </c>
      <c r="AQ30" s="10"/>
    </row>
    <row r="31">
      <c r="A31" s="20" t="str">
        <f>'MASTER STOCK'!F28</f>
        <v>Meteran karet 7,5m (merk HPP)</v>
      </c>
      <c r="B31" s="21">
        <f>'AGS 25'!AJ31:AJ393</f>
        <v>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23">
        <f t="shared" si="3"/>
        <v>0</v>
      </c>
      <c r="AI31" s="24">
        <v>0.0</v>
      </c>
      <c r="AJ31" s="23">
        <f t="shared" si="4"/>
        <v>3</v>
      </c>
      <c r="AK31" s="23">
        <f t="shared" si="5"/>
        <v>3</v>
      </c>
      <c r="AL31" s="25">
        <f>'MASTER STOCK'!I28</f>
        <v>12800</v>
      </c>
      <c r="AM31" s="27">
        <f>'MASTER STOCK'!L28</f>
        <v>16640</v>
      </c>
      <c r="AN31" s="27">
        <f t="shared" si="6"/>
        <v>0</v>
      </c>
      <c r="AO31" s="27">
        <f t="shared" si="7"/>
        <v>0</v>
      </c>
      <c r="AP31" s="25">
        <f t="shared" si="8"/>
        <v>0</v>
      </c>
      <c r="AQ31" s="10"/>
    </row>
    <row r="32">
      <c r="A32" s="20" t="str">
        <f>'MASTER STOCK'!F29</f>
        <v>Meteran karet 5m (merk VPR)</v>
      </c>
      <c r="B32" s="21">
        <f>'AGS 25'!AJ32:AJ394</f>
        <v>3</v>
      </c>
      <c r="C32" s="22">
        <v>1.0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23">
        <f t="shared" si="3"/>
        <v>1</v>
      </c>
      <c r="AI32" s="24">
        <v>0.0</v>
      </c>
      <c r="AJ32" s="23">
        <f t="shared" si="4"/>
        <v>2</v>
      </c>
      <c r="AK32" s="23">
        <f t="shared" si="5"/>
        <v>2</v>
      </c>
      <c r="AL32" s="25">
        <f>'MASTER STOCK'!I29</f>
        <v>7000</v>
      </c>
      <c r="AM32" s="27">
        <f>'MASTER STOCK'!L29</f>
        <v>9100</v>
      </c>
      <c r="AN32" s="27">
        <f t="shared" si="6"/>
        <v>9100</v>
      </c>
      <c r="AO32" s="27">
        <f t="shared" si="7"/>
        <v>2100</v>
      </c>
      <c r="AP32" s="25">
        <f t="shared" si="8"/>
        <v>7000</v>
      </c>
      <c r="AQ32" s="10"/>
    </row>
    <row r="33">
      <c r="A33" s="20" t="str">
        <f>'MASTER STOCK'!F30</f>
        <v>Kuas cat 2 1/2" (merk MDN)</v>
      </c>
      <c r="B33" s="21">
        <f>'AGS 25'!AJ33:AJ395</f>
        <v>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23">
        <f t="shared" si="3"/>
        <v>0</v>
      </c>
      <c r="AI33" s="24">
        <v>0.0</v>
      </c>
      <c r="AJ33" s="23">
        <f t="shared" si="4"/>
        <v>5</v>
      </c>
      <c r="AK33" s="23">
        <f t="shared" si="5"/>
        <v>5</v>
      </c>
      <c r="AL33" s="25">
        <f>'MASTER STOCK'!I30</f>
        <v>5300</v>
      </c>
      <c r="AM33" s="27">
        <f>'MASTER STOCK'!L30</f>
        <v>6890</v>
      </c>
      <c r="AN33" s="27">
        <f t="shared" si="6"/>
        <v>0</v>
      </c>
      <c r="AO33" s="27">
        <f t="shared" si="7"/>
        <v>0</v>
      </c>
      <c r="AP33" s="25">
        <f t="shared" si="8"/>
        <v>0</v>
      </c>
      <c r="AQ33" s="10"/>
    </row>
    <row r="34">
      <c r="A34" s="20" t="str">
        <f>'MASTER STOCK'!F31</f>
        <v>Kuas cat 2" (merk MDN)</v>
      </c>
      <c r="B34" s="21">
        <f>'AGS 25'!AJ34:AJ396</f>
        <v>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23">
        <f t="shared" si="3"/>
        <v>0</v>
      </c>
      <c r="AI34" s="24">
        <v>0.0</v>
      </c>
      <c r="AJ34" s="23">
        <f t="shared" si="4"/>
        <v>5</v>
      </c>
      <c r="AK34" s="23">
        <f t="shared" si="5"/>
        <v>5</v>
      </c>
      <c r="AL34" s="25">
        <f>'MASTER STOCK'!I31</f>
        <v>4400</v>
      </c>
      <c r="AM34" s="27">
        <f>'MASTER STOCK'!L31</f>
        <v>5720</v>
      </c>
      <c r="AN34" s="27">
        <f t="shared" si="6"/>
        <v>0</v>
      </c>
      <c r="AO34" s="27">
        <f t="shared" si="7"/>
        <v>0</v>
      </c>
      <c r="AP34" s="25">
        <f t="shared" si="8"/>
        <v>0</v>
      </c>
      <c r="AQ34" s="10"/>
    </row>
    <row r="35">
      <c r="A35" s="20" t="str">
        <f>'MASTER STOCK'!F32</f>
        <v>Kuas cat 3" (merk MDN)</v>
      </c>
      <c r="B35" s="21">
        <f>'AGS 25'!AJ35:AJ397</f>
        <v>4</v>
      </c>
      <c r="C35" s="22">
        <v>1.0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22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23">
        <f t="shared" si="3"/>
        <v>1</v>
      </c>
      <c r="AI35" s="24">
        <v>0.0</v>
      </c>
      <c r="AJ35" s="23">
        <f t="shared" si="4"/>
        <v>3</v>
      </c>
      <c r="AK35" s="23">
        <f t="shared" si="5"/>
        <v>3</v>
      </c>
      <c r="AL35" s="25">
        <f>'MASTER STOCK'!I32</f>
        <v>6300</v>
      </c>
      <c r="AM35" s="27">
        <f>'MASTER STOCK'!L32</f>
        <v>8190</v>
      </c>
      <c r="AN35" s="27">
        <f t="shared" si="6"/>
        <v>8190</v>
      </c>
      <c r="AO35" s="27">
        <f t="shared" si="7"/>
        <v>1890</v>
      </c>
      <c r="AP35" s="25">
        <f t="shared" si="8"/>
        <v>6300</v>
      </c>
      <c r="AQ35" s="10"/>
    </row>
    <row r="36">
      <c r="A36" s="20" t="str">
        <f>'MASTER STOCK'!F33</f>
        <v>Kuas cat 1 1/2" (merk MDN)</v>
      </c>
      <c r="B36" s="21">
        <f>'AGS 25'!AJ36:AJ398</f>
        <v>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23">
        <f t="shared" si="3"/>
        <v>0</v>
      </c>
      <c r="AI36" s="24">
        <v>0.0</v>
      </c>
      <c r="AJ36" s="23">
        <f t="shared" si="4"/>
        <v>5</v>
      </c>
      <c r="AK36" s="23">
        <f t="shared" si="5"/>
        <v>5</v>
      </c>
      <c r="AL36" s="25">
        <f>'MASTER STOCK'!I33</f>
        <v>3400</v>
      </c>
      <c r="AM36" s="27">
        <f>'MASTER STOCK'!L33</f>
        <v>4420</v>
      </c>
      <c r="AN36" s="27">
        <f t="shared" si="6"/>
        <v>0</v>
      </c>
      <c r="AO36" s="27">
        <f t="shared" si="7"/>
        <v>0</v>
      </c>
      <c r="AP36" s="25">
        <f t="shared" si="8"/>
        <v>0</v>
      </c>
      <c r="AQ36" s="10"/>
    </row>
    <row r="37">
      <c r="A37" s="20" t="str">
        <f>'MASTER STOCK'!F34</f>
        <v>Kuas cat 1" (merk MDN)</v>
      </c>
      <c r="B37" s="21">
        <f>'AGS 25'!AJ37:AJ399</f>
        <v>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22">
        <v>1.0</v>
      </c>
      <c r="R37" s="10"/>
      <c r="S37" s="10"/>
      <c r="T37" s="22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23">
        <f t="shared" si="3"/>
        <v>1</v>
      </c>
      <c r="AI37" s="24">
        <v>0.0</v>
      </c>
      <c r="AJ37" s="23">
        <f t="shared" si="4"/>
        <v>3</v>
      </c>
      <c r="AK37" s="23">
        <f t="shared" si="5"/>
        <v>3</v>
      </c>
      <c r="AL37" s="25">
        <f>'MASTER STOCK'!I34</f>
        <v>2300</v>
      </c>
      <c r="AM37" s="27">
        <f>'MASTER STOCK'!L34</f>
        <v>2990</v>
      </c>
      <c r="AN37" s="27">
        <f t="shared" si="6"/>
        <v>2990</v>
      </c>
      <c r="AO37" s="27">
        <f t="shared" si="7"/>
        <v>690</v>
      </c>
      <c r="AP37" s="25">
        <f t="shared" si="8"/>
        <v>2300</v>
      </c>
      <c r="AQ37" s="10"/>
    </row>
    <row r="38">
      <c r="A38" s="20" t="str">
        <f>'MASTER STOCK'!F35</f>
        <v>Kran PVC Tembok 3/4"</v>
      </c>
      <c r="B38" s="21">
        <f>'AGS 25'!AJ38:AJ400</f>
        <v>24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22">
        <v>4.0</v>
      </c>
      <c r="R38" s="10"/>
      <c r="S38" s="10"/>
      <c r="T38" s="10"/>
      <c r="U38" s="10"/>
      <c r="V38" s="10"/>
      <c r="W38" s="10"/>
      <c r="X38" s="10"/>
      <c r="Y38" s="10"/>
      <c r="Z38" s="10"/>
      <c r="AA38" s="22">
        <v>1.0</v>
      </c>
      <c r="AB38" s="10"/>
      <c r="AC38" s="10"/>
      <c r="AD38" s="10"/>
      <c r="AE38" s="10"/>
      <c r="AF38" s="10"/>
      <c r="AG38" s="10"/>
      <c r="AH38" s="23">
        <f t="shared" si="3"/>
        <v>5</v>
      </c>
      <c r="AI38" s="24">
        <v>0.0</v>
      </c>
      <c r="AJ38" s="23">
        <f t="shared" si="4"/>
        <v>19</v>
      </c>
      <c r="AK38" s="23">
        <f t="shared" si="5"/>
        <v>19</v>
      </c>
      <c r="AL38" s="25">
        <f>'MASTER STOCK'!I35</f>
        <v>4200</v>
      </c>
      <c r="AM38" s="27">
        <f>'MASTER STOCK'!L35</f>
        <v>6000</v>
      </c>
      <c r="AN38" s="27">
        <f t="shared" si="6"/>
        <v>30000</v>
      </c>
      <c r="AO38" s="27">
        <f t="shared" si="7"/>
        <v>9000</v>
      </c>
      <c r="AP38" s="25">
        <f t="shared" si="8"/>
        <v>21000</v>
      </c>
      <c r="AQ38" s="10"/>
    </row>
    <row r="39">
      <c r="A39" s="20" t="str">
        <f>'MASTER STOCK'!F36</f>
        <v>Kran PVC Tembok 1/2"</v>
      </c>
      <c r="B39" s="21">
        <f>'AGS 25'!AJ39:AJ401</f>
        <v>24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23">
        <f t="shared" si="3"/>
        <v>0</v>
      </c>
      <c r="AI39" s="24">
        <v>0.0</v>
      </c>
      <c r="AJ39" s="23">
        <f t="shared" si="4"/>
        <v>24</v>
      </c>
      <c r="AK39" s="23">
        <f t="shared" si="5"/>
        <v>24</v>
      </c>
      <c r="AL39" s="25">
        <f>'MASTER STOCK'!I36</f>
        <v>4200</v>
      </c>
      <c r="AM39" s="27">
        <f>'MASTER STOCK'!L36</f>
        <v>6000</v>
      </c>
      <c r="AN39" s="27">
        <f t="shared" si="6"/>
        <v>0</v>
      </c>
      <c r="AO39" s="27">
        <f t="shared" si="7"/>
        <v>0</v>
      </c>
      <c r="AP39" s="25">
        <f t="shared" si="8"/>
        <v>0</v>
      </c>
      <c r="AQ39" s="10"/>
    </row>
    <row r="40">
      <c r="A40" s="20" t="str">
        <f>'MASTER STOCK'!F37</f>
        <v>Lampu bohlam inlite 5w Putih</v>
      </c>
      <c r="B40" s="21">
        <f>'AGS 25'!AJ40:AJ402</f>
        <v>7</v>
      </c>
      <c r="C40" s="22">
        <v>1.0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23">
        <f t="shared" si="3"/>
        <v>1</v>
      </c>
      <c r="AI40" s="24">
        <v>0.0</v>
      </c>
      <c r="AJ40" s="23">
        <f t="shared" si="4"/>
        <v>6</v>
      </c>
      <c r="AK40" s="23">
        <f t="shared" si="5"/>
        <v>6</v>
      </c>
      <c r="AL40" s="25">
        <f>'MASTER STOCK'!I37</f>
        <v>13000</v>
      </c>
      <c r="AM40" s="27">
        <f>'MASTER STOCK'!L37</f>
        <v>18200</v>
      </c>
      <c r="AN40" s="27">
        <f t="shared" si="6"/>
        <v>18200</v>
      </c>
      <c r="AO40" s="27">
        <f t="shared" si="7"/>
        <v>5200</v>
      </c>
      <c r="AP40" s="25">
        <f t="shared" si="8"/>
        <v>13000</v>
      </c>
      <c r="AQ40" s="10"/>
    </row>
    <row r="41">
      <c r="A41" s="20" t="str">
        <f>'MASTER STOCK'!F38</f>
        <v>Lampu bohlam inlite 7w Putih</v>
      </c>
      <c r="B41" s="21">
        <f>'AGS 25'!AJ41:AJ403</f>
        <v>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23">
        <f t="shared" si="3"/>
        <v>0</v>
      </c>
      <c r="AI41" s="24">
        <v>0.0</v>
      </c>
      <c r="AJ41" s="23">
        <f t="shared" si="4"/>
        <v>2</v>
      </c>
      <c r="AK41" s="23">
        <f t="shared" si="5"/>
        <v>2</v>
      </c>
      <c r="AL41" s="25">
        <f>'MASTER STOCK'!I38</f>
        <v>16200</v>
      </c>
      <c r="AM41" s="27">
        <f>'MASTER STOCK'!L38</f>
        <v>22680</v>
      </c>
      <c r="AN41" s="27">
        <f t="shared" si="6"/>
        <v>0</v>
      </c>
      <c r="AO41" s="27">
        <f t="shared" si="7"/>
        <v>0</v>
      </c>
      <c r="AP41" s="25">
        <f t="shared" si="8"/>
        <v>0</v>
      </c>
      <c r="AQ41" s="10"/>
    </row>
    <row r="42">
      <c r="A42" s="20" t="str">
        <f>'MASTER STOCK'!F39</f>
        <v>Lampu bohlam inlite 15w Putih</v>
      </c>
      <c r="B42" s="21">
        <f>'AGS 25'!AJ42:AJ404</f>
        <v>4</v>
      </c>
      <c r="C42" s="22">
        <v>1.0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23">
        <f t="shared" si="3"/>
        <v>1</v>
      </c>
      <c r="AI42" s="24">
        <v>0.0</v>
      </c>
      <c r="AJ42" s="23">
        <f t="shared" si="4"/>
        <v>3</v>
      </c>
      <c r="AK42" s="23">
        <f t="shared" si="5"/>
        <v>3</v>
      </c>
      <c r="AL42" s="25">
        <f>'MASTER STOCK'!I39</f>
        <v>28000</v>
      </c>
      <c r="AM42" s="27">
        <f>'MASTER STOCK'!L39</f>
        <v>39200</v>
      </c>
      <c r="AN42" s="27">
        <f t="shared" si="6"/>
        <v>39200</v>
      </c>
      <c r="AO42" s="27">
        <f t="shared" si="7"/>
        <v>11200</v>
      </c>
      <c r="AP42" s="25">
        <f t="shared" si="8"/>
        <v>28000</v>
      </c>
      <c r="AQ42" s="10"/>
    </row>
    <row r="43">
      <c r="A43" s="20" t="str">
        <f>'MASTER STOCK'!F40</f>
        <v>Lampu bohlam inlite 12w Putih</v>
      </c>
      <c r="B43" s="21">
        <f>'AGS 25'!AJ43:AJ405</f>
        <v>6</v>
      </c>
      <c r="C43" s="22">
        <v>1.0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23">
        <f t="shared" si="3"/>
        <v>1</v>
      </c>
      <c r="AI43" s="24">
        <v>0.0</v>
      </c>
      <c r="AJ43" s="23">
        <f t="shared" si="4"/>
        <v>5</v>
      </c>
      <c r="AK43" s="23">
        <f t="shared" si="5"/>
        <v>5</v>
      </c>
      <c r="AL43" s="25">
        <f>'MASTER STOCK'!I40</f>
        <v>25000</v>
      </c>
      <c r="AM43" s="27">
        <f>'MASTER STOCK'!L40</f>
        <v>30000</v>
      </c>
      <c r="AN43" s="27">
        <f t="shared" si="6"/>
        <v>30000</v>
      </c>
      <c r="AO43" s="27">
        <f t="shared" si="7"/>
        <v>5000</v>
      </c>
      <c r="AP43" s="25">
        <f t="shared" si="8"/>
        <v>25000</v>
      </c>
      <c r="AQ43" s="10"/>
    </row>
    <row r="44">
      <c r="A44" s="20" t="str">
        <f>'MASTER STOCK'!F41</f>
        <v>Lampu tintin platinum LED 9w</v>
      </c>
      <c r="B44" s="21">
        <f>'AGS 25'!AJ44:AJ406</f>
        <v>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22"/>
      <c r="S44" s="10"/>
      <c r="T44" s="22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23">
        <f t="shared" si="3"/>
        <v>0</v>
      </c>
      <c r="AI44" s="24">
        <v>0.0</v>
      </c>
      <c r="AJ44" s="23">
        <f t="shared" si="4"/>
        <v>4</v>
      </c>
      <c r="AK44" s="23">
        <f t="shared" si="5"/>
        <v>4</v>
      </c>
      <c r="AL44" s="25">
        <f>'MASTER STOCK'!I41</f>
        <v>7000</v>
      </c>
      <c r="AM44" s="27">
        <f>'MASTER STOCK'!L41</f>
        <v>9800</v>
      </c>
      <c r="AN44" s="27">
        <f t="shared" si="6"/>
        <v>0</v>
      </c>
      <c r="AO44" s="27">
        <f t="shared" si="7"/>
        <v>0</v>
      </c>
      <c r="AP44" s="25">
        <f t="shared" si="8"/>
        <v>0</v>
      </c>
      <c r="AQ44" s="10"/>
    </row>
    <row r="45">
      <c r="A45" s="20" t="str">
        <f>'MASTER STOCK'!F42</f>
        <v>Lampu tintin platinum LED 5w</v>
      </c>
      <c r="B45" s="21">
        <f>'AGS 25'!AJ45:AJ407</f>
        <v>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22"/>
      <c r="S45" s="10"/>
      <c r="T45" s="22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23">
        <f t="shared" si="3"/>
        <v>0</v>
      </c>
      <c r="AI45" s="24">
        <v>0.0</v>
      </c>
      <c r="AJ45" s="23">
        <f t="shared" si="4"/>
        <v>4</v>
      </c>
      <c r="AK45" s="23">
        <f t="shared" si="5"/>
        <v>4</v>
      </c>
      <c r="AL45" s="25">
        <f>'MASTER STOCK'!I42</f>
        <v>5000</v>
      </c>
      <c r="AM45" s="27">
        <f>'MASTER STOCK'!L42</f>
        <v>7000</v>
      </c>
      <c r="AN45" s="27">
        <f t="shared" si="6"/>
        <v>0</v>
      </c>
      <c r="AO45" s="27">
        <f t="shared" si="7"/>
        <v>0</v>
      </c>
      <c r="AP45" s="25">
        <f t="shared" si="8"/>
        <v>0</v>
      </c>
      <c r="AQ45" s="10"/>
    </row>
    <row r="46">
      <c r="A46" s="20" t="str">
        <f>'MASTER STOCK'!F43</f>
        <v>Lampu tintin platinum LED 21w</v>
      </c>
      <c r="B46" s="21">
        <f>'AGS 25'!AJ46:AJ408</f>
        <v>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23">
        <f t="shared" si="3"/>
        <v>0</v>
      </c>
      <c r="AI46" s="24">
        <v>0.0</v>
      </c>
      <c r="AJ46" s="23">
        <f t="shared" si="4"/>
        <v>3</v>
      </c>
      <c r="AK46" s="23">
        <f t="shared" si="5"/>
        <v>3</v>
      </c>
      <c r="AL46" s="25">
        <f>'MASTER STOCK'!I43</f>
        <v>15500</v>
      </c>
      <c r="AM46" s="27">
        <f>'MASTER STOCK'!L43</f>
        <v>21700</v>
      </c>
      <c r="AN46" s="27">
        <f t="shared" si="6"/>
        <v>0</v>
      </c>
      <c r="AO46" s="27">
        <f t="shared" si="7"/>
        <v>0</v>
      </c>
      <c r="AP46" s="25">
        <f t="shared" si="8"/>
        <v>0</v>
      </c>
      <c r="AQ46" s="10"/>
    </row>
    <row r="47">
      <c r="A47" s="20" t="str">
        <f>'MASTER STOCK'!F44</f>
        <v>Lampu tintin platinum LED 15w</v>
      </c>
      <c r="B47" s="21">
        <f>'AGS 25'!AJ47:AJ409</f>
        <v>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23">
        <f t="shared" si="3"/>
        <v>0</v>
      </c>
      <c r="AI47" s="24">
        <v>0.0</v>
      </c>
      <c r="AJ47" s="23">
        <f t="shared" si="4"/>
        <v>5</v>
      </c>
      <c r="AK47" s="23">
        <f t="shared" si="5"/>
        <v>5</v>
      </c>
      <c r="AL47" s="25">
        <f>'MASTER STOCK'!I44</f>
        <v>8800</v>
      </c>
      <c r="AM47" s="27">
        <f>'MASTER STOCK'!L44</f>
        <v>13000</v>
      </c>
      <c r="AN47" s="27">
        <f t="shared" si="6"/>
        <v>0</v>
      </c>
      <c r="AO47" s="27">
        <f t="shared" si="7"/>
        <v>0</v>
      </c>
      <c r="AP47" s="25">
        <f t="shared" si="8"/>
        <v>0</v>
      </c>
      <c r="AQ47" s="10"/>
    </row>
    <row r="48">
      <c r="A48" s="20" t="str">
        <f>'MASTER STOCK'!F45</f>
        <v>Lampu tintin platinum LED 12w</v>
      </c>
      <c r="B48" s="21">
        <f>'AGS 25'!AJ48:AJ410</f>
        <v>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23">
        <f t="shared" si="3"/>
        <v>0</v>
      </c>
      <c r="AI48" s="24">
        <v>0.0</v>
      </c>
      <c r="AJ48" s="23">
        <f t="shared" si="4"/>
        <v>5</v>
      </c>
      <c r="AK48" s="23">
        <f t="shared" si="5"/>
        <v>5</v>
      </c>
      <c r="AL48" s="25">
        <f>'MASTER STOCK'!I45</f>
        <v>7800</v>
      </c>
      <c r="AM48" s="27">
        <f>'MASTER STOCK'!L45</f>
        <v>10920</v>
      </c>
      <c r="AN48" s="27">
        <f t="shared" si="6"/>
        <v>0</v>
      </c>
      <c r="AO48" s="27">
        <f t="shared" si="7"/>
        <v>0</v>
      </c>
      <c r="AP48" s="25">
        <f t="shared" si="8"/>
        <v>0</v>
      </c>
      <c r="AQ48" s="10"/>
    </row>
    <row r="49">
      <c r="A49" s="20" t="str">
        <f>'MASTER STOCK'!F46</f>
        <v>Lampu tintin platinum LED 7w</v>
      </c>
      <c r="B49" s="21">
        <f>'AGS 25'!AJ49:AJ411</f>
        <v>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23">
        <f t="shared" si="3"/>
        <v>0</v>
      </c>
      <c r="AI49" s="24">
        <v>0.0</v>
      </c>
      <c r="AJ49" s="23">
        <f t="shared" si="4"/>
        <v>5</v>
      </c>
      <c r="AK49" s="23">
        <f t="shared" si="5"/>
        <v>5</v>
      </c>
      <c r="AL49" s="25">
        <f>'MASTER STOCK'!I46</f>
        <v>5800</v>
      </c>
      <c r="AM49" s="27">
        <f>'MASTER STOCK'!L46</f>
        <v>8120</v>
      </c>
      <c r="AN49" s="27">
        <f t="shared" si="6"/>
        <v>0</v>
      </c>
      <c r="AO49" s="27">
        <f t="shared" si="7"/>
        <v>0</v>
      </c>
      <c r="AP49" s="25">
        <f t="shared" si="8"/>
        <v>0</v>
      </c>
      <c r="AQ49" s="10"/>
    </row>
    <row r="50">
      <c r="A50" s="20" t="str">
        <f>'MASTER STOCK'!F47</f>
        <v>Gergaji kayu (POPEYE) 18 inch </v>
      </c>
      <c r="B50" s="21">
        <f>'AGS 25'!AJ50:AJ412</f>
        <v>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23">
        <f t="shared" si="3"/>
        <v>0</v>
      </c>
      <c r="AI50" s="24">
        <v>0.0</v>
      </c>
      <c r="AJ50" s="23">
        <f t="shared" si="4"/>
        <v>4</v>
      </c>
      <c r="AK50" s="23">
        <f t="shared" si="5"/>
        <v>4</v>
      </c>
      <c r="AL50" s="25">
        <f>'MASTER STOCK'!I47</f>
        <v>15000</v>
      </c>
      <c r="AM50" s="27">
        <f>'MASTER STOCK'!L47</f>
        <v>19500</v>
      </c>
      <c r="AN50" s="27">
        <f t="shared" si="6"/>
        <v>0</v>
      </c>
      <c r="AO50" s="27">
        <f t="shared" si="7"/>
        <v>0</v>
      </c>
      <c r="AP50" s="25">
        <f t="shared" si="8"/>
        <v>0</v>
      </c>
      <c r="AQ50" s="10"/>
    </row>
    <row r="51">
      <c r="A51" s="20" t="str">
        <f>'MASTER STOCK'!F48</f>
        <v>Kapi plamir plastik PVC 9" (23cm)</v>
      </c>
      <c r="B51" s="21">
        <f>'AGS 25'!AJ51:AJ413</f>
        <v>10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23">
        <f t="shared" si="3"/>
        <v>0</v>
      </c>
      <c r="AI51" s="24">
        <v>0.0</v>
      </c>
      <c r="AJ51" s="23">
        <f t="shared" si="4"/>
        <v>10</v>
      </c>
      <c r="AK51" s="23">
        <f t="shared" si="5"/>
        <v>10</v>
      </c>
      <c r="AL51" s="25">
        <f>'MASTER STOCK'!I48</f>
        <v>2200</v>
      </c>
      <c r="AM51" s="27">
        <f>'MASTER STOCK'!L48</f>
        <v>3300</v>
      </c>
      <c r="AN51" s="27">
        <f t="shared" si="6"/>
        <v>0</v>
      </c>
      <c r="AO51" s="27">
        <f t="shared" si="7"/>
        <v>0</v>
      </c>
      <c r="AP51" s="25">
        <f t="shared" si="8"/>
        <v>0</v>
      </c>
      <c r="AQ51" s="10"/>
    </row>
    <row r="52">
      <c r="A52" s="20" t="str">
        <f>'MASTER STOCK'!F49</f>
        <v>Kapi plamir plastik PVC 5" (12cm)</v>
      </c>
      <c r="B52" s="21">
        <f>'AGS 25'!AJ52:AJ414</f>
        <v>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23">
        <f t="shared" si="3"/>
        <v>0</v>
      </c>
      <c r="AI52" s="24">
        <v>0.0</v>
      </c>
      <c r="AJ52" s="23">
        <f t="shared" si="4"/>
        <v>5</v>
      </c>
      <c r="AK52" s="23">
        <f t="shared" si="5"/>
        <v>5</v>
      </c>
      <c r="AL52" s="25">
        <f>'MASTER STOCK'!I49</f>
        <v>1100</v>
      </c>
      <c r="AM52" s="27">
        <f>'MASTER STOCK'!L49</f>
        <v>1650</v>
      </c>
      <c r="AN52" s="27">
        <f t="shared" si="6"/>
        <v>0</v>
      </c>
      <c r="AO52" s="27">
        <f t="shared" si="7"/>
        <v>0</v>
      </c>
      <c r="AP52" s="25">
        <f t="shared" si="8"/>
        <v>0</v>
      </c>
      <c r="AQ52" s="10"/>
    </row>
    <row r="53">
      <c r="A53" s="20" t="str">
        <f>'MASTER STOCK'!F50</f>
        <v>Kapi plamir plastik PVC 7" (18cm)</v>
      </c>
      <c r="B53" s="21">
        <f>'AGS 25'!AJ53:AJ415</f>
        <v>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23">
        <f t="shared" si="3"/>
        <v>0</v>
      </c>
      <c r="AI53" s="24">
        <v>0.0</v>
      </c>
      <c r="AJ53" s="23">
        <f t="shared" si="4"/>
        <v>10</v>
      </c>
      <c r="AK53" s="23">
        <f t="shared" si="5"/>
        <v>10</v>
      </c>
      <c r="AL53" s="25">
        <f>'MASTER STOCK'!I50</f>
        <v>1500</v>
      </c>
      <c r="AM53" s="27">
        <f>'MASTER STOCK'!L50</f>
        <v>2250</v>
      </c>
      <c r="AN53" s="27">
        <f t="shared" si="6"/>
        <v>0</v>
      </c>
      <c r="AO53" s="27">
        <f t="shared" si="7"/>
        <v>0</v>
      </c>
      <c r="AP53" s="25">
        <f t="shared" si="8"/>
        <v>0</v>
      </c>
      <c r="AQ53" s="10"/>
    </row>
    <row r="54">
      <c r="A54" s="20" t="str">
        <f>'MASTER STOCK'!F51</f>
        <v>Tang Kombinasi karet 8"</v>
      </c>
      <c r="B54" s="21">
        <f>'AGS 25'!AJ54:AJ416</f>
        <v>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23">
        <f t="shared" si="3"/>
        <v>0</v>
      </c>
      <c r="AI54" s="24">
        <v>0.0</v>
      </c>
      <c r="AJ54" s="23">
        <f t="shared" si="4"/>
        <v>5</v>
      </c>
      <c r="AK54" s="23">
        <f t="shared" si="5"/>
        <v>5</v>
      </c>
      <c r="AL54" s="25">
        <f>'MASTER STOCK'!I51</f>
        <v>12000</v>
      </c>
      <c r="AM54" s="27">
        <f>'MASTER STOCK'!L51</f>
        <v>15600</v>
      </c>
      <c r="AN54" s="27">
        <f t="shared" si="6"/>
        <v>0</v>
      </c>
      <c r="AO54" s="27">
        <f t="shared" si="7"/>
        <v>0</v>
      </c>
      <c r="AP54" s="25">
        <f t="shared" si="8"/>
        <v>0</v>
      </c>
      <c r="AQ54" s="10"/>
    </row>
    <row r="55">
      <c r="A55" s="20" t="str">
        <f>'MASTER STOCK'!F52</f>
        <v>Tang Kombinasi 8"</v>
      </c>
      <c r="B55" s="21">
        <f>'AGS 25'!AJ55:AJ417</f>
        <v>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23">
        <f t="shared" si="3"/>
        <v>0</v>
      </c>
      <c r="AI55" s="24">
        <v>0.0</v>
      </c>
      <c r="AJ55" s="23">
        <f t="shared" si="4"/>
        <v>5</v>
      </c>
      <c r="AK55" s="23">
        <f t="shared" si="5"/>
        <v>5</v>
      </c>
      <c r="AL55" s="25">
        <f>'MASTER STOCK'!I52</f>
        <v>12500</v>
      </c>
      <c r="AM55" s="27">
        <f>'MASTER STOCK'!L52</f>
        <v>16250</v>
      </c>
      <c r="AN55" s="27">
        <f t="shared" si="6"/>
        <v>0</v>
      </c>
      <c r="AO55" s="27">
        <f t="shared" si="7"/>
        <v>0</v>
      </c>
      <c r="AP55" s="25">
        <f t="shared" si="8"/>
        <v>0</v>
      </c>
      <c r="AQ55" s="10"/>
    </row>
    <row r="56">
      <c r="A56" s="20" t="str">
        <f>'MASTER STOCK'!F53</f>
        <v>Stop Kontak Hitam 3L 5M </v>
      </c>
      <c r="B56" s="21">
        <f>'AGS 25'!AJ56:AJ418</f>
        <v>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23">
        <f t="shared" si="3"/>
        <v>0</v>
      </c>
      <c r="AI56" s="24">
        <v>0.0</v>
      </c>
      <c r="AJ56" s="23">
        <f t="shared" si="4"/>
        <v>2</v>
      </c>
      <c r="AK56" s="23">
        <f t="shared" si="5"/>
        <v>2</v>
      </c>
      <c r="AL56" s="25">
        <f>'MASTER STOCK'!I53</f>
        <v>18400</v>
      </c>
      <c r="AM56" s="27">
        <f>'MASTER STOCK'!L53</f>
        <v>27600</v>
      </c>
      <c r="AN56" s="27">
        <f t="shared" si="6"/>
        <v>0</v>
      </c>
      <c r="AO56" s="27">
        <f t="shared" si="7"/>
        <v>0</v>
      </c>
      <c r="AP56" s="25">
        <f t="shared" si="8"/>
        <v>0</v>
      </c>
      <c r="AQ56" s="10"/>
    </row>
    <row r="57">
      <c r="A57" s="20" t="str">
        <f>'MASTER STOCK'!F54</f>
        <v>Stop Kontak Hitam 4L 5M </v>
      </c>
      <c r="B57" s="21">
        <f>'AGS 25'!AJ57:AJ419</f>
        <v>3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23">
        <f t="shared" si="3"/>
        <v>0</v>
      </c>
      <c r="AI57" s="24">
        <v>0.0</v>
      </c>
      <c r="AJ57" s="23">
        <f t="shared" si="4"/>
        <v>3</v>
      </c>
      <c r="AK57" s="23">
        <f t="shared" si="5"/>
        <v>3</v>
      </c>
      <c r="AL57" s="25">
        <f>'MASTER STOCK'!I54</f>
        <v>19600</v>
      </c>
      <c r="AM57" s="27">
        <f>'MASTER STOCK'!L54</f>
        <v>29400</v>
      </c>
      <c r="AN57" s="27">
        <f t="shared" si="6"/>
        <v>0</v>
      </c>
      <c r="AO57" s="27">
        <f t="shared" si="7"/>
        <v>0</v>
      </c>
      <c r="AP57" s="25">
        <f t="shared" si="8"/>
        <v>0</v>
      </c>
      <c r="AQ57" s="10"/>
    </row>
    <row r="58">
      <c r="A58" s="20" t="str">
        <f>'MASTER STOCK'!F55</f>
        <v>Stop Kontak Hitam 5L 5M </v>
      </c>
      <c r="B58" s="21">
        <f>'AGS 25'!AJ58:AJ420</f>
        <v>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23">
        <f t="shared" si="3"/>
        <v>0</v>
      </c>
      <c r="AI58" s="24">
        <v>0.0</v>
      </c>
      <c r="AJ58" s="23">
        <f t="shared" si="4"/>
        <v>6</v>
      </c>
      <c r="AK58" s="23">
        <f t="shared" si="5"/>
        <v>6</v>
      </c>
      <c r="AL58" s="25">
        <f>'MASTER STOCK'!I55</f>
        <v>21000</v>
      </c>
      <c r="AM58" s="27">
        <f>'MASTER STOCK'!L55</f>
        <v>31500</v>
      </c>
      <c r="AN58" s="27">
        <f t="shared" si="6"/>
        <v>0</v>
      </c>
      <c r="AO58" s="27">
        <f t="shared" si="7"/>
        <v>0</v>
      </c>
      <c r="AP58" s="25">
        <f t="shared" si="8"/>
        <v>0</v>
      </c>
      <c r="AQ58" s="10"/>
    </row>
    <row r="59">
      <c r="A59" s="20" t="str">
        <f>'MASTER STOCK'!F56</f>
        <v>Stop Kontak Hitam 2L 5M </v>
      </c>
      <c r="B59" s="21">
        <f>'AGS 25'!AJ59:AJ421</f>
        <v>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23">
        <f t="shared" si="3"/>
        <v>0</v>
      </c>
      <c r="AI59" s="24">
        <v>0.0</v>
      </c>
      <c r="AJ59" s="23">
        <f t="shared" si="4"/>
        <v>2</v>
      </c>
      <c r="AK59" s="23">
        <f t="shared" si="5"/>
        <v>2</v>
      </c>
      <c r="AL59" s="25">
        <f>'MASTER STOCK'!I56</f>
        <v>17000</v>
      </c>
      <c r="AM59" s="27">
        <f>'MASTER STOCK'!L56</f>
        <v>25500</v>
      </c>
      <c r="AN59" s="27">
        <f t="shared" si="6"/>
        <v>0</v>
      </c>
      <c r="AO59" s="27">
        <f t="shared" si="7"/>
        <v>0</v>
      </c>
      <c r="AP59" s="25">
        <f t="shared" si="8"/>
        <v>0</v>
      </c>
      <c r="AQ59" s="10"/>
    </row>
    <row r="60">
      <c r="A60" s="20" t="str">
        <f>'MASTER STOCK'!F57</f>
        <v>Palu Konde besi cor gagang kayu ukuran 1LB</v>
      </c>
      <c r="B60" s="21">
        <f>'AGS 25'!AJ60:AJ422</f>
        <v>3</v>
      </c>
      <c r="C60" s="22">
        <v>1.0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23">
        <f t="shared" si="3"/>
        <v>1</v>
      </c>
      <c r="AI60" s="24">
        <v>0.0</v>
      </c>
      <c r="AJ60" s="23">
        <f t="shared" si="4"/>
        <v>2</v>
      </c>
      <c r="AK60" s="23">
        <f t="shared" si="5"/>
        <v>2</v>
      </c>
      <c r="AL60" s="25">
        <f>'MASTER STOCK'!I57</f>
        <v>17000</v>
      </c>
      <c r="AM60" s="27">
        <f>'MASTER STOCK'!L57</f>
        <v>22100</v>
      </c>
      <c r="AN60" s="27">
        <f t="shared" si="6"/>
        <v>22100</v>
      </c>
      <c r="AO60" s="27">
        <f t="shared" si="7"/>
        <v>5100</v>
      </c>
      <c r="AP60" s="25">
        <f t="shared" si="8"/>
        <v>17000</v>
      </c>
      <c r="AQ60" s="10"/>
    </row>
    <row r="61">
      <c r="A61" s="20" t="str">
        <f>'MASTER STOCK'!F58</f>
        <v>Lem kuning 100gr</v>
      </c>
      <c r="B61" s="21">
        <f>'AGS 25'!AJ61:AJ423</f>
        <v>22</v>
      </c>
      <c r="C61" s="22"/>
      <c r="D61" s="22">
        <v>1.0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22">
        <v>1.0</v>
      </c>
      <c r="R61" s="10"/>
      <c r="S61" s="10"/>
      <c r="T61" s="10"/>
      <c r="U61" s="10"/>
      <c r="V61" s="10"/>
      <c r="W61" s="10"/>
      <c r="X61" s="10"/>
      <c r="Y61" s="10"/>
      <c r="Z61" s="10"/>
      <c r="AA61" s="22">
        <v>2.0</v>
      </c>
      <c r="AB61" s="10"/>
      <c r="AC61" s="10"/>
      <c r="AD61" s="10"/>
      <c r="AE61" s="10"/>
      <c r="AF61" s="10"/>
      <c r="AG61" s="10"/>
      <c r="AH61" s="23">
        <f t="shared" si="3"/>
        <v>4</v>
      </c>
      <c r="AI61" s="24">
        <v>0.0</v>
      </c>
      <c r="AJ61" s="23">
        <f t="shared" si="4"/>
        <v>18</v>
      </c>
      <c r="AK61" s="23">
        <f t="shared" si="5"/>
        <v>18</v>
      </c>
      <c r="AL61" s="25">
        <f>'MASTER STOCK'!I58</f>
        <v>10000</v>
      </c>
      <c r="AM61" s="27">
        <f>'MASTER STOCK'!L58</f>
        <v>15000</v>
      </c>
      <c r="AN61" s="27">
        <f t="shared" si="6"/>
        <v>60000</v>
      </c>
      <c r="AO61" s="27">
        <f t="shared" si="7"/>
        <v>20000</v>
      </c>
      <c r="AP61" s="25">
        <f t="shared" si="8"/>
        <v>40000</v>
      </c>
      <c r="AQ61" s="10"/>
    </row>
    <row r="62">
      <c r="A62" s="20" t="str">
        <f>'MASTER STOCK'!F59</f>
        <v>Lem aica aibon kuning 125gr</v>
      </c>
      <c r="B62" s="21">
        <f>'AGS 25'!AJ62:AJ424</f>
        <v>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22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23">
        <f t="shared" si="3"/>
        <v>0</v>
      </c>
      <c r="AI62" s="24">
        <v>0.0</v>
      </c>
      <c r="AJ62" s="23">
        <f t="shared" si="4"/>
        <v>1</v>
      </c>
      <c r="AK62" s="23">
        <f t="shared" si="5"/>
        <v>1</v>
      </c>
      <c r="AL62" s="25">
        <f>'MASTER STOCK'!I59</f>
        <v>18200</v>
      </c>
      <c r="AM62" s="27">
        <f>'MASTER STOCK'!L59</f>
        <v>27300</v>
      </c>
      <c r="AN62" s="27">
        <f t="shared" si="6"/>
        <v>0</v>
      </c>
      <c r="AO62" s="27">
        <f t="shared" si="7"/>
        <v>0</v>
      </c>
      <c r="AP62" s="25">
        <f t="shared" si="8"/>
        <v>0</v>
      </c>
      <c r="AQ62" s="10"/>
    </row>
    <row r="63">
      <c r="A63" s="20" t="str">
        <f>'MASTER STOCK'!F60</f>
        <v>Kuas 4" incco</v>
      </c>
      <c r="B63" s="21">
        <f>'AGS 25'!AJ63:AJ425</f>
        <v>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22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23">
        <f t="shared" si="3"/>
        <v>0</v>
      </c>
      <c r="AI63" s="24">
        <v>0.0</v>
      </c>
      <c r="AJ63" s="23">
        <f t="shared" si="4"/>
        <v>2</v>
      </c>
      <c r="AK63" s="23">
        <f t="shared" si="5"/>
        <v>2</v>
      </c>
      <c r="AL63" s="25">
        <f>'MASTER STOCK'!I60</f>
        <v>15000</v>
      </c>
      <c r="AM63" s="27">
        <f>'MASTER STOCK'!L60</f>
        <v>19500</v>
      </c>
      <c r="AN63" s="27">
        <f t="shared" si="6"/>
        <v>0</v>
      </c>
      <c r="AO63" s="27">
        <f t="shared" si="7"/>
        <v>0</v>
      </c>
      <c r="AP63" s="25">
        <f t="shared" si="8"/>
        <v>0</v>
      </c>
      <c r="AQ63" s="10"/>
    </row>
    <row r="64">
      <c r="A64" s="20" t="str">
        <f>'MASTER STOCK'!F61</f>
        <v>Meteran Autostop Wilmer 5m*19mm</v>
      </c>
      <c r="B64" s="21">
        <f>'AGS 25'!AJ64:AJ426</f>
        <v>2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23">
        <f t="shared" si="3"/>
        <v>0</v>
      </c>
      <c r="AI64" s="24">
        <v>0.0</v>
      </c>
      <c r="AJ64" s="23">
        <f t="shared" si="4"/>
        <v>2</v>
      </c>
      <c r="AK64" s="23">
        <f t="shared" si="5"/>
        <v>2</v>
      </c>
      <c r="AL64" s="25">
        <f>'MASTER STOCK'!I61</f>
        <v>25000</v>
      </c>
      <c r="AM64" s="27">
        <f>'MASTER STOCK'!L61</f>
        <v>30000</v>
      </c>
      <c r="AN64" s="27">
        <f t="shared" si="6"/>
        <v>0</v>
      </c>
      <c r="AO64" s="27">
        <f t="shared" si="7"/>
        <v>0</v>
      </c>
      <c r="AP64" s="25">
        <f t="shared" si="8"/>
        <v>0</v>
      </c>
      <c r="AQ64" s="10"/>
    </row>
    <row r="65">
      <c r="A65" s="20" t="str">
        <f>'MASTER STOCK'!F62</f>
        <v>Precision S/Driver Obeng 6S DIY</v>
      </c>
      <c r="B65" s="21">
        <f>'AGS 25'!AJ65:AJ427</f>
        <v>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23">
        <f t="shared" si="3"/>
        <v>0</v>
      </c>
      <c r="AI65" s="24">
        <v>0.0</v>
      </c>
      <c r="AJ65" s="23">
        <f t="shared" si="4"/>
        <v>2</v>
      </c>
      <c r="AK65" s="23">
        <f t="shared" si="5"/>
        <v>2</v>
      </c>
      <c r="AL65" s="25">
        <f>'MASTER STOCK'!I62</f>
        <v>9500</v>
      </c>
      <c r="AM65" s="27">
        <f>'MASTER STOCK'!L62</f>
        <v>13300</v>
      </c>
      <c r="AN65" s="27">
        <f t="shared" si="6"/>
        <v>0</v>
      </c>
      <c r="AO65" s="27">
        <f t="shared" si="7"/>
        <v>0</v>
      </c>
      <c r="AP65" s="25">
        <f t="shared" si="8"/>
        <v>0</v>
      </c>
      <c r="AQ65" s="10"/>
    </row>
    <row r="66">
      <c r="A66" s="20" t="str">
        <f>'MASTER STOCK'!F63</f>
        <v>Blades / Isi Cutter Besar DIY</v>
      </c>
      <c r="B66" s="21">
        <f>'AGS 25'!AJ66:AJ428</f>
        <v>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23">
        <f t="shared" si="3"/>
        <v>0</v>
      </c>
      <c r="AI66" s="24">
        <v>0.0</v>
      </c>
      <c r="AJ66" s="23">
        <f t="shared" si="4"/>
        <v>20</v>
      </c>
      <c r="AK66" s="23">
        <f t="shared" si="5"/>
        <v>20</v>
      </c>
      <c r="AL66" s="25">
        <f>'MASTER STOCK'!I63</f>
        <v>1150</v>
      </c>
      <c r="AM66" s="27">
        <f>'MASTER STOCK'!L63</f>
        <v>1495</v>
      </c>
      <c r="AN66" s="27">
        <f t="shared" si="6"/>
        <v>0</v>
      </c>
      <c r="AO66" s="27">
        <f t="shared" si="7"/>
        <v>0</v>
      </c>
      <c r="AP66" s="25">
        <f t="shared" si="8"/>
        <v>0</v>
      </c>
      <c r="AQ66" s="10"/>
    </row>
    <row r="67">
      <c r="A67" s="20" t="str">
        <f>'MASTER STOCK'!F64</f>
        <v>Blades / Isi Cutter Kecil DIY</v>
      </c>
      <c r="B67" s="21">
        <f>'AGS 25'!AJ67:AJ429</f>
        <v>20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23">
        <f t="shared" si="3"/>
        <v>0</v>
      </c>
      <c r="AI67" s="24">
        <v>0.0</v>
      </c>
      <c r="AJ67" s="23">
        <f t="shared" si="4"/>
        <v>20</v>
      </c>
      <c r="AK67" s="23">
        <f t="shared" si="5"/>
        <v>20</v>
      </c>
      <c r="AL67" s="25">
        <f>'MASTER STOCK'!I64</f>
        <v>700</v>
      </c>
      <c r="AM67" s="27">
        <f>'MASTER STOCK'!L64</f>
        <v>1050</v>
      </c>
      <c r="AN67" s="27">
        <f t="shared" si="6"/>
        <v>0</v>
      </c>
      <c r="AO67" s="27">
        <f t="shared" si="7"/>
        <v>0</v>
      </c>
      <c r="AP67" s="25">
        <f t="shared" si="8"/>
        <v>0</v>
      </c>
      <c r="AQ67" s="10"/>
    </row>
    <row r="68">
      <c r="A68" s="20" t="str">
        <f>'MASTER STOCK'!F65</f>
        <v>Screwdriver  / Obeng 4" isi 2 DIY</v>
      </c>
      <c r="B68" s="21">
        <f>'AGS 25'!AJ68:AJ430</f>
        <v>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23">
        <f t="shared" si="3"/>
        <v>0</v>
      </c>
      <c r="AI68" s="24">
        <v>0.0</v>
      </c>
      <c r="AJ68" s="23">
        <f t="shared" si="4"/>
        <v>2</v>
      </c>
      <c r="AK68" s="23">
        <f t="shared" si="5"/>
        <v>2</v>
      </c>
      <c r="AL68" s="25">
        <f>'MASTER STOCK'!I65</f>
        <v>12000</v>
      </c>
      <c r="AM68" s="27">
        <f>'MASTER STOCK'!L65</f>
        <v>15600</v>
      </c>
      <c r="AN68" s="27">
        <f t="shared" si="6"/>
        <v>0</v>
      </c>
      <c r="AO68" s="27">
        <f t="shared" si="7"/>
        <v>0</v>
      </c>
      <c r="AP68" s="25">
        <f t="shared" si="8"/>
        <v>0</v>
      </c>
      <c r="AQ68" s="10"/>
    </row>
    <row r="69">
      <c r="A69" s="20" t="str">
        <f>'MASTER STOCK'!F66</f>
        <v>Test Pen DIY</v>
      </c>
      <c r="B69" s="21">
        <f>'AGS 25'!AJ69:AJ431</f>
        <v>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23">
        <f t="shared" si="3"/>
        <v>0</v>
      </c>
      <c r="AI69" s="24">
        <v>0.0</v>
      </c>
      <c r="AJ69" s="23">
        <f t="shared" si="4"/>
        <v>2</v>
      </c>
      <c r="AK69" s="23">
        <f t="shared" si="5"/>
        <v>2</v>
      </c>
      <c r="AL69" s="25">
        <f>'MASTER STOCK'!I66</f>
        <v>12000</v>
      </c>
      <c r="AM69" s="27">
        <f>'MASTER STOCK'!L66</f>
        <v>15600</v>
      </c>
      <c r="AN69" s="27">
        <f t="shared" si="6"/>
        <v>0</v>
      </c>
      <c r="AO69" s="27">
        <f t="shared" si="7"/>
        <v>0</v>
      </c>
      <c r="AP69" s="25">
        <f t="shared" si="8"/>
        <v>0</v>
      </c>
      <c r="AQ69" s="10"/>
    </row>
    <row r="70">
      <c r="A70" s="20" t="str">
        <f>'MASTER STOCK'!F67</f>
        <v>Door Bolt / Selot Pintu DIY 4"</v>
      </c>
      <c r="B70" s="21">
        <f>'AGS 25'!AJ70:AJ432</f>
        <v>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23">
        <f t="shared" si="3"/>
        <v>0</v>
      </c>
      <c r="AI70" s="24">
        <v>0.0</v>
      </c>
      <c r="AJ70" s="23">
        <f t="shared" si="4"/>
        <v>3</v>
      </c>
      <c r="AK70" s="23">
        <f t="shared" si="5"/>
        <v>3</v>
      </c>
      <c r="AL70" s="25">
        <f>'MASTER STOCK'!I67</f>
        <v>7500</v>
      </c>
      <c r="AM70" s="27">
        <f>'MASTER STOCK'!L67</f>
        <v>9750</v>
      </c>
      <c r="AN70" s="27">
        <f t="shared" si="6"/>
        <v>0</v>
      </c>
      <c r="AO70" s="27">
        <f t="shared" si="7"/>
        <v>0</v>
      </c>
      <c r="AP70" s="25">
        <f t="shared" si="8"/>
        <v>0</v>
      </c>
      <c r="AQ70" s="10"/>
    </row>
    <row r="71">
      <c r="A71" s="20" t="str">
        <f>'MASTER STOCK'!F68</f>
        <v>Door Bolt / Selot Pintu DIY 3"</v>
      </c>
      <c r="B71" s="21">
        <f>'AGS 25'!AJ71:AJ433</f>
        <v>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23">
        <f t="shared" si="3"/>
        <v>0</v>
      </c>
      <c r="AI71" s="24">
        <v>0.0</v>
      </c>
      <c r="AJ71" s="23">
        <f t="shared" si="4"/>
        <v>2</v>
      </c>
      <c r="AK71" s="23">
        <f t="shared" si="5"/>
        <v>2</v>
      </c>
      <c r="AL71" s="25">
        <f>'MASTER STOCK'!I68</f>
        <v>10500</v>
      </c>
      <c r="AM71" s="27">
        <f>'MASTER STOCK'!L68</f>
        <v>13650</v>
      </c>
      <c r="AN71" s="27">
        <f t="shared" si="6"/>
        <v>0</v>
      </c>
      <c r="AO71" s="27">
        <f t="shared" si="7"/>
        <v>0</v>
      </c>
      <c r="AP71" s="25">
        <f t="shared" si="8"/>
        <v>0</v>
      </c>
      <c r="AQ71" s="10"/>
    </row>
    <row r="72">
      <c r="A72" s="20" t="str">
        <f>'MASTER STOCK'!F69</f>
        <v>Kuas 2" incco</v>
      </c>
      <c r="B72" s="21">
        <f>'AGS 25'!AJ72:AJ434</f>
        <v>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23">
        <f t="shared" si="3"/>
        <v>0</v>
      </c>
      <c r="AI72" s="24">
        <v>0.0</v>
      </c>
      <c r="AJ72" s="23">
        <f t="shared" si="4"/>
        <v>3</v>
      </c>
      <c r="AK72" s="23">
        <f t="shared" si="5"/>
        <v>3</v>
      </c>
      <c r="AL72" s="25">
        <f>'MASTER STOCK'!I69</f>
        <v>7000</v>
      </c>
      <c r="AM72" s="27">
        <f>'MASTER STOCK'!L69</f>
        <v>9100</v>
      </c>
      <c r="AN72" s="27">
        <f t="shared" si="6"/>
        <v>0</v>
      </c>
      <c r="AO72" s="27">
        <f t="shared" si="7"/>
        <v>0</v>
      </c>
      <c r="AP72" s="25">
        <f t="shared" si="8"/>
        <v>0</v>
      </c>
      <c r="AQ72" s="10"/>
    </row>
    <row r="73">
      <c r="A73" s="20" t="str">
        <f>'MASTER STOCK'!F70</f>
        <v>Kuas 1" incco </v>
      </c>
      <c r="B73" s="21">
        <f>'AGS 25'!AJ73:AJ435</f>
        <v>5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23">
        <f t="shared" si="3"/>
        <v>0</v>
      </c>
      <c r="AI73" s="24">
        <v>0.0</v>
      </c>
      <c r="AJ73" s="23">
        <f t="shared" si="4"/>
        <v>5</v>
      </c>
      <c r="AK73" s="23">
        <f t="shared" si="5"/>
        <v>5</v>
      </c>
      <c r="AL73" s="25">
        <f>'MASTER STOCK'!I70</f>
        <v>3500</v>
      </c>
      <c r="AM73" s="27">
        <f>'MASTER STOCK'!L70</f>
        <v>4550</v>
      </c>
      <c r="AN73" s="27">
        <f t="shared" si="6"/>
        <v>0</v>
      </c>
      <c r="AO73" s="27">
        <f t="shared" si="7"/>
        <v>0</v>
      </c>
      <c r="AP73" s="25">
        <f t="shared" si="8"/>
        <v>0</v>
      </c>
      <c r="AQ73" s="10"/>
    </row>
    <row r="74">
      <c r="A74" s="20" t="str">
        <f>'MASTER STOCK'!F71</f>
        <v>Kapi Plastik Kuning DIY</v>
      </c>
      <c r="B74" s="21">
        <f>'AGS 25'!AJ74:AJ436</f>
        <v>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23">
        <f t="shared" si="3"/>
        <v>0</v>
      </c>
      <c r="AI74" s="24">
        <v>0.0</v>
      </c>
      <c r="AJ74" s="23">
        <f t="shared" si="4"/>
        <v>4</v>
      </c>
      <c r="AK74" s="23">
        <f t="shared" si="5"/>
        <v>4</v>
      </c>
      <c r="AL74" s="25">
        <f>'MASTER STOCK'!I71</f>
        <v>5500</v>
      </c>
      <c r="AM74" s="27">
        <f>'MASTER STOCK'!L71</f>
        <v>7150</v>
      </c>
      <c r="AN74" s="27">
        <f t="shared" si="6"/>
        <v>0</v>
      </c>
      <c r="AO74" s="27">
        <f t="shared" si="7"/>
        <v>0</v>
      </c>
      <c r="AP74" s="25">
        <f t="shared" si="8"/>
        <v>0</v>
      </c>
      <c r="AQ74" s="10"/>
    </row>
    <row r="75">
      <c r="A75" s="20" t="str">
        <f>'MASTER STOCK'!F72</f>
        <v>Kabel Ties 3.6x300mm (85 gram) isi 100 pcs</v>
      </c>
      <c r="B75" s="21">
        <f>'AGS 25'!AJ75:AJ437</f>
        <v>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23">
        <f t="shared" si="3"/>
        <v>0</v>
      </c>
      <c r="AI75" s="24">
        <v>0.0</v>
      </c>
      <c r="AJ75" s="23">
        <f t="shared" si="4"/>
        <v>1</v>
      </c>
      <c r="AK75" s="23">
        <f t="shared" si="5"/>
        <v>1</v>
      </c>
      <c r="AL75" s="25">
        <f>'MASTER STOCK'!I72</f>
        <v>11000</v>
      </c>
      <c r="AM75" s="27">
        <f>'MASTER STOCK'!L72</f>
        <v>16500</v>
      </c>
      <c r="AN75" s="27">
        <f t="shared" si="6"/>
        <v>0</v>
      </c>
      <c r="AO75" s="27">
        <f t="shared" si="7"/>
        <v>0</v>
      </c>
      <c r="AP75" s="25">
        <f t="shared" si="8"/>
        <v>0</v>
      </c>
      <c r="AQ75" s="10"/>
    </row>
    <row r="76">
      <c r="A76" s="20" t="str">
        <f>'MASTER STOCK'!F73</f>
        <v>Kabel Ties 3.6x150mm (60 gram) isi 100 pcs</v>
      </c>
      <c r="B76" s="21">
        <f>'AGS 25'!AJ76:AJ438</f>
        <v>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23">
        <f t="shared" si="3"/>
        <v>0</v>
      </c>
      <c r="AI76" s="24">
        <v>0.0</v>
      </c>
      <c r="AJ76" s="23">
        <f t="shared" si="4"/>
        <v>1</v>
      </c>
      <c r="AK76" s="23">
        <f t="shared" si="5"/>
        <v>1</v>
      </c>
      <c r="AL76" s="25">
        <f>'MASTER STOCK'!I73</f>
        <v>6500</v>
      </c>
      <c r="AM76" s="27">
        <f>'MASTER STOCK'!L73</f>
        <v>9750</v>
      </c>
      <c r="AN76" s="27">
        <f t="shared" si="6"/>
        <v>0</v>
      </c>
      <c r="AO76" s="27">
        <f t="shared" si="7"/>
        <v>0</v>
      </c>
      <c r="AP76" s="25">
        <f t="shared" si="8"/>
        <v>0</v>
      </c>
      <c r="AQ76" s="10"/>
    </row>
    <row r="77">
      <c r="A77" s="20" t="str">
        <f>'MASTER STOCK'!F74</f>
        <v>Kabel Ties 2.5x200mm (50 gram) isi 100 pcs</v>
      </c>
      <c r="B77" s="21">
        <f>'AGS 25'!AJ77:AJ439</f>
        <v>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23">
        <f t="shared" si="3"/>
        <v>0</v>
      </c>
      <c r="AI77" s="24">
        <v>0.0</v>
      </c>
      <c r="AJ77" s="23">
        <f t="shared" si="4"/>
        <v>1</v>
      </c>
      <c r="AK77" s="23">
        <f t="shared" si="5"/>
        <v>1</v>
      </c>
      <c r="AL77" s="25">
        <f>'MASTER STOCK'!I74</f>
        <v>5300</v>
      </c>
      <c r="AM77" s="27">
        <f>'MASTER STOCK'!L74</f>
        <v>7950</v>
      </c>
      <c r="AN77" s="27">
        <f t="shared" si="6"/>
        <v>0</v>
      </c>
      <c r="AO77" s="27">
        <f t="shared" si="7"/>
        <v>0</v>
      </c>
      <c r="AP77" s="25">
        <f t="shared" si="8"/>
        <v>0</v>
      </c>
      <c r="AQ77" s="10"/>
    </row>
    <row r="78">
      <c r="A78" s="20" t="str">
        <f>'MASTER STOCK'!F75</f>
        <v>Kabel Ties 2.5x100mm (50 gram) isi 100 pcs</v>
      </c>
      <c r="B78" s="21">
        <f>'AGS 25'!AJ78:AJ440</f>
        <v>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23">
        <f t="shared" si="3"/>
        <v>0</v>
      </c>
      <c r="AI78" s="24">
        <v>0.0</v>
      </c>
      <c r="AJ78" s="23">
        <f t="shared" si="4"/>
        <v>3</v>
      </c>
      <c r="AK78" s="23">
        <f t="shared" si="5"/>
        <v>3</v>
      </c>
      <c r="AL78" s="25">
        <f>'MASTER STOCK'!I75</f>
        <v>2850</v>
      </c>
      <c r="AM78" s="27">
        <f>'MASTER STOCK'!L75</f>
        <v>4275</v>
      </c>
      <c r="AN78" s="27">
        <f t="shared" si="6"/>
        <v>0</v>
      </c>
      <c r="AO78" s="27">
        <f t="shared" si="7"/>
        <v>0</v>
      </c>
      <c r="AP78" s="25">
        <f t="shared" si="8"/>
        <v>0</v>
      </c>
      <c r="AQ78" s="10"/>
    </row>
    <row r="79">
      <c r="A79" s="20" t="str">
        <f>'MASTER STOCK'!F76</f>
        <v>Kabel Ties 3.6x300mm (85 gram) isi 100 pcs</v>
      </c>
      <c r="B79" s="21">
        <f>'AGS 25'!AJ79:AJ441</f>
        <v>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23">
        <f t="shared" si="3"/>
        <v>0</v>
      </c>
      <c r="AI79" s="24">
        <v>0.0</v>
      </c>
      <c r="AJ79" s="23">
        <f t="shared" si="4"/>
        <v>1</v>
      </c>
      <c r="AK79" s="23">
        <f t="shared" si="5"/>
        <v>1</v>
      </c>
      <c r="AL79" s="25">
        <f>'MASTER STOCK'!I76</f>
        <v>11000</v>
      </c>
      <c r="AM79" s="27">
        <f>'MASTER STOCK'!L76</f>
        <v>16500</v>
      </c>
      <c r="AN79" s="27">
        <f t="shared" si="6"/>
        <v>0</v>
      </c>
      <c r="AO79" s="27">
        <f t="shared" si="7"/>
        <v>0</v>
      </c>
      <c r="AP79" s="25">
        <f t="shared" si="8"/>
        <v>0</v>
      </c>
      <c r="AQ79" s="10"/>
    </row>
    <row r="80">
      <c r="A80" s="20" t="str">
        <f>'MASTER STOCK'!F77</f>
        <v>Kabel Ties 2.5x150mm (50 gram) isi 100 pcs</v>
      </c>
      <c r="B80" s="21">
        <f>'AGS 25'!AJ80:AJ442</f>
        <v>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23">
        <f t="shared" si="3"/>
        <v>0</v>
      </c>
      <c r="AI80" s="24">
        <v>0.0</v>
      </c>
      <c r="AJ80" s="23">
        <f t="shared" si="4"/>
        <v>1</v>
      </c>
      <c r="AK80" s="23">
        <f t="shared" si="5"/>
        <v>1</v>
      </c>
      <c r="AL80" s="25">
        <f>'MASTER STOCK'!I77</f>
        <v>4100</v>
      </c>
      <c r="AM80" s="27">
        <f>'MASTER STOCK'!L77</f>
        <v>6150</v>
      </c>
      <c r="AN80" s="27">
        <f t="shared" si="6"/>
        <v>0</v>
      </c>
      <c r="AO80" s="27">
        <f t="shared" si="7"/>
        <v>0</v>
      </c>
      <c r="AP80" s="25">
        <f t="shared" si="8"/>
        <v>0</v>
      </c>
      <c r="AQ80" s="10"/>
    </row>
    <row r="81">
      <c r="A81" s="20" t="str">
        <f>'MASTER STOCK'!F78</f>
        <v>Kabel Ties 3.6x250mm (80 gram) isi 100 pcs</v>
      </c>
      <c r="B81" s="21">
        <f>'AGS 25'!AJ81:AJ443</f>
        <v>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23">
        <f t="shared" si="3"/>
        <v>0</v>
      </c>
      <c r="AI81" s="24">
        <v>0.0</v>
      </c>
      <c r="AJ81" s="23">
        <f t="shared" si="4"/>
        <v>1</v>
      </c>
      <c r="AK81" s="23">
        <f t="shared" si="5"/>
        <v>1</v>
      </c>
      <c r="AL81" s="25">
        <f>'MASTER STOCK'!I78</f>
        <v>10300</v>
      </c>
      <c r="AM81" s="27">
        <f>'MASTER STOCK'!L78</f>
        <v>15450</v>
      </c>
      <c r="AN81" s="27">
        <f t="shared" si="6"/>
        <v>0</v>
      </c>
      <c r="AO81" s="27">
        <f t="shared" si="7"/>
        <v>0</v>
      </c>
      <c r="AP81" s="25">
        <f t="shared" si="8"/>
        <v>0</v>
      </c>
      <c r="AQ81" s="10"/>
    </row>
    <row r="82">
      <c r="A82" s="20" t="str">
        <f>'MASTER STOCK'!F79</f>
        <v>Kabel Ties 4.8x200mm (85 gram) isi 100 pcs</v>
      </c>
      <c r="B82" s="21">
        <f>'AGS 25'!AJ82:AJ444</f>
        <v>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23">
        <f t="shared" si="3"/>
        <v>0</v>
      </c>
      <c r="AI82" s="24">
        <v>0.0</v>
      </c>
      <c r="AJ82" s="23">
        <f t="shared" si="4"/>
        <v>1</v>
      </c>
      <c r="AK82" s="23">
        <f t="shared" si="5"/>
        <v>1</v>
      </c>
      <c r="AL82" s="25">
        <f>'MASTER STOCK'!I79</f>
        <v>11000</v>
      </c>
      <c r="AM82" s="27">
        <f>'MASTER STOCK'!L79</f>
        <v>16500</v>
      </c>
      <c r="AN82" s="27">
        <f t="shared" si="6"/>
        <v>0</v>
      </c>
      <c r="AO82" s="27">
        <f t="shared" si="7"/>
        <v>0</v>
      </c>
      <c r="AP82" s="25">
        <f t="shared" si="8"/>
        <v>0</v>
      </c>
      <c r="AQ82" s="10"/>
    </row>
    <row r="83">
      <c r="A83" s="20" t="str">
        <f>'MASTER STOCK'!F80</f>
        <v>Kabel Ties 2.5x100mm (50 gram) isi 100 pcs</v>
      </c>
      <c r="B83" s="21">
        <f>'AGS 25'!AJ83:AJ445</f>
        <v>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23">
        <f t="shared" si="3"/>
        <v>0</v>
      </c>
      <c r="AI83" s="24">
        <v>0.0</v>
      </c>
      <c r="AJ83" s="23">
        <f t="shared" si="4"/>
        <v>1</v>
      </c>
      <c r="AK83" s="23">
        <f t="shared" si="5"/>
        <v>1</v>
      </c>
      <c r="AL83" s="25">
        <f>'MASTER STOCK'!I80</f>
        <v>2850</v>
      </c>
      <c r="AM83" s="27">
        <f>'MASTER STOCK'!L80</f>
        <v>4275</v>
      </c>
      <c r="AN83" s="27">
        <f t="shared" si="6"/>
        <v>0</v>
      </c>
      <c r="AO83" s="27">
        <f t="shared" si="7"/>
        <v>0</v>
      </c>
      <c r="AP83" s="25">
        <f t="shared" si="8"/>
        <v>0</v>
      </c>
      <c r="AQ83" s="10"/>
    </row>
    <row r="84">
      <c r="A84" s="20" t="str">
        <f>'MASTER STOCK'!F81</f>
        <v>Kabel Ties 3.6x150mm (70 gram) isi 100 pcs</v>
      </c>
      <c r="B84" s="21">
        <f>'AGS 25'!AJ84:AJ446</f>
        <v>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23">
        <f t="shared" si="3"/>
        <v>0</v>
      </c>
      <c r="AI84" s="24">
        <v>0.0</v>
      </c>
      <c r="AJ84" s="23">
        <f t="shared" si="4"/>
        <v>1</v>
      </c>
      <c r="AK84" s="23">
        <f t="shared" si="5"/>
        <v>1</v>
      </c>
      <c r="AL84" s="25">
        <f>'MASTER STOCK'!I81</f>
        <v>6500</v>
      </c>
      <c r="AM84" s="27">
        <f>'MASTER STOCK'!L81</f>
        <v>9750</v>
      </c>
      <c r="AN84" s="27">
        <f t="shared" si="6"/>
        <v>0</v>
      </c>
      <c r="AO84" s="27">
        <f t="shared" si="7"/>
        <v>0</v>
      </c>
      <c r="AP84" s="25">
        <f t="shared" si="8"/>
        <v>0</v>
      </c>
      <c r="AQ84" s="10"/>
    </row>
    <row r="85">
      <c r="A85" s="20" t="str">
        <f>'MASTER STOCK'!F82</f>
        <v>Kabel Ties 4.8x200mm (85 gram) isi 100 pcs</v>
      </c>
      <c r="B85" s="21">
        <f>'AGS 25'!AJ85:AJ447</f>
        <v>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23">
        <f t="shared" si="3"/>
        <v>0</v>
      </c>
      <c r="AI85" s="24">
        <v>0.0</v>
      </c>
      <c r="AJ85" s="23">
        <f t="shared" si="4"/>
        <v>1</v>
      </c>
      <c r="AK85" s="23">
        <f t="shared" si="5"/>
        <v>1</v>
      </c>
      <c r="AL85" s="25">
        <f>'MASTER STOCK'!I82</f>
        <v>11000</v>
      </c>
      <c r="AM85" s="27">
        <f>'MASTER STOCK'!L82</f>
        <v>16500</v>
      </c>
      <c r="AN85" s="27">
        <f t="shared" si="6"/>
        <v>0</v>
      </c>
      <c r="AO85" s="27">
        <f t="shared" si="7"/>
        <v>0</v>
      </c>
      <c r="AP85" s="25">
        <f t="shared" si="8"/>
        <v>0</v>
      </c>
      <c r="AQ85" s="10"/>
    </row>
    <row r="86">
      <c r="A86" s="20" t="str">
        <f>'MASTER STOCK'!F83</f>
        <v>Kabel Ties 3.6x250mm (70 gram) isi 100 pcs</v>
      </c>
      <c r="B86" s="21">
        <f>'AGS 25'!AJ86:AJ448</f>
        <v>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23">
        <f t="shared" si="3"/>
        <v>0</v>
      </c>
      <c r="AI86" s="24">
        <v>0.0</v>
      </c>
      <c r="AJ86" s="23">
        <f t="shared" si="4"/>
        <v>1</v>
      </c>
      <c r="AK86" s="23">
        <f t="shared" si="5"/>
        <v>1</v>
      </c>
      <c r="AL86" s="25">
        <f>'MASTER STOCK'!I83</f>
        <v>10300</v>
      </c>
      <c r="AM86" s="27">
        <f>'MASTER STOCK'!L83</f>
        <v>15450</v>
      </c>
      <c r="AN86" s="27">
        <f t="shared" si="6"/>
        <v>0</v>
      </c>
      <c r="AO86" s="27">
        <f t="shared" si="7"/>
        <v>0</v>
      </c>
      <c r="AP86" s="25">
        <f t="shared" si="8"/>
        <v>0</v>
      </c>
      <c r="AQ86" s="10"/>
    </row>
    <row r="87">
      <c r="A87" s="20" t="str">
        <f>'MASTER STOCK'!F84</f>
        <v>Kabel Transparan 2x30 90M full serabut per roll 2line</v>
      </c>
      <c r="B87" s="21">
        <f>'AGS 25'!AJ87:AJ449</f>
        <v>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23">
        <f t="shared" si="3"/>
        <v>0</v>
      </c>
      <c r="AI87" s="24">
        <v>0.0</v>
      </c>
      <c r="AJ87" s="23">
        <f t="shared" si="4"/>
        <v>1</v>
      </c>
      <c r="AK87" s="23">
        <f t="shared" si="5"/>
        <v>1</v>
      </c>
      <c r="AL87" s="25">
        <f>'MASTER STOCK'!I84</f>
        <v>80000</v>
      </c>
      <c r="AM87" s="27">
        <f>'MASTER STOCK'!L84</f>
        <v>136000</v>
      </c>
      <c r="AN87" s="27">
        <f t="shared" si="6"/>
        <v>0</v>
      </c>
      <c r="AO87" s="27">
        <f t="shared" si="7"/>
        <v>0</v>
      </c>
      <c r="AP87" s="25">
        <f t="shared" si="8"/>
        <v>0</v>
      </c>
      <c r="AQ87" s="10"/>
    </row>
    <row r="88">
      <c r="A88" s="20" t="str">
        <f>'MASTER STOCK'!F85</f>
        <v>Kabel Transparan 2x80 90M full serabut per roll 2line</v>
      </c>
      <c r="B88" s="21">
        <f>'AGS 25'!AJ88:AJ450</f>
        <v>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23">
        <f t="shared" si="3"/>
        <v>0</v>
      </c>
      <c r="AI88" s="24">
        <v>0.0</v>
      </c>
      <c r="AJ88" s="23">
        <f t="shared" si="4"/>
        <v>1</v>
      </c>
      <c r="AK88" s="23">
        <f t="shared" si="5"/>
        <v>1</v>
      </c>
      <c r="AL88" s="25">
        <f>'MASTER STOCK'!I85</f>
        <v>165000</v>
      </c>
      <c r="AM88" s="27">
        <f>'MASTER STOCK'!L85</f>
        <v>280500</v>
      </c>
      <c r="AN88" s="27">
        <f t="shared" si="6"/>
        <v>0</v>
      </c>
      <c r="AO88" s="27">
        <f t="shared" si="7"/>
        <v>0</v>
      </c>
      <c r="AP88" s="25">
        <f t="shared" si="8"/>
        <v>0</v>
      </c>
      <c r="AQ88" s="10"/>
    </row>
    <row r="89">
      <c r="A89" s="20" t="str">
        <f>'MASTER STOCK'!F86</f>
        <v>Kabel Transparan 2x50 90M full serabut per roll 2line</v>
      </c>
      <c r="B89" s="21">
        <f>'AGS 25'!AJ89:AJ451</f>
        <v>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23">
        <f t="shared" si="3"/>
        <v>0</v>
      </c>
      <c r="AI89" s="24">
        <v>0.0</v>
      </c>
      <c r="AJ89" s="23">
        <f t="shared" si="4"/>
        <v>1</v>
      </c>
      <c r="AK89" s="23">
        <f t="shared" si="5"/>
        <v>1</v>
      </c>
      <c r="AL89" s="25">
        <f>'MASTER STOCK'!I86</f>
        <v>140000</v>
      </c>
      <c r="AM89" s="27">
        <f>'MASTER STOCK'!L86</f>
        <v>238000</v>
      </c>
      <c r="AN89" s="27">
        <f t="shared" si="6"/>
        <v>0</v>
      </c>
      <c r="AO89" s="27">
        <f t="shared" si="7"/>
        <v>0</v>
      </c>
      <c r="AP89" s="25">
        <f t="shared" si="8"/>
        <v>0</v>
      </c>
      <c r="AQ89" s="10"/>
    </row>
    <row r="90">
      <c r="A90" s="20" t="str">
        <f>'MASTER STOCK'!F87</f>
        <v>Solder listrik gagang kayu 60watt</v>
      </c>
      <c r="B90" s="21">
        <f>'AGS 25'!AJ90:AJ452</f>
        <v>5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23">
        <f t="shared" si="3"/>
        <v>0</v>
      </c>
      <c r="AI90" s="24">
        <v>0.0</v>
      </c>
      <c r="AJ90" s="23">
        <f t="shared" si="4"/>
        <v>5</v>
      </c>
      <c r="AK90" s="23">
        <f t="shared" si="5"/>
        <v>5</v>
      </c>
      <c r="AL90" s="25">
        <f>'MASTER STOCK'!I87</f>
        <v>13000</v>
      </c>
      <c r="AM90" s="27">
        <f>'MASTER STOCK'!L87</f>
        <v>16900</v>
      </c>
      <c r="AN90" s="27">
        <f t="shared" si="6"/>
        <v>0</v>
      </c>
      <c r="AO90" s="27">
        <f t="shared" si="7"/>
        <v>0</v>
      </c>
      <c r="AP90" s="25">
        <f t="shared" si="8"/>
        <v>0</v>
      </c>
      <c r="AQ90" s="10"/>
    </row>
    <row r="91">
      <c r="A91" s="20" t="str">
        <f>'MASTER STOCK'!F88</f>
        <v>Timah gulung solder tenol elektrik</v>
      </c>
      <c r="B91" s="21">
        <f>'AGS 25'!AJ91:AJ453</f>
        <v>3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23">
        <f t="shared" si="3"/>
        <v>0</v>
      </c>
      <c r="AI91" s="24">
        <v>0.0</v>
      </c>
      <c r="AJ91" s="23">
        <f t="shared" si="4"/>
        <v>3</v>
      </c>
      <c r="AK91" s="23">
        <f t="shared" si="5"/>
        <v>3</v>
      </c>
      <c r="AL91" s="25">
        <f>'MASTER STOCK'!I88</f>
        <v>10500</v>
      </c>
      <c r="AM91" s="27">
        <f>'MASTER STOCK'!L88</f>
        <v>13650</v>
      </c>
      <c r="AN91" s="27">
        <f t="shared" si="6"/>
        <v>0</v>
      </c>
      <c r="AO91" s="27">
        <f t="shared" si="7"/>
        <v>0</v>
      </c>
      <c r="AP91" s="25">
        <f t="shared" si="8"/>
        <v>0</v>
      </c>
      <c r="AQ91" s="10"/>
    </row>
    <row r="92">
      <c r="A92" s="20" t="str">
        <f>'MASTER STOCK'!F89</f>
        <v>Solasi lakban coklat</v>
      </c>
      <c r="B92" s="21">
        <f>'AGS 25'!AJ92:AJ454</f>
        <v>6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23">
        <f t="shared" si="3"/>
        <v>0</v>
      </c>
      <c r="AI92" s="24">
        <v>0.0</v>
      </c>
      <c r="AJ92" s="23">
        <f t="shared" si="4"/>
        <v>6</v>
      </c>
      <c r="AK92" s="23">
        <f t="shared" si="5"/>
        <v>6</v>
      </c>
      <c r="AL92" s="25">
        <f>'MASTER STOCK'!I89</f>
        <v>3600</v>
      </c>
      <c r="AM92" s="27">
        <f>'MASTER STOCK'!L89</f>
        <v>5400</v>
      </c>
      <c r="AN92" s="27">
        <f t="shared" si="6"/>
        <v>0</v>
      </c>
      <c r="AO92" s="27">
        <f t="shared" si="7"/>
        <v>0</v>
      </c>
      <c r="AP92" s="25">
        <f t="shared" si="8"/>
        <v>0</v>
      </c>
      <c r="AQ92" s="10"/>
    </row>
    <row r="93">
      <c r="A93" s="20" t="str">
        <f>'MASTER STOCK'!F90</f>
        <v>Spidol Kecil snowman Hitam</v>
      </c>
      <c r="B93" s="21">
        <f>'AGS 25'!AJ93:AJ455</f>
        <v>12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23">
        <f t="shared" si="3"/>
        <v>0</v>
      </c>
      <c r="AI93" s="24">
        <v>0.0</v>
      </c>
      <c r="AJ93" s="23">
        <f t="shared" si="4"/>
        <v>12</v>
      </c>
      <c r="AK93" s="23">
        <f t="shared" si="5"/>
        <v>12</v>
      </c>
      <c r="AL93" s="25">
        <f>'MASTER STOCK'!I90</f>
        <v>1700</v>
      </c>
      <c r="AM93" s="27">
        <f>'MASTER STOCK'!L90</f>
        <v>2550</v>
      </c>
      <c r="AN93" s="27">
        <f t="shared" si="6"/>
        <v>0</v>
      </c>
      <c r="AO93" s="27">
        <f t="shared" si="7"/>
        <v>0</v>
      </c>
      <c r="AP93" s="25">
        <f t="shared" si="8"/>
        <v>0</v>
      </c>
      <c r="AQ93" s="10"/>
    </row>
    <row r="94">
      <c r="A94" s="20" t="str">
        <f>'MASTER STOCK'!F91</f>
        <v>Spidol Kecil snowman Merah</v>
      </c>
      <c r="B94" s="21">
        <f>'AGS 25'!AJ94:AJ456</f>
        <v>12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23">
        <f t="shared" si="3"/>
        <v>0</v>
      </c>
      <c r="AI94" s="24">
        <v>0.0</v>
      </c>
      <c r="AJ94" s="23">
        <f t="shared" si="4"/>
        <v>12</v>
      </c>
      <c r="AK94" s="23">
        <f t="shared" si="5"/>
        <v>12</v>
      </c>
      <c r="AL94" s="25">
        <f>'MASTER STOCK'!I91</f>
        <v>1700</v>
      </c>
      <c r="AM94" s="27">
        <f>'MASTER STOCK'!L91</f>
        <v>2550</v>
      </c>
      <c r="AN94" s="27">
        <f t="shared" si="6"/>
        <v>0</v>
      </c>
      <c r="AO94" s="27">
        <f t="shared" si="7"/>
        <v>0</v>
      </c>
      <c r="AP94" s="25">
        <f t="shared" si="8"/>
        <v>0</v>
      </c>
      <c r="AQ94" s="10"/>
    </row>
    <row r="95">
      <c r="A95" s="20" t="str">
        <f>'MASTER STOCK'!F92</f>
        <v>isolasi Lakban Packing bening</v>
      </c>
      <c r="B95" s="21">
        <f>'AGS 25'!AJ95:AJ457</f>
        <v>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23">
        <f t="shared" si="3"/>
        <v>0</v>
      </c>
      <c r="AI95" s="24">
        <v>0.0</v>
      </c>
      <c r="AJ95" s="23">
        <f t="shared" si="4"/>
        <v>6</v>
      </c>
      <c r="AK95" s="23">
        <f t="shared" si="5"/>
        <v>6</v>
      </c>
      <c r="AL95" s="25">
        <f>'MASTER STOCK'!I92</f>
        <v>4500</v>
      </c>
      <c r="AM95" s="27">
        <f>'MASTER STOCK'!L92</f>
        <v>5850</v>
      </c>
      <c r="AN95" s="27">
        <f t="shared" si="6"/>
        <v>0</v>
      </c>
      <c r="AO95" s="27">
        <f t="shared" si="7"/>
        <v>0</v>
      </c>
      <c r="AP95" s="25">
        <f t="shared" si="8"/>
        <v>0</v>
      </c>
      <c r="AQ95" s="10"/>
    </row>
    <row r="96">
      <c r="A96" s="20" t="str">
        <f>'MASTER STOCK'!F93</f>
        <v>Tali tampar/ Tali tukang</v>
      </c>
      <c r="B96" s="21">
        <f>'AGS 25'!AJ96:AJ458</f>
        <v>20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23">
        <f t="shared" si="3"/>
        <v>0</v>
      </c>
      <c r="AI96" s="24">
        <v>0.0</v>
      </c>
      <c r="AJ96" s="23">
        <f t="shared" si="4"/>
        <v>20</v>
      </c>
      <c r="AK96" s="23">
        <f t="shared" si="5"/>
        <v>20</v>
      </c>
      <c r="AL96" s="25">
        <f>'MASTER STOCK'!I93</f>
        <v>1750</v>
      </c>
      <c r="AM96" s="27">
        <f>'MASTER STOCK'!L93</f>
        <v>2275</v>
      </c>
      <c r="AN96" s="27">
        <f t="shared" si="6"/>
        <v>0</v>
      </c>
      <c r="AO96" s="27">
        <f t="shared" si="7"/>
        <v>0</v>
      </c>
      <c r="AP96" s="25">
        <f t="shared" si="8"/>
        <v>0</v>
      </c>
      <c r="AQ96" s="10"/>
    </row>
    <row r="97">
      <c r="A97" s="20" t="str">
        <f>'MASTER STOCK'!F94</f>
        <v>Keranjang serbaguna</v>
      </c>
      <c r="B97" s="21">
        <f>'AGS 25'!AJ97:AJ459</f>
        <v>24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23">
        <f t="shared" si="3"/>
        <v>0</v>
      </c>
      <c r="AI97" s="24">
        <v>0.0</v>
      </c>
      <c r="AJ97" s="23">
        <f t="shared" si="4"/>
        <v>24</v>
      </c>
      <c r="AK97" s="23">
        <f t="shared" si="5"/>
        <v>24</v>
      </c>
      <c r="AL97" s="25">
        <f>'MASTER STOCK'!I94</f>
        <v>4700</v>
      </c>
      <c r="AM97" s="27" t="str">
        <f>'MASTER STOCK'!L94</f>
        <v/>
      </c>
      <c r="AN97" s="27">
        <f t="shared" si="6"/>
        <v>0</v>
      </c>
      <c r="AO97" s="27">
        <f t="shared" si="7"/>
        <v>0</v>
      </c>
      <c r="AP97" s="25">
        <f t="shared" si="8"/>
        <v>0</v>
      </c>
      <c r="AQ97" s="10"/>
    </row>
    <row r="98">
      <c r="A98" s="20" t="str">
        <f>'MASTER STOCK'!F95</f>
        <v>Paku (Nail 2000) 1 1/2"</v>
      </c>
      <c r="B98" s="21">
        <f>'AGS 25'!AJ98:AJ460</f>
        <v>1.3</v>
      </c>
      <c r="C98" s="10"/>
      <c r="D98" s="22">
        <v>0.15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22">
        <v>0.1</v>
      </c>
      <c r="R98" s="10"/>
      <c r="S98" s="10"/>
      <c r="T98" s="10"/>
      <c r="U98" s="10"/>
      <c r="V98" s="22"/>
      <c r="W98" s="10"/>
      <c r="X98" s="10"/>
      <c r="Y98" s="10"/>
      <c r="Z98" s="22"/>
      <c r="AA98" s="22">
        <v>0.35</v>
      </c>
      <c r="AB98" s="10"/>
      <c r="AC98" s="10"/>
      <c r="AD98" s="10"/>
      <c r="AE98" s="10"/>
      <c r="AF98" s="10"/>
      <c r="AG98" s="10"/>
      <c r="AH98" s="23">
        <f t="shared" si="3"/>
        <v>0.6</v>
      </c>
      <c r="AI98" s="24">
        <v>0.0</v>
      </c>
      <c r="AJ98" s="23">
        <f t="shared" si="4"/>
        <v>0.7</v>
      </c>
      <c r="AK98" s="23">
        <f t="shared" si="5"/>
        <v>0.7</v>
      </c>
      <c r="AL98" s="25">
        <f>'MASTER STOCK'!I95</f>
        <v>14400</v>
      </c>
      <c r="AM98" s="27">
        <f>'MASTER STOCK'!L95</f>
        <v>18720</v>
      </c>
      <c r="AN98" s="27">
        <f t="shared" si="6"/>
        <v>11232</v>
      </c>
      <c r="AO98" s="27">
        <f t="shared" si="7"/>
        <v>2592</v>
      </c>
      <c r="AP98" s="25">
        <f t="shared" si="8"/>
        <v>8640</v>
      </c>
      <c r="AQ98" s="10"/>
    </row>
    <row r="99">
      <c r="A99" s="20" t="str">
        <f>'MASTER STOCK'!F96</f>
        <v>Paku (Nail 2000) 2 1/2"</v>
      </c>
      <c r="B99" s="21">
        <f>'AGS 25'!AJ99:AJ461</f>
        <v>19.9</v>
      </c>
      <c r="C99" s="22">
        <v>0.15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23">
        <f t="shared" si="3"/>
        <v>0.15</v>
      </c>
      <c r="AI99" s="24">
        <v>0.0</v>
      </c>
      <c r="AJ99" s="23">
        <f t="shared" si="4"/>
        <v>19.75</v>
      </c>
      <c r="AK99" s="23">
        <f t="shared" si="5"/>
        <v>19.75</v>
      </c>
      <c r="AL99" s="25">
        <f>'MASTER STOCK'!I96</f>
        <v>13500</v>
      </c>
      <c r="AM99" s="27">
        <f>'MASTER STOCK'!L96</f>
        <v>17550</v>
      </c>
      <c r="AN99" s="27">
        <f t="shared" si="6"/>
        <v>2632.5</v>
      </c>
      <c r="AO99" s="27">
        <f t="shared" si="7"/>
        <v>607.5</v>
      </c>
      <c r="AP99" s="25">
        <f t="shared" si="8"/>
        <v>2025</v>
      </c>
      <c r="AQ99" s="10"/>
    </row>
    <row r="100">
      <c r="A100" s="20" t="str">
        <f>'MASTER STOCK'!F97</f>
        <v>Paku (Nail 2000) 3"</v>
      </c>
      <c r="B100" s="21">
        <f>'AGS 25'!AJ100:AJ462</f>
        <v>18.8</v>
      </c>
      <c r="C100" s="22"/>
      <c r="D100" s="10"/>
      <c r="E100" s="10"/>
      <c r="F100" s="22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22"/>
      <c r="V100" s="10"/>
      <c r="W100" s="10"/>
      <c r="X100" s="10"/>
      <c r="Y100" s="22">
        <v>0.5</v>
      </c>
      <c r="Z100" s="10"/>
      <c r="AA100" s="10"/>
      <c r="AB100" s="10"/>
      <c r="AC100" s="10"/>
      <c r="AD100" s="10"/>
      <c r="AE100" s="10"/>
      <c r="AF100" s="10"/>
      <c r="AG100" s="10"/>
      <c r="AH100" s="23">
        <f t="shared" si="3"/>
        <v>0.5</v>
      </c>
      <c r="AI100" s="24">
        <v>0.0</v>
      </c>
      <c r="AJ100" s="23">
        <f t="shared" si="4"/>
        <v>18.3</v>
      </c>
      <c r="AK100" s="23">
        <f t="shared" si="5"/>
        <v>18.3</v>
      </c>
      <c r="AL100" s="25">
        <f>'MASTER STOCK'!I97</f>
        <v>13500</v>
      </c>
      <c r="AM100" s="27">
        <f>'MASTER STOCK'!L97</f>
        <v>17550</v>
      </c>
      <c r="AN100" s="27">
        <f t="shared" si="6"/>
        <v>8775</v>
      </c>
      <c r="AO100" s="27">
        <f t="shared" si="7"/>
        <v>2025</v>
      </c>
      <c r="AP100" s="25">
        <f t="shared" si="8"/>
        <v>6750</v>
      </c>
      <c r="AQ100" s="10"/>
    </row>
    <row r="101">
      <c r="A101" s="20" t="str">
        <f>'MASTER STOCK'!F98</f>
        <v>Paku (Nail 2000) 1"</v>
      </c>
      <c r="B101" s="21">
        <f>'AGS 25'!AJ101:AJ463</f>
        <v>3.35</v>
      </c>
      <c r="C101" s="22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22">
        <v>0.25</v>
      </c>
      <c r="Z101" s="10"/>
      <c r="AA101" s="10"/>
      <c r="AB101" s="10"/>
      <c r="AC101" s="10"/>
      <c r="AD101" s="10"/>
      <c r="AE101" s="10"/>
      <c r="AF101" s="10"/>
      <c r="AG101" s="10"/>
      <c r="AH101" s="23">
        <f t="shared" si="3"/>
        <v>0.25</v>
      </c>
      <c r="AI101" s="24">
        <v>0.0</v>
      </c>
      <c r="AJ101" s="23">
        <f t="shared" si="4"/>
        <v>3.1</v>
      </c>
      <c r="AK101" s="23">
        <f t="shared" si="5"/>
        <v>3.1</v>
      </c>
      <c r="AL101" s="25">
        <f>'MASTER STOCK'!I98</f>
        <v>15200</v>
      </c>
      <c r="AM101" s="27">
        <f>'MASTER STOCK'!L98</f>
        <v>19760</v>
      </c>
      <c r="AN101" s="27">
        <f t="shared" si="6"/>
        <v>4940</v>
      </c>
      <c r="AO101" s="27">
        <f t="shared" si="7"/>
        <v>1140</v>
      </c>
      <c r="AP101" s="25">
        <f t="shared" si="8"/>
        <v>3800</v>
      </c>
      <c r="AQ101" s="10"/>
    </row>
    <row r="102">
      <c r="A102" s="20" t="str">
        <f>'MASTER STOCK'!F99</f>
        <v>Paku (Nail 20000 1 3/4"</v>
      </c>
      <c r="B102" s="21">
        <f>'AGS 25'!AJ102:AJ464</f>
        <v>3.05</v>
      </c>
      <c r="C102" s="22"/>
      <c r="D102" s="10"/>
      <c r="E102" s="10"/>
      <c r="F102" s="22"/>
      <c r="G102" s="10"/>
      <c r="H102" s="10"/>
      <c r="I102" s="22"/>
      <c r="J102" s="10"/>
      <c r="K102" s="10"/>
      <c r="L102" s="10"/>
      <c r="M102" s="10"/>
      <c r="N102" s="10"/>
      <c r="O102" s="10"/>
      <c r="P102" s="10"/>
      <c r="Q102" s="10"/>
      <c r="R102" s="10"/>
      <c r="S102" s="22"/>
      <c r="T102" s="10"/>
      <c r="U102" s="10"/>
      <c r="V102" s="10"/>
      <c r="W102" s="10"/>
      <c r="X102" s="10"/>
      <c r="Y102" s="22">
        <v>0.5</v>
      </c>
      <c r="Z102" s="10"/>
      <c r="AA102" s="10"/>
      <c r="AB102" s="10"/>
      <c r="AC102" s="10"/>
      <c r="AD102" s="10"/>
      <c r="AE102" s="10"/>
      <c r="AF102" s="10"/>
      <c r="AG102" s="10"/>
      <c r="AH102" s="23">
        <f t="shared" si="3"/>
        <v>0.5</v>
      </c>
      <c r="AI102" s="24">
        <v>0.0</v>
      </c>
      <c r="AJ102" s="23">
        <f t="shared" si="4"/>
        <v>2.55</v>
      </c>
      <c r="AK102" s="23">
        <f t="shared" si="5"/>
        <v>2.55</v>
      </c>
      <c r="AL102" s="25">
        <f>'MASTER STOCK'!I99</f>
        <v>14100</v>
      </c>
      <c r="AM102" s="27">
        <f>'MASTER STOCK'!L99</f>
        <v>18330</v>
      </c>
      <c r="AN102" s="27">
        <f t="shared" si="6"/>
        <v>9165</v>
      </c>
      <c r="AO102" s="27">
        <f t="shared" si="7"/>
        <v>2115</v>
      </c>
      <c r="AP102" s="25">
        <f t="shared" si="8"/>
        <v>7050</v>
      </c>
      <c r="AQ102" s="10"/>
    </row>
    <row r="103">
      <c r="A103" s="20" t="str">
        <f>'MASTER STOCK'!F100</f>
        <v>Paku (Nail 2000) 2"</v>
      </c>
      <c r="B103" s="21">
        <f>'AGS 25'!AJ103:AJ465</f>
        <v>14</v>
      </c>
      <c r="C103" s="22">
        <v>0.15</v>
      </c>
      <c r="D103" s="22">
        <v>0.35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22">
        <v>0.1</v>
      </c>
      <c r="R103" s="10"/>
      <c r="S103" s="10"/>
      <c r="T103" s="10"/>
      <c r="U103" s="22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23">
        <f t="shared" si="3"/>
        <v>0.6</v>
      </c>
      <c r="AI103" s="24">
        <v>0.0</v>
      </c>
      <c r="AJ103" s="23">
        <f t="shared" si="4"/>
        <v>13.4</v>
      </c>
      <c r="AK103" s="23">
        <f t="shared" si="5"/>
        <v>13.4</v>
      </c>
      <c r="AL103" s="25">
        <f>'MASTER STOCK'!I100</f>
        <v>13500</v>
      </c>
      <c r="AM103" s="27">
        <f>'MASTER STOCK'!L100</f>
        <v>17550</v>
      </c>
      <c r="AN103" s="27">
        <f t="shared" si="6"/>
        <v>10530</v>
      </c>
      <c r="AO103" s="27">
        <f t="shared" si="7"/>
        <v>2430</v>
      </c>
      <c r="AP103" s="25">
        <f t="shared" si="8"/>
        <v>8100</v>
      </c>
      <c r="AQ103" s="10"/>
    </row>
    <row r="104">
      <c r="A104" s="20" t="str">
        <f>'MASTER STOCK'!F101</f>
        <v>Besi Beton 6mm SNI (U)</v>
      </c>
      <c r="B104" s="21">
        <f>'AGS 25'!AJ104:AJ466</f>
        <v>10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23">
        <f t="shared" si="3"/>
        <v>0</v>
      </c>
      <c r="AI104" s="24">
        <v>0.0</v>
      </c>
      <c r="AJ104" s="23">
        <f t="shared" si="4"/>
        <v>10</v>
      </c>
      <c r="AK104" s="23">
        <f t="shared" si="5"/>
        <v>10</v>
      </c>
      <c r="AL104" s="25">
        <f>'MASTER STOCK'!I101</f>
        <v>22000</v>
      </c>
      <c r="AM104" s="27">
        <f>'MASTER STOCK'!L101</f>
        <v>26000</v>
      </c>
      <c r="AN104" s="27">
        <f t="shared" si="6"/>
        <v>0</v>
      </c>
      <c r="AO104" s="27">
        <f t="shared" si="7"/>
        <v>0</v>
      </c>
      <c r="AP104" s="25">
        <f t="shared" si="8"/>
        <v>0</v>
      </c>
      <c r="AQ104" s="10"/>
    </row>
    <row r="105">
      <c r="A105" s="20" t="str">
        <f>'MASTER STOCK'!F102</f>
        <v>Besi Beton 8mm SNI (U)</v>
      </c>
      <c r="B105" s="21">
        <f>'AGS 25'!AJ105:AJ467</f>
        <v>8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22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23">
        <f t="shared" si="3"/>
        <v>0</v>
      </c>
      <c r="AI105" s="24">
        <v>0.0</v>
      </c>
      <c r="AJ105" s="23">
        <f t="shared" si="4"/>
        <v>8</v>
      </c>
      <c r="AK105" s="23">
        <f t="shared" si="5"/>
        <v>8</v>
      </c>
      <c r="AL105" s="25">
        <f>'MASTER STOCK'!I102</f>
        <v>37000</v>
      </c>
      <c r="AM105" s="27">
        <f>'MASTER STOCK'!L102</f>
        <v>43000</v>
      </c>
      <c r="AN105" s="27">
        <f t="shared" si="6"/>
        <v>0</v>
      </c>
      <c r="AO105" s="27">
        <f t="shared" si="7"/>
        <v>0</v>
      </c>
      <c r="AP105" s="25">
        <f t="shared" si="8"/>
        <v>0</v>
      </c>
      <c r="AQ105" s="10"/>
    </row>
    <row r="106">
      <c r="A106" s="20" t="str">
        <f>'MASTER STOCK'!F103</f>
        <v>Besi Beton 10mm SNI (U)</v>
      </c>
      <c r="B106" s="21">
        <f>'AGS 25'!AJ106:AJ468</f>
        <v>5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23">
        <f t="shared" si="3"/>
        <v>0</v>
      </c>
      <c r="AI106" s="24">
        <v>0.0</v>
      </c>
      <c r="AJ106" s="23">
        <f t="shared" si="4"/>
        <v>5</v>
      </c>
      <c r="AK106" s="23">
        <f t="shared" si="5"/>
        <v>5</v>
      </c>
      <c r="AL106" s="25">
        <f>'MASTER STOCK'!I103</f>
        <v>58000</v>
      </c>
      <c r="AM106" s="27">
        <f>'MASTER STOCK'!L103</f>
        <v>73000</v>
      </c>
      <c r="AN106" s="27">
        <f t="shared" si="6"/>
        <v>0</v>
      </c>
      <c r="AO106" s="27">
        <f t="shared" si="7"/>
        <v>0</v>
      </c>
      <c r="AP106" s="25">
        <f t="shared" si="8"/>
        <v>0</v>
      </c>
      <c r="AQ106" s="10"/>
    </row>
    <row r="107">
      <c r="A107" s="20" t="str">
        <f>'MASTER STOCK'!F104</f>
        <v>Hollow G Tube 20x40x0.4</v>
      </c>
      <c r="B107" s="21">
        <f>'AGS 25'!AJ107:AJ469</f>
        <v>18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23">
        <f t="shared" si="3"/>
        <v>0</v>
      </c>
      <c r="AI107" s="24">
        <v>0.0</v>
      </c>
      <c r="AJ107" s="23">
        <f t="shared" si="4"/>
        <v>18</v>
      </c>
      <c r="AK107" s="23">
        <f t="shared" si="5"/>
        <v>18</v>
      </c>
      <c r="AL107" s="25">
        <f>'MASTER STOCK'!I104</f>
        <v>21500</v>
      </c>
      <c r="AM107" s="27">
        <f>'MASTER STOCK'!L104</f>
        <v>25800</v>
      </c>
      <c r="AN107" s="27">
        <f t="shared" si="6"/>
        <v>0</v>
      </c>
      <c r="AO107" s="27">
        <f t="shared" si="7"/>
        <v>0</v>
      </c>
      <c r="AP107" s="25">
        <f t="shared" si="8"/>
        <v>0</v>
      </c>
      <c r="AQ107" s="10"/>
    </row>
    <row r="108">
      <c r="A108" s="20" t="str">
        <f>'MASTER STOCK'!F105</f>
        <v>Hollow G Tube 40x40x0.4</v>
      </c>
      <c r="B108" s="21">
        <f>'AGS 25'!AJ108:AJ470</f>
        <v>10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23">
        <f t="shared" si="3"/>
        <v>0</v>
      </c>
      <c r="AI108" s="24">
        <v>0.0</v>
      </c>
      <c r="AJ108" s="23">
        <f t="shared" si="4"/>
        <v>10</v>
      </c>
      <c r="AK108" s="23">
        <f t="shared" si="5"/>
        <v>10</v>
      </c>
      <c r="AL108" s="25">
        <f>'MASTER STOCK'!I105</f>
        <v>28500</v>
      </c>
      <c r="AM108" s="27">
        <f>'MASTER STOCK'!L105</f>
        <v>34200</v>
      </c>
      <c r="AN108" s="27">
        <f t="shared" si="6"/>
        <v>0</v>
      </c>
      <c r="AO108" s="27">
        <f t="shared" si="7"/>
        <v>0</v>
      </c>
      <c r="AP108" s="25">
        <f t="shared" si="8"/>
        <v>0</v>
      </c>
      <c r="AQ108" s="10"/>
    </row>
    <row r="109">
      <c r="A109" s="20" t="str">
        <f>'MASTER STOCK'!F106</f>
        <v>Reng Galvalum Kenana 0.45 (M)</v>
      </c>
      <c r="B109" s="21">
        <f>'AGS 25'!AJ109:AJ471</f>
        <v>10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23">
        <f t="shared" si="3"/>
        <v>0</v>
      </c>
      <c r="AI109" s="24">
        <v>0.0</v>
      </c>
      <c r="AJ109" s="23">
        <f t="shared" si="4"/>
        <v>10</v>
      </c>
      <c r="AK109" s="23">
        <f t="shared" si="5"/>
        <v>10</v>
      </c>
      <c r="AL109" s="25">
        <f>'MASTER STOCK'!I106</f>
        <v>39000</v>
      </c>
      <c r="AM109" s="27">
        <f>'MASTER STOCK'!L106</f>
        <v>42900</v>
      </c>
      <c r="AN109" s="27">
        <f t="shared" si="6"/>
        <v>0</v>
      </c>
      <c r="AO109" s="27">
        <f t="shared" si="7"/>
        <v>0</v>
      </c>
      <c r="AP109" s="25">
        <f t="shared" si="8"/>
        <v>0</v>
      </c>
      <c r="AQ109" s="10"/>
    </row>
    <row r="110">
      <c r="A110" s="20" t="str">
        <f>'MASTER STOCK'!F107</f>
        <v>C Truss Kencana 75x0.85 (0.75) MM</v>
      </c>
      <c r="B110" s="21">
        <f>'AGS 25'!AJ110:AJ472</f>
        <v>10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23">
        <f t="shared" si="3"/>
        <v>0</v>
      </c>
      <c r="AI110" s="24">
        <v>0.0</v>
      </c>
      <c r="AJ110" s="23">
        <f t="shared" si="4"/>
        <v>10</v>
      </c>
      <c r="AK110" s="23">
        <f t="shared" si="5"/>
        <v>10</v>
      </c>
      <c r="AL110" s="25">
        <f>'MASTER STOCK'!I107</f>
        <v>85000</v>
      </c>
      <c r="AM110" s="27">
        <f>'MASTER STOCK'!L107</f>
        <v>93500</v>
      </c>
      <c r="AN110" s="27">
        <f t="shared" si="6"/>
        <v>0</v>
      </c>
      <c r="AO110" s="27">
        <f t="shared" si="7"/>
        <v>0</v>
      </c>
      <c r="AP110" s="25">
        <f t="shared" si="8"/>
        <v>0</v>
      </c>
      <c r="AQ110" s="10"/>
    </row>
    <row r="111">
      <c r="A111" s="20" t="str">
        <f>'MASTER STOCK'!F108</f>
        <v>KAYU BALOK 4X6X4</v>
      </c>
      <c r="B111" s="21">
        <f>'AGS 25'!AJ111:AJ473</f>
        <v>12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22">
        <v>3.0</v>
      </c>
      <c r="AC111" s="10"/>
      <c r="AD111" s="10"/>
      <c r="AE111" s="10"/>
      <c r="AF111" s="10"/>
      <c r="AG111" s="10"/>
      <c r="AH111" s="23">
        <f t="shared" si="3"/>
        <v>3</v>
      </c>
      <c r="AI111" s="24">
        <v>0.0</v>
      </c>
      <c r="AJ111" s="23">
        <f t="shared" si="4"/>
        <v>9</v>
      </c>
      <c r="AK111" s="23">
        <f t="shared" si="5"/>
        <v>9</v>
      </c>
      <c r="AL111" s="25">
        <f>'MASTER STOCK'!I108</f>
        <v>39000</v>
      </c>
      <c r="AM111" s="27">
        <f>'MASTER STOCK'!L108</f>
        <v>42900</v>
      </c>
      <c r="AN111" s="27">
        <f t="shared" si="6"/>
        <v>128700</v>
      </c>
      <c r="AO111" s="27">
        <f t="shared" si="7"/>
        <v>11700</v>
      </c>
      <c r="AP111" s="25">
        <f t="shared" si="8"/>
        <v>117000</v>
      </c>
      <c r="AQ111" s="10"/>
    </row>
    <row r="112">
      <c r="A112" s="20" t="str">
        <f>'MASTER STOCK'!F109</f>
        <v>KAYU BALOK 3X5X4</v>
      </c>
      <c r="B112" s="21">
        <f>'AGS 25'!AJ112:AJ474</f>
        <v>10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22">
        <v>1.0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23">
        <f t="shared" si="3"/>
        <v>1</v>
      </c>
      <c r="AI112" s="24">
        <v>0.0</v>
      </c>
      <c r="AJ112" s="23">
        <f t="shared" si="4"/>
        <v>9</v>
      </c>
      <c r="AK112" s="23">
        <f t="shared" si="5"/>
        <v>9</v>
      </c>
      <c r="AL112" s="25">
        <f>'MASTER STOCK'!I109</f>
        <v>24000</v>
      </c>
      <c r="AM112" s="27">
        <f>'MASTER STOCK'!L109</f>
        <v>26400</v>
      </c>
      <c r="AN112" s="27">
        <f t="shared" si="6"/>
        <v>26400</v>
      </c>
      <c r="AO112" s="27">
        <f t="shared" si="7"/>
        <v>2400</v>
      </c>
      <c r="AP112" s="25">
        <f t="shared" si="8"/>
        <v>24000</v>
      </c>
      <c r="AQ112" s="10"/>
    </row>
    <row r="113">
      <c r="A113" s="20" t="str">
        <f>'MASTER STOCK'!F110</f>
        <v>KAYU BALOK 2X3X4</v>
      </c>
      <c r="B113" s="21">
        <f>'AGS 25'!AJ113:AJ475</f>
        <v>25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23">
        <f t="shared" si="3"/>
        <v>0</v>
      </c>
      <c r="AI113" s="24">
        <v>0.0</v>
      </c>
      <c r="AJ113" s="23">
        <f t="shared" si="4"/>
        <v>25</v>
      </c>
      <c r="AK113" s="23">
        <f t="shared" si="5"/>
        <v>25</v>
      </c>
      <c r="AL113" s="25">
        <f>'MASTER STOCK'!I110</f>
        <v>9600</v>
      </c>
      <c r="AM113" s="27">
        <f>'MASTER STOCK'!L110</f>
        <v>10560</v>
      </c>
      <c r="AN113" s="27">
        <f t="shared" si="6"/>
        <v>0</v>
      </c>
      <c r="AO113" s="27">
        <f t="shared" si="7"/>
        <v>0</v>
      </c>
      <c r="AP113" s="25">
        <f t="shared" si="8"/>
        <v>0</v>
      </c>
      <c r="AQ113" s="10"/>
    </row>
    <row r="114">
      <c r="A114" s="20" t="str">
        <f>'MASTER STOCK'!F111</f>
        <v>CANGKUL </v>
      </c>
      <c r="B114" s="21">
        <f>'AGS 25'!AJ114:AJ476</f>
        <v>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23">
        <f t="shared" si="3"/>
        <v>0</v>
      </c>
      <c r="AI114" s="24">
        <v>0.0</v>
      </c>
      <c r="AJ114" s="23">
        <f t="shared" si="4"/>
        <v>1</v>
      </c>
      <c r="AK114" s="23">
        <f t="shared" si="5"/>
        <v>1</v>
      </c>
      <c r="AL114" s="25">
        <f>'MASTER STOCK'!I111</f>
        <v>33580</v>
      </c>
      <c r="AM114" s="27">
        <f>'MASTER STOCK'!L111</f>
        <v>57086</v>
      </c>
      <c r="AN114" s="27">
        <f t="shared" si="6"/>
        <v>0</v>
      </c>
      <c r="AO114" s="27">
        <f t="shared" si="7"/>
        <v>0</v>
      </c>
      <c r="AP114" s="25">
        <f t="shared" si="8"/>
        <v>0</v>
      </c>
      <c r="AQ114" s="10"/>
    </row>
    <row r="115">
      <c r="A115" s="20" t="str">
        <f>'MASTER STOCK'!F112</f>
        <v>SEKOP PASIR</v>
      </c>
      <c r="B115" s="21">
        <f>'AGS 25'!AJ115:AJ477</f>
        <v>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23">
        <f t="shared" si="3"/>
        <v>0</v>
      </c>
      <c r="AI115" s="24">
        <v>0.0</v>
      </c>
      <c r="AJ115" s="23">
        <f t="shared" si="4"/>
        <v>2</v>
      </c>
      <c r="AK115" s="23">
        <f t="shared" si="5"/>
        <v>2</v>
      </c>
      <c r="AL115" s="25">
        <f>'MASTER STOCK'!I112</f>
        <v>20000</v>
      </c>
      <c r="AM115" s="27">
        <f>'MASTER STOCK'!L112</f>
        <v>34000</v>
      </c>
      <c r="AN115" s="27">
        <f t="shared" si="6"/>
        <v>0</v>
      </c>
      <c r="AO115" s="27">
        <f t="shared" si="7"/>
        <v>0</v>
      </c>
      <c r="AP115" s="25">
        <f t="shared" si="8"/>
        <v>0</v>
      </c>
      <c r="AQ115" s="10"/>
    </row>
    <row r="116">
      <c r="A116" s="20" t="str">
        <f>'MASTER STOCK'!F113</f>
        <v>Baut Drilling Galvalum Baja Ringan 100
Pcs Per Plastik - WL 12x50 100Pcs</v>
      </c>
      <c r="B116" s="21">
        <f>'AGS 25'!AJ116:AJ478</f>
        <v>100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23">
        <f t="shared" si="3"/>
        <v>0</v>
      </c>
      <c r="AI116" s="24">
        <v>0.0</v>
      </c>
      <c r="AJ116" s="23">
        <f t="shared" si="4"/>
        <v>100</v>
      </c>
      <c r="AK116" s="23">
        <f t="shared" si="5"/>
        <v>100</v>
      </c>
      <c r="AL116" s="25">
        <f>'MASTER STOCK'!I113</f>
        <v>250</v>
      </c>
      <c r="AM116" s="27">
        <f>'MASTER STOCK'!L113</f>
        <v>500</v>
      </c>
      <c r="AN116" s="27">
        <f t="shared" si="6"/>
        <v>0</v>
      </c>
      <c r="AO116" s="27">
        <f t="shared" si="7"/>
        <v>0</v>
      </c>
      <c r="AP116" s="25">
        <f t="shared" si="8"/>
        <v>0</v>
      </c>
      <c r="AQ116" s="10"/>
    </row>
    <row r="117">
      <c r="A117" s="20" t="str">
        <f>'MASTER STOCK'!F114</f>
        <v>Baut Drilling Galvalum Baja Ringan 100
Pcs Per Plastik - WL 12x60 100Pcs</v>
      </c>
      <c r="B117" s="21">
        <f>'AGS 25'!AJ117:AJ479</f>
        <v>100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23">
        <f t="shared" si="3"/>
        <v>0</v>
      </c>
      <c r="AI117" s="24">
        <v>0.0</v>
      </c>
      <c r="AJ117" s="23">
        <f t="shared" si="4"/>
        <v>100</v>
      </c>
      <c r="AK117" s="23">
        <f t="shared" si="5"/>
        <v>100</v>
      </c>
      <c r="AL117" s="25">
        <f>'MASTER STOCK'!I114</f>
        <v>300</v>
      </c>
      <c r="AM117" s="27">
        <f>'MASTER STOCK'!L114</f>
        <v>600</v>
      </c>
      <c r="AN117" s="27">
        <f t="shared" si="6"/>
        <v>0</v>
      </c>
      <c r="AO117" s="27">
        <f t="shared" si="7"/>
        <v>0</v>
      </c>
      <c r="AP117" s="25">
        <f t="shared" si="8"/>
        <v>0</v>
      </c>
      <c r="AQ117" s="10"/>
    </row>
    <row r="118">
      <c r="A118" s="20" t="str">
        <f>'MASTER STOCK'!F115</f>
        <v>Baut Drilling Galvalum Baja Ringan 100
Pcs Per Plastik - WL 12x30 100Pcs</v>
      </c>
      <c r="B118" s="21">
        <f>'AGS 25'!AJ118:AJ480</f>
        <v>100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23">
        <f t="shared" si="3"/>
        <v>0</v>
      </c>
      <c r="AI118" s="24">
        <v>0.0</v>
      </c>
      <c r="AJ118" s="23">
        <f t="shared" si="4"/>
        <v>100</v>
      </c>
      <c r="AK118" s="23">
        <f t="shared" si="5"/>
        <v>100</v>
      </c>
      <c r="AL118" s="25">
        <f>'MASTER STOCK'!I115</f>
        <v>170</v>
      </c>
      <c r="AM118" s="27">
        <f>'MASTER STOCK'!L115</f>
        <v>340</v>
      </c>
      <c r="AN118" s="27">
        <f t="shared" si="6"/>
        <v>0</v>
      </c>
      <c r="AO118" s="27">
        <f t="shared" si="7"/>
        <v>0</v>
      </c>
      <c r="AP118" s="25">
        <f t="shared" si="8"/>
        <v>0</v>
      </c>
      <c r="AQ118" s="10"/>
    </row>
    <row r="119">
      <c r="A119" s="20" t="str">
        <f>'MASTER STOCK'!F116</f>
        <v>Baut Drilling Galvalum Baja Ringan 100
Pcs Per Plastik - WL 12x40 100Pcs</v>
      </c>
      <c r="B119" s="21">
        <f>'AGS 25'!AJ119:AJ481</f>
        <v>100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23">
        <f t="shared" si="3"/>
        <v>0</v>
      </c>
      <c r="AI119" s="24">
        <v>0.0</v>
      </c>
      <c r="AJ119" s="23">
        <f t="shared" si="4"/>
        <v>100</v>
      </c>
      <c r="AK119" s="23">
        <f t="shared" si="5"/>
        <v>100</v>
      </c>
      <c r="AL119" s="25">
        <f>'MASTER STOCK'!I116</f>
        <v>220</v>
      </c>
      <c r="AM119" s="27">
        <f>'MASTER STOCK'!L116</f>
        <v>440</v>
      </c>
      <c r="AN119" s="27">
        <f t="shared" si="6"/>
        <v>0</v>
      </c>
      <c r="AO119" s="27">
        <f t="shared" si="7"/>
        <v>0</v>
      </c>
      <c r="AP119" s="25">
        <f t="shared" si="8"/>
        <v>0</v>
      </c>
      <c r="AQ119" s="10"/>
    </row>
    <row r="120">
      <c r="A120" s="20" t="str">
        <f>'MASTER STOCK'!F117</f>
        <v>Baut Drilling Galvalum Baja Ringan 100
Pcs Per Plastik - WL 12x20 100Pcs</v>
      </c>
      <c r="B120" s="21">
        <f>'AGS 25'!AJ120:AJ482</f>
        <v>100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23">
        <f t="shared" si="3"/>
        <v>0</v>
      </c>
      <c r="AI120" s="24">
        <v>0.0</v>
      </c>
      <c r="AJ120" s="23">
        <f t="shared" si="4"/>
        <v>100</v>
      </c>
      <c r="AK120" s="23">
        <f t="shared" si="5"/>
        <v>100</v>
      </c>
      <c r="AL120" s="25">
        <f>'MASTER STOCK'!I117</f>
        <v>150</v>
      </c>
      <c r="AM120" s="27">
        <f>'MASTER STOCK'!L117</f>
        <v>300</v>
      </c>
      <c r="AN120" s="27">
        <f t="shared" si="6"/>
        <v>0</v>
      </c>
      <c r="AO120" s="27">
        <f t="shared" si="7"/>
        <v>0</v>
      </c>
      <c r="AP120" s="25">
        <f t="shared" si="8"/>
        <v>0</v>
      </c>
      <c r="AQ120" s="10"/>
    </row>
    <row r="121">
      <c r="A121" s="20" t="str">
        <f>'MASTER STOCK'!F118</f>
        <v>Batu Kumbung</v>
      </c>
      <c r="B121" s="21">
        <f>'AGS 25'!AJ121:AJ483</f>
        <v>528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22">
        <v>150.0</v>
      </c>
      <c r="T121" s="10"/>
      <c r="U121" s="10"/>
      <c r="V121" s="10"/>
      <c r="W121" s="10"/>
      <c r="X121" s="10"/>
      <c r="Y121" s="22"/>
      <c r="Z121" s="10"/>
      <c r="AA121" s="10"/>
      <c r="AB121" s="10"/>
      <c r="AC121" s="10"/>
      <c r="AD121" s="10"/>
      <c r="AE121" s="10"/>
      <c r="AF121" s="10"/>
      <c r="AG121" s="10"/>
      <c r="AH121" s="23">
        <f t="shared" si="3"/>
        <v>150</v>
      </c>
      <c r="AI121" s="24">
        <v>0.0</v>
      </c>
      <c r="AJ121" s="23">
        <f t="shared" si="4"/>
        <v>378</v>
      </c>
      <c r="AK121" s="23">
        <f t="shared" si="5"/>
        <v>378</v>
      </c>
      <c r="AL121" s="25">
        <f>'MASTER STOCK'!I118</f>
        <v>8000</v>
      </c>
      <c r="AM121" s="27">
        <f>'MASTER STOCK'!L118</f>
        <v>12000</v>
      </c>
      <c r="AN121" s="27">
        <f t="shared" si="6"/>
        <v>1800000</v>
      </c>
      <c r="AO121" s="27">
        <f t="shared" si="7"/>
        <v>600000</v>
      </c>
      <c r="AP121" s="25">
        <f t="shared" si="8"/>
        <v>1200000</v>
      </c>
      <c r="AQ121" s="10"/>
    </row>
    <row r="122">
      <c r="A122" s="20" t="str">
        <f>'MASTER STOCK'!F119</f>
        <v>Triplek 8m sengon</v>
      </c>
      <c r="B122" s="21">
        <f>'AGS 25'!AJ122:AJ484</f>
        <v>5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23">
        <f t="shared" si="3"/>
        <v>0</v>
      </c>
      <c r="AI122" s="24">
        <v>0.0</v>
      </c>
      <c r="AJ122" s="23">
        <f t="shared" si="4"/>
        <v>5</v>
      </c>
      <c r="AK122" s="23">
        <f t="shared" si="5"/>
        <v>5</v>
      </c>
      <c r="AL122" s="25">
        <f>'MASTER STOCK'!I119</f>
        <v>67000</v>
      </c>
      <c r="AM122" s="27">
        <f>'MASTER STOCK'!L119</f>
        <v>70350</v>
      </c>
      <c r="AN122" s="27">
        <f t="shared" si="6"/>
        <v>0</v>
      </c>
      <c r="AO122" s="27">
        <f t="shared" si="7"/>
        <v>0</v>
      </c>
      <c r="AP122" s="25">
        <f t="shared" si="8"/>
        <v>0</v>
      </c>
      <c r="AQ122" s="10"/>
    </row>
    <row r="123">
      <c r="A123" s="20" t="str">
        <f>'MASTER STOCK'!F120</f>
        <v>Triplek 6m sengon</v>
      </c>
      <c r="B123" s="21">
        <f>'AGS 25'!AJ123:AJ485</f>
        <v>10</v>
      </c>
      <c r="C123" s="10"/>
      <c r="D123" s="10"/>
      <c r="E123" s="10"/>
      <c r="F123" s="10"/>
      <c r="G123" s="10"/>
      <c r="H123" s="22">
        <v>1.0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23">
        <f t="shared" si="3"/>
        <v>1</v>
      </c>
      <c r="AI123" s="24">
        <v>0.0</v>
      </c>
      <c r="AJ123" s="23">
        <f t="shared" si="4"/>
        <v>9</v>
      </c>
      <c r="AK123" s="23">
        <f t="shared" si="5"/>
        <v>9</v>
      </c>
      <c r="AL123" s="25">
        <f>'MASTER STOCK'!I120</f>
        <v>56500</v>
      </c>
      <c r="AM123" s="27">
        <f>'MASTER STOCK'!L120</f>
        <v>59325</v>
      </c>
      <c r="AN123" s="27">
        <f t="shared" si="6"/>
        <v>59325</v>
      </c>
      <c r="AO123" s="27">
        <f t="shared" si="7"/>
        <v>2825</v>
      </c>
      <c r="AP123" s="25">
        <f t="shared" si="8"/>
        <v>56500</v>
      </c>
      <c r="AQ123" s="10"/>
    </row>
    <row r="124">
      <c r="A124" s="20" t="str">
        <f>'MASTER STOCK'!F121</f>
        <v>Triplek 3m sengon</v>
      </c>
      <c r="B124" s="21">
        <f>'AGS 25'!AJ124:AJ486</f>
        <v>10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23">
        <f t="shared" si="3"/>
        <v>0</v>
      </c>
      <c r="AI124" s="24">
        <v>0.0</v>
      </c>
      <c r="AJ124" s="23">
        <f t="shared" si="4"/>
        <v>10</v>
      </c>
      <c r="AK124" s="23">
        <f t="shared" si="5"/>
        <v>10</v>
      </c>
      <c r="AL124" s="25">
        <f>'MASTER STOCK'!I121</f>
        <v>38500</v>
      </c>
      <c r="AM124" s="27">
        <f>'MASTER STOCK'!L121</f>
        <v>40425</v>
      </c>
      <c r="AN124" s="27">
        <f t="shared" si="6"/>
        <v>0</v>
      </c>
      <c r="AO124" s="27">
        <f t="shared" si="7"/>
        <v>0</v>
      </c>
      <c r="AP124" s="25">
        <f t="shared" si="8"/>
        <v>0</v>
      </c>
      <c r="AQ124" s="10"/>
    </row>
    <row r="125">
      <c r="A125" s="20" t="str">
        <f>'MASTER STOCK'!F122</f>
        <v>Semen Gresik</v>
      </c>
      <c r="B125" s="21">
        <f>'AGS 25'!AJ125:AJ487</f>
        <v>104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22">
        <v>1.0</v>
      </c>
      <c r="R125" s="22">
        <v>4.0</v>
      </c>
      <c r="S125" s="10"/>
      <c r="T125" s="22"/>
      <c r="U125" s="22">
        <v>1.0</v>
      </c>
      <c r="V125" s="22">
        <v>2.0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23">
        <f t="shared" si="3"/>
        <v>8</v>
      </c>
      <c r="AI125" s="24">
        <v>0.0</v>
      </c>
      <c r="AJ125" s="23">
        <f t="shared" si="4"/>
        <v>96</v>
      </c>
      <c r="AK125" s="23">
        <f t="shared" si="5"/>
        <v>96</v>
      </c>
      <c r="AL125" s="25">
        <f>'MASTER STOCK'!I122</f>
        <v>55000</v>
      </c>
      <c r="AM125" s="27">
        <f>'MASTER STOCK'!L122</f>
        <v>56485</v>
      </c>
      <c r="AN125" s="27">
        <f t="shared" si="6"/>
        <v>451880</v>
      </c>
      <c r="AO125" s="27">
        <f t="shared" si="7"/>
        <v>11880</v>
      </c>
      <c r="AP125" s="25">
        <f t="shared" si="8"/>
        <v>440000</v>
      </c>
      <c r="AQ125" s="10"/>
    </row>
    <row r="126">
      <c r="A126" s="20" t="str">
        <f>'MASTER STOCK'!F123</f>
        <v>Kapur</v>
      </c>
      <c r="B126" s="21">
        <f>'AGS 25'!AJ126:AJ488</f>
        <v>100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22">
        <v>1.0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23">
        <f t="shared" si="3"/>
        <v>1</v>
      </c>
      <c r="AI126" s="24">
        <v>0.0</v>
      </c>
      <c r="AJ126" s="23">
        <f t="shared" si="4"/>
        <v>99</v>
      </c>
      <c r="AK126" s="23">
        <f t="shared" si="5"/>
        <v>99</v>
      </c>
      <c r="AL126" s="25">
        <f>'MASTER STOCK'!I123</f>
        <v>17000</v>
      </c>
      <c r="AM126" s="27">
        <f>'MASTER STOCK'!L123</f>
        <v>18700</v>
      </c>
      <c r="AN126" s="27">
        <f t="shared" si="6"/>
        <v>18700</v>
      </c>
      <c r="AO126" s="27">
        <f t="shared" si="7"/>
        <v>1700</v>
      </c>
      <c r="AP126" s="25">
        <f t="shared" si="8"/>
        <v>17000</v>
      </c>
      <c r="AQ126" s="10"/>
    </row>
    <row r="127">
      <c r="A127" s="20" t="str">
        <f>'MASTER STOCK'!F124</f>
        <v>Pasir</v>
      </c>
      <c r="B127" s="21">
        <f>'AGS 25'!AJ127:AJ489</f>
        <v>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23">
        <f t="shared" si="3"/>
        <v>0</v>
      </c>
      <c r="AI127" s="24">
        <v>0.0</v>
      </c>
      <c r="AJ127" s="23">
        <f t="shared" si="4"/>
        <v>1</v>
      </c>
      <c r="AK127" s="23">
        <f t="shared" si="5"/>
        <v>1</v>
      </c>
      <c r="AL127" s="25">
        <f>'MASTER STOCK'!I124</f>
        <v>1000000</v>
      </c>
      <c r="AM127" s="27">
        <f>'MASTER STOCK'!L124</f>
        <v>1100000</v>
      </c>
      <c r="AN127" s="27">
        <f t="shared" si="6"/>
        <v>0</v>
      </c>
      <c r="AO127" s="27">
        <f t="shared" si="7"/>
        <v>0</v>
      </c>
      <c r="AP127" s="25">
        <f t="shared" si="8"/>
        <v>0</v>
      </c>
      <c r="AQ127" s="10"/>
    </row>
    <row r="128">
      <c r="A128" s="20" t="str">
        <f>'MASTER STOCK'!F125</f>
        <v>Stop kontak 1 lubang</v>
      </c>
      <c r="B128" s="21">
        <f>'AGS 25'!AJ128:AJ490</f>
        <v>5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23">
        <f t="shared" si="3"/>
        <v>0</v>
      </c>
      <c r="AI128" s="24">
        <v>0.0</v>
      </c>
      <c r="AJ128" s="23">
        <f t="shared" si="4"/>
        <v>5</v>
      </c>
      <c r="AK128" s="23">
        <f t="shared" si="5"/>
        <v>5</v>
      </c>
      <c r="AL128" s="25">
        <f>'MASTER STOCK'!I125</f>
        <v>4125</v>
      </c>
      <c r="AM128" s="27">
        <f>'MASTER STOCK'!L125</f>
        <v>416625</v>
      </c>
      <c r="AN128" s="27">
        <f t="shared" si="6"/>
        <v>0</v>
      </c>
      <c r="AO128" s="27">
        <f t="shared" si="7"/>
        <v>0</v>
      </c>
      <c r="AP128" s="25">
        <f t="shared" si="8"/>
        <v>0</v>
      </c>
      <c r="AQ128" s="10"/>
    </row>
    <row r="129">
      <c r="A129" s="20" t="str">
        <f>'MASTER STOCK'!F126</f>
        <v>Stop kontak 2 lubang</v>
      </c>
      <c r="B129" s="21">
        <f>'AGS 25'!AJ129:AJ491</f>
        <v>5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23">
        <f t="shared" si="3"/>
        <v>0</v>
      </c>
      <c r="AI129" s="24">
        <v>0.0</v>
      </c>
      <c r="AJ129" s="23">
        <f t="shared" si="4"/>
        <v>5</v>
      </c>
      <c r="AK129" s="23">
        <f t="shared" si="5"/>
        <v>5</v>
      </c>
      <c r="AL129" s="25">
        <f>'MASTER STOCK'!I126</f>
        <v>5250</v>
      </c>
      <c r="AM129" s="27">
        <f>'MASTER STOCK'!L126</f>
        <v>8925</v>
      </c>
      <c r="AN129" s="27">
        <f t="shared" si="6"/>
        <v>0</v>
      </c>
      <c r="AO129" s="27">
        <f t="shared" si="7"/>
        <v>0</v>
      </c>
      <c r="AP129" s="25">
        <f t="shared" si="8"/>
        <v>0</v>
      </c>
      <c r="AQ129" s="10"/>
    </row>
    <row r="130">
      <c r="A130" s="20" t="str">
        <f>'MASTER STOCK'!F127</f>
        <v>Stop kontak 3 lubang</v>
      </c>
      <c r="B130" s="21">
        <f>'AGS 25'!AJ130:AJ492</f>
        <v>5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23">
        <f t="shared" si="3"/>
        <v>0</v>
      </c>
      <c r="AI130" s="24">
        <v>0.0</v>
      </c>
      <c r="AJ130" s="23">
        <f t="shared" si="4"/>
        <v>5</v>
      </c>
      <c r="AK130" s="23">
        <f t="shared" si="5"/>
        <v>5</v>
      </c>
      <c r="AL130" s="25">
        <f>'MASTER STOCK'!I127</f>
        <v>6750</v>
      </c>
      <c r="AM130" s="27">
        <f>'MASTER STOCK'!L127</f>
        <v>14000</v>
      </c>
      <c r="AN130" s="27">
        <f t="shared" si="6"/>
        <v>0</v>
      </c>
      <c r="AO130" s="27">
        <f t="shared" si="7"/>
        <v>0</v>
      </c>
      <c r="AP130" s="25">
        <f t="shared" si="8"/>
        <v>0</v>
      </c>
      <c r="AQ130" s="10"/>
    </row>
    <row r="131">
      <c r="A131" s="20" t="str">
        <f>'MASTER STOCK'!F128</f>
        <v>Stop kontak 4 lubang</v>
      </c>
      <c r="B131" s="21">
        <f>'AGS 25'!AJ131:AJ493</f>
        <v>5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23">
        <f t="shared" si="3"/>
        <v>0</v>
      </c>
      <c r="AI131" s="24">
        <v>0.0</v>
      </c>
      <c r="AJ131" s="23">
        <f t="shared" si="4"/>
        <v>5</v>
      </c>
      <c r="AK131" s="23">
        <f t="shared" si="5"/>
        <v>5</v>
      </c>
      <c r="AL131" s="25">
        <f>'MASTER STOCK'!I128</f>
        <v>8100</v>
      </c>
      <c r="AM131" s="27">
        <f>'MASTER STOCK'!L128</f>
        <v>16000</v>
      </c>
      <c r="AN131" s="27">
        <f t="shared" si="6"/>
        <v>0</v>
      </c>
      <c r="AO131" s="27">
        <f t="shared" si="7"/>
        <v>0</v>
      </c>
      <c r="AP131" s="25">
        <f t="shared" si="8"/>
        <v>0</v>
      </c>
      <c r="AQ131" s="10"/>
    </row>
    <row r="132">
      <c r="A132" s="20" t="str">
        <f>'MASTER STOCK'!F129</f>
        <v>Stop kontak 5 lubang</v>
      </c>
      <c r="B132" s="21">
        <f>'AGS 25'!AJ132:AJ494</f>
        <v>5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23">
        <f t="shared" si="3"/>
        <v>0</v>
      </c>
      <c r="AI132" s="24">
        <v>0.0</v>
      </c>
      <c r="AJ132" s="23">
        <f t="shared" si="4"/>
        <v>5</v>
      </c>
      <c r="AK132" s="23">
        <f t="shared" si="5"/>
        <v>5</v>
      </c>
      <c r="AL132" s="25">
        <f>'MASTER STOCK'!I129</f>
        <v>9750</v>
      </c>
      <c r="AM132" s="27">
        <f>'MASTER STOCK'!L129</f>
        <v>16575</v>
      </c>
      <c r="AN132" s="27">
        <f t="shared" si="6"/>
        <v>0</v>
      </c>
      <c r="AO132" s="27">
        <f t="shared" si="7"/>
        <v>0</v>
      </c>
      <c r="AP132" s="25">
        <f t="shared" si="8"/>
        <v>0</v>
      </c>
      <c r="AQ132" s="10"/>
    </row>
    <row r="133">
      <c r="A133" s="20" t="str">
        <f>'MASTER STOCK'!F130</f>
        <v>Baterai ABC</v>
      </c>
      <c r="B133" s="21">
        <f>'AGS 25'!AJ133:AJ495</f>
        <v>24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23">
        <f t="shared" si="3"/>
        <v>0</v>
      </c>
      <c r="AI133" s="24">
        <v>0.0</v>
      </c>
      <c r="AJ133" s="23">
        <f t="shared" si="4"/>
        <v>24</v>
      </c>
      <c r="AK133" s="23">
        <f t="shared" si="5"/>
        <v>24</v>
      </c>
      <c r="AL133" s="25">
        <f>'MASTER STOCK'!I130</f>
        <v>2600</v>
      </c>
      <c r="AM133" s="27">
        <f>'MASTER STOCK'!L130</f>
        <v>3900</v>
      </c>
      <c r="AN133" s="27">
        <f t="shared" si="6"/>
        <v>0</v>
      </c>
      <c r="AO133" s="27">
        <f t="shared" si="7"/>
        <v>0</v>
      </c>
      <c r="AP133" s="25">
        <f t="shared" si="8"/>
        <v>0</v>
      </c>
      <c r="AQ133" s="10"/>
    </row>
    <row r="134">
      <c r="A134" s="20" t="str">
        <f>'MASTER STOCK'!F131</f>
        <v>NAIL  PAKU PAYUNG 2"</v>
      </c>
      <c r="B134" s="21">
        <f>'AGS 25'!AJ134:AJ496</f>
        <v>5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23">
        <f t="shared" si="3"/>
        <v>0</v>
      </c>
      <c r="AI134" s="24">
        <v>0.0</v>
      </c>
      <c r="AJ134" s="23">
        <f t="shared" si="4"/>
        <v>5</v>
      </c>
      <c r="AK134" s="23">
        <f t="shared" si="5"/>
        <v>5</v>
      </c>
      <c r="AL134" s="25">
        <f>'MASTER STOCK'!I131</f>
        <v>17500</v>
      </c>
      <c r="AM134" s="27">
        <f>'MASTER STOCK'!L131</f>
        <v>26250</v>
      </c>
      <c r="AN134" s="27">
        <f t="shared" si="6"/>
        <v>0</v>
      </c>
      <c r="AO134" s="27">
        <f t="shared" si="7"/>
        <v>0</v>
      </c>
      <c r="AP134" s="25">
        <f t="shared" si="8"/>
        <v>0</v>
      </c>
      <c r="AQ134" s="10"/>
    </row>
    <row r="135">
      <c r="A135" s="20" t="str">
        <f>'MASTER STOCK'!F132</f>
        <v>NAIL PAKU PAYUNG ULIR 3"</v>
      </c>
      <c r="B135" s="21">
        <f>'AGS 25'!AJ135:AJ497</f>
        <v>5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23">
        <f t="shared" si="3"/>
        <v>0</v>
      </c>
      <c r="AI135" s="24">
        <v>0.0</v>
      </c>
      <c r="AJ135" s="23">
        <f t="shared" si="4"/>
        <v>5</v>
      </c>
      <c r="AK135" s="23">
        <f t="shared" si="5"/>
        <v>5</v>
      </c>
      <c r="AL135" s="25">
        <f>'MASTER STOCK'!I132</f>
        <v>18500</v>
      </c>
      <c r="AM135" s="27">
        <f>'MASTER STOCK'!L132</f>
        <v>27750</v>
      </c>
      <c r="AN135" s="27">
        <f t="shared" si="6"/>
        <v>0</v>
      </c>
      <c r="AO135" s="27">
        <f t="shared" si="7"/>
        <v>0</v>
      </c>
      <c r="AP135" s="25">
        <f t="shared" si="8"/>
        <v>0</v>
      </c>
      <c r="AQ135" s="10"/>
    </row>
    <row r="136">
      <c r="A136" s="20" t="str">
        <f>'MASTER STOCK'!F133</f>
        <v>NAIL PAKU PAYUNG ULIR 4"</v>
      </c>
      <c r="B136" s="21">
        <f>'AGS 25'!AJ136:AJ498</f>
        <v>5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23">
        <f t="shared" si="3"/>
        <v>0</v>
      </c>
      <c r="AI136" s="24">
        <v>0.0</v>
      </c>
      <c r="AJ136" s="23">
        <f t="shared" si="4"/>
        <v>5</v>
      </c>
      <c r="AK136" s="23">
        <f t="shared" si="5"/>
        <v>5</v>
      </c>
      <c r="AL136" s="25">
        <f>'MASTER STOCK'!I133</f>
        <v>16500</v>
      </c>
      <c r="AM136" s="27">
        <f>'MASTER STOCK'!L133</f>
        <v>24750</v>
      </c>
      <c r="AN136" s="27">
        <f t="shared" si="6"/>
        <v>0</v>
      </c>
      <c r="AO136" s="27">
        <f t="shared" si="7"/>
        <v>0</v>
      </c>
      <c r="AP136" s="25">
        <f t="shared" si="8"/>
        <v>0</v>
      </c>
      <c r="AQ136" s="10"/>
    </row>
    <row r="137">
      <c r="A137" s="20" t="str">
        <f>'MASTER STOCK'!F134</f>
        <v>PAKU PINES </v>
      </c>
      <c r="B137" s="21">
        <f>'AGS 25'!AJ137:AJ499</f>
        <v>7</v>
      </c>
      <c r="C137" s="10"/>
      <c r="D137" s="10"/>
      <c r="E137" s="22">
        <v>4.0</v>
      </c>
      <c r="F137" s="22">
        <v>1.0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23">
        <f t="shared" si="3"/>
        <v>5</v>
      </c>
      <c r="AI137" s="24">
        <v>0.0</v>
      </c>
      <c r="AJ137" s="23">
        <f t="shared" si="4"/>
        <v>2</v>
      </c>
      <c r="AK137" s="23">
        <f t="shared" si="5"/>
        <v>2</v>
      </c>
      <c r="AL137" s="25">
        <f>'MASTER STOCK'!I134</f>
        <v>1200</v>
      </c>
      <c r="AM137" s="27">
        <f>'MASTER STOCK'!L134</f>
        <v>2040</v>
      </c>
      <c r="AN137" s="27">
        <f t="shared" si="6"/>
        <v>10200</v>
      </c>
      <c r="AO137" s="27">
        <f t="shared" si="7"/>
        <v>4200</v>
      </c>
      <c r="AP137" s="25">
        <f t="shared" si="8"/>
        <v>6000</v>
      </c>
      <c r="AQ137" s="10"/>
    </row>
    <row r="138">
      <c r="A138" s="20" t="str">
        <f>'MASTER STOCK'!F135</f>
        <v>KIKIR 3 INC</v>
      </c>
      <c r="B138" s="21">
        <f>'AGS 25'!AJ138:AJ500</f>
        <v>5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23">
        <f t="shared" si="3"/>
        <v>0</v>
      </c>
      <c r="AI138" s="24">
        <v>0.0</v>
      </c>
      <c r="AJ138" s="23">
        <f t="shared" si="4"/>
        <v>5</v>
      </c>
      <c r="AK138" s="23">
        <f t="shared" si="5"/>
        <v>5</v>
      </c>
      <c r="AL138" s="25">
        <f>'MASTER STOCK'!I135</f>
        <v>8000</v>
      </c>
      <c r="AM138" s="27">
        <f>'MASTER STOCK'!L135</f>
        <v>17200</v>
      </c>
      <c r="AN138" s="27">
        <f t="shared" si="6"/>
        <v>0</v>
      </c>
      <c r="AO138" s="27">
        <f t="shared" si="7"/>
        <v>0</v>
      </c>
      <c r="AP138" s="25">
        <f t="shared" si="8"/>
        <v>0</v>
      </c>
      <c r="AQ138" s="10"/>
    </row>
    <row r="139">
      <c r="A139" s="20" t="str">
        <f>'MASTER STOCK'!F136</f>
        <v>KIKIR 3.5 INC</v>
      </c>
      <c r="B139" s="21">
        <f>'AGS 25'!AJ139:AJ501</f>
        <v>2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23">
        <f t="shared" si="3"/>
        <v>0</v>
      </c>
      <c r="AI139" s="24">
        <v>0.0</v>
      </c>
      <c r="AJ139" s="23">
        <f t="shared" si="4"/>
        <v>2</v>
      </c>
      <c r="AK139" s="23">
        <f t="shared" si="5"/>
        <v>2</v>
      </c>
      <c r="AL139" s="25">
        <f>'MASTER STOCK'!I136</f>
        <v>7500</v>
      </c>
      <c r="AM139" s="27">
        <f>'MASTER STOCK'!L136</f>
        <v>19125</v>
      </c>
      <c r="AN139" s="27">
        <f t="shared" si="6"/>
        <v>0</v>
      </c>
      <c r="AO139" s="27">
        <f t="shared" si="7"/>
        <v>0</v>
      </c>
      <c r="AP139" s="25">
        <f t="shared" si="8"/>
        <v>0</v>
      </c>
      <c r="AQ139" s="10"/>
    </row>
    <row r="140">
      <c r="A140" s="20" t="str">
        <f>'MASTER STOCK'!F137</f>
        <v>KIKIR 4 INC</v>
      </c>
      <c r="B140" s="21">
        <f>'AGS 25'!AJ140:AJ502</f>
        <v>2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23">
        <f t="shared" si="3"/>
        <v>0</v>
      </c>
      <c r="AI140" s="24">
        <v>0.0</v>
      </c>
      <c r="AJ140" s="23">
        <f t="shared" si="4"/>
        <v>2</v>
      </c>
      <c r="AK140" s="23">
        <f t="shared" si="5"/>
        <v>2</v>
      </c>
      <c r="AL140" s="25">
        <f>'MASTER STOCK'!I137</f>
        <v>9000</v>
      </c>
      <c r="AM140" s="27">
        <f>'MASTER STOCK'!L137</f>
        <v>20700</v>
      </c>
      <c r="AN140" s="27">
        <f t="shared" si="6"/>
        <v>0</v>
      </c>
      <c r="AO140" s="27">
        <f t="shared" si="7"/>
        <v>0</v>
      </c>
      <c r="AP140" s="25">
        <f t="shared" si="8"/>
        <v>0</v>
      </c>
      <c r="AQ140" s="10"/>
    </row>
    <row r="141">
      <c r="A141" s="20" t="str">
        <f>'MASTER STOCK'!F138</f>
        <v>AVIAN 192 VERMILLION 25CC</v>
      </c>
      <c r="B141" s="21">
        <f>'AGS 25'!AJ141:AJ503</f>
        <v>5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23">
        <f t="shared" si="3"/>
        <v>0</v>
      </c>
      <c r="AI141" s="24">
        <v>0.0</v>
      </c>
      <c r="AJ141" s="23">
        <f t="shared" si="4"/>
        <v>5</v>
      </c>
      <c r="AK141" s="23">
        <f t="shared" si="5"/>
        <v>5</v>
      </c>
      <c r="AL141" s="25">
        <f>'MASTER STOCK'!I138</f>
        <v>4500</v>
      </c>
      <c r="AM141" s="27">
        <f>'MASTER STOCK'!L138</f>
        <v>5580</v>
      </c>
      <c r="AN141" s="27">
        <f t="shared" si="6"/>
        <v>0</v>
      </c>
      <c r="AO141" s="27">
        <f t="shared" si="7"/>
        <v>0</v>
      </c>
      <c r="AP141" s="25">
        <f t="shared" si="8"/>
        <v>0</v>
      </c>
      <c r="AQ141" s="10"/>
    </row>
    <row r="142">
      <c r="A142" s="20" t="str">
        <f>'MASTER STOCK'!F139</f>
        <v>AVIAN SB 25CC</v>
      </c>
      <c r="B142" s="21">
        <f>'AGS 25'!AJ142:AJ504</f>
        <v>5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23">
        <f t="shared" si="3"/>
        <v>0</v>
      </c>
      <c r="AI142" s="24">
        <v>0.0</v>
      </c>
      <c r="AJ142" s="23">
        <f t="shared" si="4"/>
        <v>5</v>
      </c>
      <c r="AK142" s="23">
        <f t="shared" si="5"/>
        <v>5</v>
      </c>
      <c r="AL142" s="25">
        <f>'MASTER STOCK'!I139</f>
        <v>4500</v>
      </c>
      <c r="AM142" s="27">
        <f>'MASTER STOCK'!L139</f>
        <v>5580</v>
      </c>
      <c r="AN142" s="27">
        <f t="shared" si="6"/>
        <v>0</v>
      </c>
      <c r="AO142" s="27">
        <f t="shared" si="7"/>
        <v>0</v>
      </c>
      <c r="AP142" s="25">
        <f t="shared" si="8"/>
        <v>0</v>
      </c>
      <c r="AQ142" s="10"/>
    </row>
    <row r="143">
      <c r="A143" s="20" t="str">
        <f>'MASTER STOCK'!F140</f>
        <v>AVIAN 465 MEDIUM YELLOW 25CC</v>
      </c>
      <c r="B143" s="21">
        <f>'AGS 25'!AJ143:AJ505</f>
        <v>5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23">
        <f t="shared" si="3"/>
        <v>0</v>
      </c>
      <c r="AI143" s="24">
        <v>0.0</v>
      </c>
      <c r="AJ143" s="23">
        <f t="shared" si="4"/>
        <v>5</v>
      </c>
      <c r="AK143" s="23">
        <f t="shared" si="5"/>
        <v>5</v>
      </c>
      <c r="AL143" s="25">
        <f>'MASTER STOCK'!I140</f>
        <v>4500</v>
      </c>
      <c r="AM143" s="27">
        <f>'MASTER STOCK'!L140</f>
        <v>5580</v>
      </c>
      <c r="AN143" s="27">
        <f t="shared" si="6"/>
        <v>0</v>
      </c>
      <c r="AO143" s="27">
        <f t="shared" si="7"/>
        <v>0</v>
      </c>
      <c r="AP143" s="25">
        <f t="shared" si="8"/>
        <v>0</v>
      </c>
      <c r="AQ143" s="10"/>
    </row>
    <row r="144">
      <c r="A144" s="20" t="str">
        <f>'MASTER STOCK'!F141</f>
        <v>AVIAN 733 OCEAN BLUE 25CC</v>
      </c>
      <c r="B144" s="21">
        <f>'AGS 25'!AJ144:AJ506</f>
        <v>5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23">
        <f t="shared" si="3"/>
        <v>0</v>
      </c>
      <c r="AI144" s="24">
        <v>0.0</v>
      </c>
      <c r="AJ144" s="23">
        <f t="shared" si="4"/>
        <v>5</v>
      </c>
      <c r="AK144" s="23">
        <f t="shared" si="5"/>
        <v>5</v>
      </c>
      <c r="AL144" s="25">
        <f>'MASTER STOCK'!I141</f>
        <v>4500</v>
      </c>
      <c r="AM144" s="27">
        <f>'MASTER STOCK'!L141</f>
        <v>5580</v>
      </c>
      <c r="AN144" s="27">
        <f t="shared" si="6"/>
        <v>0</v>
      </c>
      <c r="AO144" s="27">
        <f t="shared" si="7"/>
        <v>0</v>
      </c>
      <c r="AP144" s="25">
        <f t="shared" si="8"/>
        <v>0</v>
      </c>
      <c r="AQ144" s="10"/>
    </row>
    <row r="145">
      <c r="A145" s="20" t="str">
        <f>'MASTER STOCK'!F142</f>
        <v>AVIAN SW 25CC</v>
      </c>
      <c r="B145" s="21">
        <f>'AGS 25'!AJ145:AJ507</f>
        <v>5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23">
        <f t="shared" si="3"/>
        <v>0</v>
      </c>
      <c r="AI145" s="24">
        <v>0.0</v>
      </c>
      <c r="AJ145" s="23">
        <f t="shared" si="4"/>
        <v>5</v>
      </c>
      <c r="AK145" s="23">
        <f t="shared" si="5"/>
        <v>5</v>
      </c>
      <c r="AL145" s="25">
        <f>'MASTER STOCK'!I142</f>
        <v>4500</v>
      </c>
      <c r="AM145" s="27">
        <f>'MASTER STOCK'!L142</f>
        <v>5580</v>
      </c>
      <c r="AN145" s="27">
        <f t="shared" si="6"/>
        <v>0</v>
      </c>
      <c r="AO145" s="27">
        <f t="shared" si="7"/>
        <v>0</v>
      </c>
      <c r="AP145" s="25">
        <f t="shared" si="8"/>
        <v>0</v>
      </c>
      <c r="AQ145" s="10"/>
    </row>
    <row r="146">
      <c r="A146" s="20" t="str">
        <f>'MASTER STOCK'!F143</f>
        <v>AVIAN KAYU BESI SB</v>
      </c>
      <c r="B146" s="21">
        <f>'AGS 25'!AJ146:AJ508</f>
        <v>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23">
        <f t="shared" si="3"/>
        <v>0</v>
      </c>
      <c r="AI146" s="24">
        <v>0.0</v>
      </c>
      <c r="AJ146" s="23">
        <f t="shared" si="4"/>
        <v>1</v>
      </c>
      <c r="AK146" s="23">
        <f t="shared" si="5"/>
        <v>1</v>
      </c>
      <c r="AL146" s="25">
        <f>'MASTER STOCK'!I143</f>
        <v>73000</v>
      </c>
      <c r="AM146" s="27">
        <f>'MASTER STOCK'!L143</f>
        <v>76650</v>
      </c>
      <c r="AN146" s="27">
        <f t="shared" si="6"/>
        <v>0</v>
      </c>
      <c r="AO146" s="27">
        <f t="shared" si="7"/>
        <v>0</v>
      </c>
      <c r="AP146" s="25">
        <f t="shared" si="8"/>
        <v>0</v>
      </c>
      <c r="AQ146" s="10"/>
    </row>
    <row r="147">
      <c r="A147" s="20" t="str">
        <f>'MASTER STOCK'!F144</f>
        <v>AVIAN KAYU BESI 192</v>
      </c>
      <c r="B147" s="21">
        <f>'AGS 25'!AJ147:AJ509</f>
        <v>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23">
        <f t="shared" si="3"/>
        <v>0</v>
      </c>
      <c r="AI147" s="24">
        <v>0.0</v>
      </c>
      <c r="AJ147" s="23">
        <f t="shared" si="4"/>
        <v>1</v>
      </c>
      <c r="AK147" s="23">
        <f t="shared" si="5"/>
        <v>1</v>
      </c>
      <c r="AL147" s="25">
        <f>'MASTER STOCK'!I144</f>
        <v>73000</v>
      </c>
      <c r="AM147" s="27">
        <f>'MASTER STOCK'!L144</f>
        <v>76650</v>
      </c>
      <c r="AN147" s="27">
        <f t="shared" si="6"/>
        <v>0</v>
      </c>
      <c r="AO147" s="27">
        <f t="shared" si="7"/>
        <v>0</v>
      </c>
      <c r="AP147" s="25">
        <f t="shared" si="8"/>
        <v>0</v>
      </c>
      <c r="AQ147" s="10"/>
    </row>
    <row r="148">
      <c r="A148" s="20" t="str">
        <f>'MASTER STOCK'!F145</f>
        <v>AVIAN KAYU BESI 480</v>
      </c>
      <c r="B148" s="21">
        <f>'AGS 25'!AJ148:AJ510</f>
        <v>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23">
        <f t="shared" si="3"/>
        <v>0</v>
      </c>
      <c r="AI148" s="24">
        <v>0.0</v>
      </c>
      <c r="AJ148" s="23">
        <f t="shared" si="4"/>
        <v>1</v>
      </c>
      <c r="AK148" s="23">
        <f t="shared" si="5"/>
        <v>1</v>
      </c>
      <c r="AL148" s="25">
        <f>'MASTER STOCK'!I145</f>
        <v>73000</v>
      </c>
      <c r="AM148" s="27">
        <f>'MASTER STOCK'!L145</f>
        <v>76650</v>
      </c>
      <c r="AN148" s="27">
        <f t="shared" si="6"/>
        <v>0</v>
      </c>
      <c r="AO148" s="27">
        <f t="shared" si="7"/>
        <v>0</v>
      </c>
      <c r="AP148" s="25">
        <f t="shared" si="8"/>
        <v>0</v>
      </c>
      <c r="AQ148" s="10"/>
    </row>
    <row r="149">
      <c r="A149" s="20" t="str">
        <f>'MASTER STOCK'!F146</f>
        <v>AVIAN KAYU BESI SW</v>
      </c>
      <c r="B149" s="21">
        <f>'AGS 25'!AJ149:AJ511</f>
        <v>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23">
        <f t="shared" si="3"/>
        <v>0</v>
      </c>
      <c r="AI149" s="24">
        <v>0.0</v>
      </c>
      <c r="AJ149" s="23">
        <f t="shared" si="4"/>
        <v>1</v>
      </c>
      <c r="AK149" s="23">
        <f t="shared" si="5"/>
        <v>1</v>
      </c>
      <c r="AL149" s="25">
        <f>'MASTER STOCK'!I146</f>
        <v>73000</v>
      </c>
      <c r="AM149" s="27">
        <f>'MASTER STOCK'!L146</f>
        <v>76650</v>
      </c>
      <c r="AN149" s="27">
        <f t="shared" si="6"/>
        <v>0</v>
      </c>
      <c r="AO149" s="27">
        <f t="shared" si="7"/>
        <v>0</v>
      </c>
      <c r="AP149" s="25">
        <f t="shared" si="8"/>
        <v>0</v>
      </c>
      <c r="AQ149" s="10"/>
    </row>
    <row r="150">
      <c r="A150" s="20" t="str">
        <f>'MASTER STOCK'!F147</f>
        <v>BEE BRAND KAYU BESI 126 GREEN</v>
      </c>
      <c r="B150" s="21">
        <f>'AGS 25'!AJ150:AJ512</f>
        <v>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23">
        <f t="shared" si="3"/>
        <v>0</v>
      </c>
      <c r="AI150" s="24">
        <v>0.0</v>
      </c>
      <c r="AJ150" s="23">
        <f t="shared" si="4"/>
        <v>1</v>
      </c>
      <c r="AK150" s="23">
        <f t="shared" si="5"/>
        <v>1</v>
      </c>
      <c r="AL150" s="25">
        <f>'MASTER STOCK'!I147</f>
        <v>68000</v>
      </c>
      <c r="AM150" s="27">
        <f>'MASTER STOCK'!L147</f>
        <v>72760</v>
      </c>
      <c r="AN150" s="27">
        <f t="shared" si="6"/>
        <v>0</v>
      </c>
      <c r="AO150" s="27">
        <f t="shared" si="7"/>
        <v>0</v>
      </c>
      <c r="AP150" s="25">
        <f t="shared" si="8"/>
        <v>0</v>
      </c>
      <c r="AQ150" s="10"/>
    </row>
    <row r="151">
      <c r="A151" s="20" t="str">
        <f>'MASTER STOCK'!F148</f>
        <v>BEE BRAND KAYU BESI 1019 DEL FOGLIO</v>
      </c>
      <c r="B151" s="21">
        <f>'AGS 25'!AJ151:AJ513</f>
        <v>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23">
        <f t="shared" si="3"/>
        <v>0</v>
      </c>
      <c r="AI151" s="24">
        <v>0.0</v>
      </c>
      <c r="AJ151" s="23">
        <f t="shared" si="4"/>
        <v>1</v>
      </c>
      <c r="AK151" s="23">
        <f t="shared" si="5"/>
        <v>1</v>
      </c>
      <c r="AL151" s="25">
        <f>'MASTER STOCK'!I148</f>
        <v>68000</v>
      </c>
      <c r="AM151" s="27">
        <f>'MASTER STOCK'!L148</f>
        <v>72760</v>
      </c>
      <c r="AN151" s="27">
        <f t="shared" si="6"/>
        <v>0</v>
      </c>
      <c r="AO151" s="27">
        <f t="shared" si="7"/>
        <v>0</v>
      </c>
      <c r="AP151" s="25">
        <f t="shared" si="8"/>
        <v>0</v>
      </c>
      <c r="AQ151" s="10"/>
    </row>
    <row r="152">
      <c r="A152" s="20" t="str">
        <f>'MASTER STOCK'!F149</f>
        <v>BEE BRAND KAYU BESI 115 SILVER</v>
      </c>
      <c r="B152" s="21">
        <f>'AGS 25'!AJ152:AJ514</f>
        <v>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23">
        <f t="shared" si="3"/>
        <v>0</v>
      </c>
      <c r="AI152" s="24">
        <v>0.0</v>
      </c>
      <c r="AJ152" s="23">
        <f t="shared" si="4"/>
        <v>1</v>
      </c>
      <c r="AK152" s="23">
        <f t="shared" si="5"/>
        <v>1</v>
      </c>
      <c r="AL152" s="25">
        <f>'MASTER STOCK'!I149</f>
        <v>68000</v>
      </c>
      <c r="AM152" s="27">
        <f>'MASTER STOCK'!L149</f>
        <v>72760</v>
      </c>
      <c r="AN152" s="27">
        <f t="shared" si="6"/>
        <v>0</v>
      </c>
      <c r="AO152" s="27">
        <f t="shared" si="7"/>
        <v>0</v>
      </c>
      <c r="AP152" s="25">
        <f t="shared" si="8"/>
        <v>0</v>
      </c>
      <c r="AQ152" s="10"/>
    </row>
    <row r="153">
      <c r="A153" s="20" t="str">
        <f>'MASTER STOCK'!F150</f>
        <v>PARAGON TEMBOK SW 5KG</v>
      </c>
      <c r="B153" s="21">
        <f>'AGS 25'!AJ153:AJ515</f>
        <v>2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23">
        <f t="shared" si="3"/>
        <v>0</v>
      </c>
      <c r="AI153" s="24">
        <v>0.0</v>
      </c>
      <c r="AJ153" s="23">
        <f t="shared" si="4"/>
        <v>2</v>
      </c>
      <c r="AK153" s="23">
        <f t="shared" si="5"/>
        <v>2</v>
      </c>
      <c r="AL153" s="25">
        <f>'MASTER STOCK'!I150</f>
        <v>122500</v>
      </c>
      <c r="AM153" s="27">
        <f>'MASTER STOCK'!L150</f>
        <v>134750</v>
      </c>
      <c r="AN153" s="27">
        <f t="shared" si="6"/>
        <v>0</v>
      </c>
      <c r="AO153" s="27">
        <f t="shared" si="7"/>
        <v>0</v>
      </c>
      <c r="AP153" s="25">
        <f t="shared" si="8"/>
        <v>0</v>
      </c>
      <c r="AQ153" s="10"/>
    </row>
    <row r="154">
      <c r="A154" s="20" t="str">
        <f>'MASTER STOCK'!F151</f>
        <v>PARAGON TEMBOK SW 1KG</v>
      </c>
      <c r="B154" s="21">
        <f>'AGS 25'!AJ154:AJ516</f>
        <v>4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23">
        <f t="shared" si="3"/>
        <v>0</v>
      </c>
      <c r="AI154" s="24">
        <v>0.0</v>
      </c>
      <c r="AJ154" s="23">
        <f t="shared" si="4"/>
        <v>4</v>
      </c>
      <c r="AK154" s="23">
        <f t="shared" si="5"/>
        <v>4</v>
      </c>
      <c r="AL154" s="25">
        <f>'MASTER STOCK'!I151</f>
        <v>32500</v>
      </c>
      <c r="AM154" s="27">
        <f>'MASTER STOCK'!L151</f>
        <v>35750</v>
      </c>
      <c r="AN154" s="27">
        <f t="shared" si="6"/>
        <v>0</v>
      </c>
      <c r="AO154" s="27">
        <f t="shared" si="7"/>
        <v>0</v>
      </c>
      <c r="AP154" s="25">
        <f t="shared" si="8"/>
        <v>0</v>
      </c>
      <c r="AQ154" s="10"/>
    </row>
    <row r="155">
      <c r="A155" s="20" t="str">
        <f>'MASTER STOCK'!F152</f>
        <v>NODROP TEMBOK ABU-ABU 602 1KG</v>
      </c>
      <c r="B155" s="21">
        <f>'AGS 25'!AJ155:AJ517</f>
        <v>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23">
        <f t="shared" si="3"/>
        <v>0</v>
      </c>
      <c r="AI155" s="24">
        <v>0.0</v>
      </c>
      <c r="AJ155" s="23">
        <f t="shared" si="4"/>
        <v>4</v>
      </c>
      <c r="AK155" s="23">
        <f t="shared" si="5"/>
        <v>4</v>
      </c>
      <c r="AL155" s="25">
        <f>'MASTER STOCK'!I152</f>
        <v>53500</v>
      </c>
      <c r="AM155" s="27">
        <f>'MASTER STOCK'!L152</f>
        <v>58850</v>
      </c>
      <c r="AN155" s="27">
        <f t="shared" si="6"/>
        <v>0</v>
      </c>
      <c r="AO155" s="27">
        <f t="shared" si="7"/>
        <v>0</v>
      </c>
      <c r="AP155" s="25">
        <f t="shared" si="8"/>
        <v>0</v>
      </c>
      <c r="AQ155" s="10"/>
    </row>
    <row r="156">
      <c r="A156" s="20" t="str">
        <f>'MASTER STOCK'!F153</f>
        <v>AVITEX TEMBOK 710 BLUE</v>
      </c>
      <c r="B156" s="21">
        <f>'AGS 25'!AJ156:AJ518</f>
        <v>2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23">
        <f t="shared" si="3"/>
        <v>0</v>
      </c>
      <c r="AI156" s="24">
        <v>0.0</v>
      </c>
      <c r="AJ156" s="23">
        <f t="shared" si="4"/>
        <v>2</v>
      </c>
      <c r="AK156" s="23">
        <f t="shared" si="5"/>
        <v>2</v>
      </c>
      <c r="AL156" s="25">
        <f>'MASTER STOCK'!I153</f>
        <v>35500</v>
      </c>
      <c r="AM156" s="27">
        <f>'MASTER STOCK'!L153</f>
        <v>39050</v>
      </c>
      <c r="AN156" s="27">
        <f t="shared" si="6"/>
        <v>0</v>
      </c>
      <c r="AO156" s="27">
        <f t="shared" si="7"/>
        <v>0</v>
      </c>
      <c r="AP156" s="25">
        <f t="shared" si="8"/>
        <v>0</v>
      </c>
      <c r="AQ156" s="10"/>
    </row>
    <row r="157">
      <c r="A157" s="20" t="str">
        <f>'MASTER STOCK'!F154</f>
        <v>AVITEX TEMBOK 770 GREEN</v>
      </c>
      <c r="B157" s="21">
        <f>'AGS 25'!AJ157:AJ519</f>
        <v>2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23">
        <f t="shared" si="3"/>
        <v>0</v>
      </c>
      <c r="AI157" s="24">
        <v>0.0</v>
      </c>
      <c r="AJ157" s="23">
        <f t="shared" si="4"/>
        <v>2</v>
      </c>
      <c r="AK157" s="23">
        <f t="shared" si="5"/>
        <v>2</v>
      </c>
      <c r="AL157" s="25">
        <f>'MASTER STOCK'!I154</f>
        <v>35500</v>
      </c>
      <c r="AM157" s="27">
        <f>'MASTER STOCK'!L154</f>
        <v>39050</v>
      </c>
      <c r="AN157" s="27">
        <f t="shared" si="6"/>
        <v>0</v>
      </c>
      <c r="AO157" s="27">
        <f t="shared" si="7"/>
        <v>0</v>
      </c>
      <c r="AP157" s="25">
        <f t="shared" si="8"/>
        <v>0</v>
      </c>
      <c r="AQ157" s="10"/>
    </row>
    <row r="158">
      <c r="A158" s="20" t="str">
        <f>'MASTER STOCK'!F155</f>
        <v>AVITEX TEMBOK 750 YELLOW</v>
      </c>
      <c r="B158" s="21">
        <f>'AGS 25'!AJ158:AJ520</f>
        <v>2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23">
        <f t="shared" si="3"/>
        <v>0</v>
      </c>
      <c r="AI158" s="24">
        <v>0.0</v>
      </c>
      <c r="AJ158" s="23">
        <f t="shared" si="4"/>
        <v>2</v>
      </c>
      <c r="AK158" s="23">
        <f t="shared" si="5"/>
        <v>2</v>
      </c>
      <c r="AL158" s="25">
        <f>'MASTER STOCK'!I155</f>
        <v>35500</v>
      </c>
      <c r="AM158" s="27">
        <f>'MASTER STOCK'!L155</f>
        <v>39050</v>
      </c>
      <c r="AN158" s="27">
        <f t="shared" si="6"/>
        <v>0</v>
      </c>
      <c r="AO158" s="27">
        <f t="shared" si="7"/>
        <v>0</v>
      </c>
      <c r="AP158" s="25">
        <f t="shared" si="8"/>
        <v>0</v>
      </c>
      <c r="AQ158" s="10"/>
    </row>
    <row r="159">
      <c r="A159" s="20" t="str">
        <f>'MASTER STOCK'!F156</f>
        <v>AVITEX TEMBOK 831 CREAM</v>
      </c>
      <c r="B159" s="21">
        <f>'AGS 25'!AJ159:AJ521</f>
        <v>2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23">
        <f t="shared" si="3"/>
        <v>0</v>
      </c>
      <c r="AI159" s="24">
        <v>0.0</v>
      </c>
      <c r="AJ159" s="23">
        <f t="shared" si="4"/>
        <v>2</v>
      </c>
      <c r="AK159" s="23">
        <f t="shared" si="5"/>
        <v>2</v>
      </c>
      <c r="AL159" s="25">
        <f>'MASTER STOCK'!I156</f>
        <v>35500</v>
      </c>
      <c r="AM159" s="27">
        <f>'MASTER STOCK'!L156</f>
        <v>39050</v>
      </c>
      <c r="AN159" s="27">
        <f t="shared" si="6"/>
        <v>0</v>
      </c>
      <c r="AO159" s="27">
        <f t="shared" si="7"/>
        <v>0</v>
      </c>
      <c r="AP159" s="25">
        <f t="shared" si="8"/>
        <v>0</v>
      </c>
      <c r="AQ159" s="10"/>
    </row>
    <row r="160">
      <c r="A160" s="20" t="str">
        <f>'MASTER STOCK'!F157</f>
        <v>AVITEX TEMBOK SB</v>
      </c>
      <c r="B160" s="21">
        <f>'AGS 25'!AJ160:AJ522</f>
        <v>2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23">
        <f t="shared" si="3"/>
        <v>0</v>
      </c>
      <c r="AI160" s="24">
        <v>0.0</v>
      </c>
      <c r="AJ160" s="23">
        <f t="shared" si="4"/>
        <v>2</v>
      </c>
      <c r="AK160" s="23">
        <f t="shared" si="5"/>
        <v>2</v>
      </c>
      <c r="AL160" s="25">
        <f>'MASTER STOCK'!I157</f>
        <v>35500</v>
      </c>
      <c r="AM160" s="27">
        <f>'MASTER STOCK'!L157</f>
        <v>39050</v>
      </c>
      <c r="AN160" s="27">
        <f t="shared" si="6"/>
        <v>0</v>
      </c>
      <c r="AO160" s="27">
        <f t="shared" si="7"/>
        <v>0</v>
      </c>
      <c r="AP160" s="25">
        <f t="shared" si="8"/>
        <v>0</v>
      </c>
      <c r="AQ160" s="10"/>
    </row>
    <row r="161">
      <c r="A161" s="29" t="str">
        <f>'MASTER STOCK'!F158</f>
        <v>knee 1/2 dim</v>
      </c>
      <c r="B161" s="30">
        <f>'AGS 25'!AJ161:AJ523</f>
        <v>46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23">
        <f t="shared" si="3"/>
        <v>0</v>
      </c>
      <c r="AI161" s="24">
        <v>0.0</v>
      </c>
      <c r="AJ161" s="32">
        <f t="shared" si="4"/>
        <v>46</v>
      </c>
      <c r="AK161" s="32">
        <f t="shared" si="5"/>
        <v>46</v>
      </c>
      <c r="AL161" s="25">
        <f>'MASTER STOCK'!I158</f>
        <v>2500</v>
      </c>
      <c r="AM161" s="27">
        <f>'MASTER STOCK'!L158</f>
        <v>2500</v>
      </c>
      <c r="AN161" s="27">
        <f t="shared" si="6"/>
        <v>0</v>
      </c>
      <c r="AO161" s="27">
        <f t="shared" si="7"/>
        <v>0</v>
      </c>
      <c r="AP161" s="25">
        <f t="shared" si="8"/>
        <v>0</v>
      </c>
      <c r="AQ161" s="10"/>
    </row>
    <row r="162">
      <c r="A162" s="29" t="str">
        <f>'MASTER STOCK'!F159</f>
        <v>knee 3/4 dim</v>
      </c>
      <c r="B162" s="30">
        <f>'AGS 25'!AJ162:AJ524</f>
        <v>38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23">
        <f t="shared" si="3"/>
        <v>0</v>
      </c>
      <c r="AI162" s="24">
        <v>0.0</v>
      </c>
      <c r="AJ162" s="32">
        <f t="shared" si="4"/>
        <v>38</v>
      </c>
      <c r="AK162" s="32">
        <f t="shared" si="5"/>
        <v>38</v>
      </c>
      <c r="AL162" s="25">
        <f>'MASTER STOCK'!I159</f>
        <v>3500</v>
      </c>
      <c r="AM162" s="27">
        <f>'MASTER STOCK'!L159</f>
        <v>3500</v>
      </c>
      <c r="AN162" s="27">
        <f t="shared" si="6"/>
        <v>0</v>
      </c>
      <c r="AO162" s="27">
        <f t="shared" si="7"/>
        <v>0</v>
      </c>
      <c r="AP162" s="25">
        <f t="shared" si="8"/>
        <v>0</v>
      </c>
      <c r="AQ162" s="10"/>
    </row>
    <row r="163">
      <c r="A163" s="29" t="str">
        <f>'MASTER STOCK'!F160</f>
        <v>knee drat dalam 3/4 dim</v>
      </c>
      <c r="B163" s="30">
        <f>'AGS 25'!AJ163:AJ525</f>
        <v>8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23">
        <f t="shared" si="3"/>
        <v>0</v>
      </c>
      <c r="AI163" s="24">
        <v>0.0</v>
      </c>
      <c r="AJ163" s="32">
        <f t="shared" si="4"/>
        <v>8</v>
      </c>
      <c r="AK163" s="32">
        <f t="shared" si="5"/>
        <v>8</v>
      </c>
      <c r="AL163" s="25">
        <f>'MASTER STOCK'!I160</f>
        <v>4500</v>
      </c>
      <c r="AM163" s="27">
        <f>'MASTER STOCK'!L160</f>
        <v>4500</v>
      </c>
      <c r="AN163" s="27">
        <f t="shared" si="6"/>
        <v>0</v>
      </c>
      <c r="AO163" s="27">
        <f t="shared" si="7"/>
        <v>0</v>
      </c>
      <c r="AP163" s="25">
        <f t="shared" si="8"/>
        <v>0</v>
      </c>
      <c r="AQ163" s="10"/>
    </row>
    <row r="164">
      <c r="A164" s="29" t="str">
        <f>'MASTER STOCK'!F161</f>
        <v>paku 1 1/2</v>
      </c>
      <c r="B164" s="30">
        <f>'AGS 25'!AJ164:AJ526</f>
        <v>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23">
        <f t="shared" si="3"/>
        <v>0</v>
      </c>
      <c r="AI164" s="24">
        <v>0.0</v>
      </c>
      <c r="AJ164" s="32">
        <f t="shared" si="4"/>
        <v>1</v>
      </c>
      <c r="AK164" s="32">
        <f t="shared" si="5"/>
        <v>1</v>
      </c>
      <c r="AL164" s="25">
        <f>'MASTER STOCK'!I161</f>
        <v>25000</v>
      </c>
      <c r="AM164" s="27">
        <f>'MASTER STOCK'!L161</f>
        <v>25000</v>
      </c>
      <c r="AN164" s="27">
        <f t="shared" si="6"/>
        <v>0</v>
      </c>
      <c r="AO164" s="27">
        <f t="shared" si="7"/>
        <v>0</v>
      </c>
      <c r="AP164" s="25">
        <f t="shared" si="8"/>
        <v>0</v>
      </c>
      <c r="AQ164" s="10"/>
    </row>
    <row r="165">
      <c r="A165" s="29" t="str">
        <f>'MASTER STOCK'!F162</f>
        <v>paku 3/4</v>
      </c>
      <c r="B165" s="30">
        <f>'AGS 25'!AJ165:AJ527</f>
        <v>1</v>
      </c>
      <c r="C165" s="10"/>
      <c r="D165" s="22">
        <v>0.1</v>
      </c>
      <c r="E165" s="10"/>
      <c r="F165" s="10"/>
      <c r="G165" s="10"/>
      <c r="H165" s="22">
        <v>0.1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23">
        <f t="shared" si="3"/>
        <v>0.2</v>
      </c>
      <c r="AI165" s="24">
        <v>0.0</v>
      </c>
      <c r="AJ165" s="32">
        <f t="shared" si="4"/>
        <v>0.8</v>
      </c>
      <c r="AK165" s="32">
        <f t="shared" si="5"/>
        <v>0.8</v>
      </c>
      <c r="AL165" s="25">
        <f>'MASTER STOCK'!I162</f>
        <v>25000</v>
      </c>
      <c r="AM165" s="27">
        <f>'MASTER STOCK'!L162</f>
        <v>25000</v>
      </c>
      <c r="AN165" s="27">
        <f t="shared" si="6"/>
        <v>5000</v>
      </c>
      <c r="AO165" s="27">
        <f t="shared" si="7"/>
        <v>0</v>
      </c>
      <c r="AP165" s="25">
        <f t="shared" si="8"/>
        <v>5000</v>
      </c>
      <c r="AQ165" s="10"/>
    </row>
    <row r="166">
      <c r="A166" s="29" t="str">
        <f>'MASTER STOCK'!F163</f>
        <v>t  1/2 dim</v>
      </c>
      <c r="B166" s="30">
        <f>'AGS 25'!AJ166:AJ528</f>
        <v>9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23">
        <f t="shared" si="3"/>
        <v>0</v>
      </c>
      <c r="AI166" s="24">
        <v>0.0</v>
      </c>
      <c r="AJ166" s="32">
        <f t="shared" si="4"/>
        <v>9</v>
      </c>
      <c r="AK166" s="32">
        <f t="shared" si="5"/>
        <v>9</v>
      </c>
      <c r="AL166" s="25">
        <f>'MASTER STOCK'!I163</f>
        <v>2500</v>
      </c>
      <c r="AM166" s="27">
        <f>'MASTER STOCK'!L163</f>
        <v>2500</v>
      </c>
      <c r="AN166" s="27">
        <f t="shared" si="6"/>
        <v>0</v>
      </c>
      <c r="AO166" s="27">
        <f t="shared" si="7"/>
        <v>0</v>
      </c>
      <c r="AP166" s="25">
        <f t="shared" si="8"/>
        <v>0</v>
      </c>
      <c r="AQ166" s="10"/>
    </row>
    <row r="167">
      <c r="A167" s="29" t="str">
        <f>'MASTER STOCK'!F164</f>
        <v>knee 1 dim</v>
      </c>
      <c r="B167" s="30">
        <f>'AGS 25'!AJ167:AJ529</f>
        <v>18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23">
        <f t="shared" si="3"/>
        <v>0</v>
      </c>
      <c r="AI167" s="24">
        <v>0.0</v>
      </c>
      <c r="AJ167" s="32">
        <f t="shared" si="4"/>
        <v>18</v>
      </c>
      <c r="AK167" s="32">
        <f t="shared" si="5"/>
        <v>18</v>
      </c>
      <c r="AL167" s="25">
        <f>'MASTER STOCK'!I164</f>
        <v>4000</v>
      </c>
      <c r="AM167" s="27">
        <f>'MASTER STOCK'!L164</f>
        <v>4000</v>
      </c>
      <c r="AN167" s="27">
        <f t="shared" si="6"/>
        <v>0</v>
      </c>
      <c r="AO167" s="27">
        <f t="shared" si="7"/>
        <v>0</v>
      </c>
      <c r="AP167" s="25">
        <f t="shared" si="8"/>
        <v>0</v>
      </c>
      <c r="AQ167" s="10"/>
    </row>
    <row r="168">
      <c r="A168" s="29" t="str">
        <f>'MASTER STOCK'!F165</f>
        <v>t 1/2 dim</v>
      </c>
      <c r="B168" s="30">
        <f>'AGS 25'!AJ168:AJ530</f>
        <v>15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23">
        <f t="shared" si="3"/>
        <v>0</v>
      </c>
      <c r="AI168" s="24">
        <v>0.0</v>
      </c>
      <c r="AJ168" s="32">
        <f t="shared" si="4"/>
        <v>15</v>
      </c>
      <c r="AK168" s="32">
        <f t="shared" si="5"/>
        <v>15</v>
      </c>
      <c r="AL168" s="25">
        <f>'MASTER STOCK'!I165</f>
        <v>2500</v>
      </c>
      <c r="AM168" s="27">
        <f>'MASTER STOCK'!L165</f>
        <v>2500</v>
      </c>
      <c r="AN168" s="27">
        <f t="shared" si="6"/>
        <v>0</v>
      </c>
      <c r="AO168" s="27">
        <f t="shared" si="7"/>
        <v>0</v>
      </c>
      <c r="AP168" s="25">
        <f t="shared" si="8"/>
        <v>0</v>
      </c>
      <c r="AQ168" s="10"/>
    </row>
    <row r="169">
      <c r="A169" s="29" t="str">
        <f>'MASTER STOCK'!F166</f>
        <v>t 1/4 dim</v>
      </c>
      <c r="B169" s="30">
        <f>'AGS 25'!AJ169:AJ531</f>
        <v>5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23">
        <f t="shared" si="3"/>
        <v>0</v>
      </c>
      <c r="AI169" s="24">
        <v>0.0</v>
      </c>
      <c r="AJ169" s="32">
        <f t="shared" si="4"/>
        <v>5</v>
      </c>
      <c r="AK169" s="32">
        <f t="shared" si="5"/>
        <v>5</v>
      </c>
      <c r="AL169" s="25">
        <f>'MASTER STOCK'!I166</f>
        <v>2500</v>
      </c>
      <c r="AM169" s="27">
        <f>'MASTER STOCK'!L166</f>
        <v>2500</v>
      </c>
      <c r="AN169" s="27">
        <f t="shared" si="6"/>
        <v>0</v>
      </c>
      <c r="AO169" s="27">
        <f t="shared" si="7"/>
        <v>0</v>
      </c>
      <c r="AP169" s="25">
        <f t="shared" si="8"/>
        <v>0</v>
      </c>
      <c r="AQ169" s="10"/>
    </row>
    <row r="170">
      <c r="A170" s="29" t="str">
        <f>'MASTER STOCK'!F167</f>
        <v>t 2 dim</v>
      </c>
      <c r="B170" s="30">
        <f>'AGS 25'!AJ170:AJ532</f>
        <v>24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23">
        <f t="shared" si="3"/>
        <v>0</v>
      </c>
      <c r="AI170" s="24">
        <v>0.0</v>
      </c>
      <c r="AJ170" s="32">
        <f t="shared" si="4"/>
        <v>24</v>
      </c>
      <c r="AK170" s="32">
        <f t="shared" si="5"/>
        <v>24</v>
      </c>
      <c r="AL170" s="25">
        <f>'MASTER STOCK'!I167</f>
        <v>5000</v>
      </c>
      <c r="AM170" s="27">
        <f>'MASTER STOCK'!L167</f>
        <v>5000</v>
      </c>
      <c r="AN170" s="27">
        <f t="shared" si="6"/>
        <v>0</v>
      </c>
      <c r="AO170" s="27">
        <f t="shared" si="7"/>
        <v>0</v>
      </c>
      <c r="AP170" s="25">
        <f t="shared" si="8"/>
        <v>0</v>
      </c>
      <c r="AQ170" s="10"/>
    </row>
    <row r="171">
      <c r="A171" s="29" t="str">
        <f>'MASTER STOCK'!F168</f>
        <v>t 3/4 dim</v>
      </c>
      <c r="B171" s="30">
        <f>'AGS 25'!AJ171:AJ533</f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23">
        <f t="shared" si="3"/>
        <v>0</v>
      </c>
      <c r="AI171" s="24">
        <v>0.0</v>
      </c>
      <c r="AJ171" s="32">
        <f t="shared" si="4"/>
        <v>11</v>
      </c>
      <c r="AK171" s="32">
        <f t="shared" si="5"/>
        <v>11</v>
      </c>
      <c r="AL171" s="25">
        <f>'MASTER STOCK'!I168</f>
        <v>3500</v>
      </c>
      <c r="AM171" s="27">
        <f>'MASTER STOCK'!L168</f>
        <v>3500</v>
      </c>
      <c r="AN171" s="27">
        <f t="shared" si="6"/>
        <v>0</v>
      </c>
      <c r="AO171" s="27">
        <f t="shared" si="7"/>
        <v>0</v>
      </c>
      <c r="AP171" s="25">
        <f t="shared" si="8"/>
        <v>0</v>
      </c>
      <c r="AQ171" s="10"/>
    </row>
    <row r="172">
      <c r="A172" s="29" t="str">
        <f>'MASTER STOCK'!F169</f>
        <v>knee 1 1/2</v>
      </c>
      <c r="B172" s="30">
        <f>'AGS 25'!AJ172:AJ534</f>
        <v>10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23">
        <f t="shared" si="3"/>
        <v>0</v>
      </c>
      <c r="AI172" s="24">
        <v>0.0</v>
      </c>
      <c r="AJ172" s="32">
        <f t="shared" si="4"/>
        <v>10</v>
      </c>
      <c r="AK172" s="32">
        <f t="shared" si="5"/>
        <v>10</v>
      </c>
      <c r="AL172" s="25">
        <f>'MASTER STOCK'!I169</f>
        <v>4500</v>
      </c>
      <c r="AM172" s="27">
        <f>'MASTER STOCK'!L169</f>
        <v>4500</v>
      </c>
      <c r="AN172" s="27">
        <f t="shared" si="6"/>
        <v>0</v>
      </c>
      <c r="AO172" s="27">
        <f t="shared" si="7"/>
        <v>0</v>
      </c>
      <c r="AP172" s="25">
        <f t="shared" si="8"/>
        <v>0</v>
      </c>
      <c r="AQ172" s="10"/>
    </row>
    <row r="173">
      <c r="A173" s="29" t="str">
        <f>'MASTER STOCK'!F170</f>
        <v>t drat dalam 1/2 dim</v>
      </c>
      <c r="B173" s="30">
        <f>'AGS 25'!AJ173:AJ535</f>
        <v>10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23">
        <f t="shared" si="3"/>
        <v>0</v>
      </c>
      <c r="AI173" s="24">
        <v>0.0</v>
      </c>
      <c r="AJ173" s="32">
        <f t="shared" si="4"/>
        <v>10</v>
      </c>
      <c r="AK173" s="32">
        <f t="shared" si="5"/>
        <v>10</v>
      </c>
      <c r="AL173" s="25">
        <f>'MASTER STOCK'!I170</f>
        <v>3000</v>
      </c>
      <c r="AM173" s="27">
        <f>'MASTER STOCK'!L170</f>
        <v>3000</v>
      </c>
      <c r="AN173" s="27">
        <f t="shared" si="6"/>
        <v>0</v>
      </c>
      <c r="AO173" s="27">
        <f t="shared" si="7"/>
        <v>0</v>
      </c>
      <c r="AP173" s="25">
        <f t="shared" si="8"/>
        <v>0</v>
      </c>
      <c r="AQ173" s="10"/>
    </row>
    <row r="174">
      <c r="A174" s="29" t="str">
        <f>'MASTER STOCK'!F171</f>
        <v>t drat dalam 3/4</v>
      </c>
      <c r="B174" s="30">
        <f>'AGS 25'!AJ174:AJ536</f>
        <v>7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23">
        <f t="shared" si="3"/>
        <v>0</v>
      </c>
      <c r="AI174" s="24">
        <v>0.0</v>
      </c>
      <c r="AJ174" s="32">
        <f t="shared" si="4"/>
        <v>7</v>
      </c>
      <c r="AK174" s="32">
        <f t="shared" si="5"/>
        <v>7</v>
      </c>
      <c r="AL174" s="25">
        <f>'MASTER STOCK'!I171</f>
        <v>4000</v>
      </c>
      <c r="AM174" s="27">
        <f>'MASTER STOCK'!L171</f>
        <v>4000</v>
      </c>
      <c r="AN174" s="27">
        <f t="shared" si="6"/>
        <v>0</v>
      </c>
      <c r="AO174" s="27">
        <f t="shared" si="7"/>
        <v>0</v>
      </c>
      <c r="AP174" s="25">
        <f t="shared" si="8"/>
        <v>0</v>
      </c>
      <c r="AQ174" s="10"/>
    </row>
    <row r="175">
      <c r="A175" s="29" t="str">
        <f>'MASTER STOCK'!F172</f>
        <v>sok darat luar 1/2</v>
      </c>
      <c r="B175" s="30">
        <f>'AGS 25'!AJ175:AJ537</f>
        <v>12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23">
        <f t="shared" si="3"/>
        <v>0</v>
      </c>
      <c r="AI175" s="24">
        <v>0.0</v>
      </c>
      <c r="AJ175" s="32">
        <f t="shared" si="4"/>
        <v>12</v>
      </c>
      <c r="AK175" s="32">
        <f t="shared" si="5"/>
        <v>12</v>
      </c>
      <c r="AL175" s="25">
        <f>'MASTER STOCK'!I172</f>
        <v>2500</v>
      </c>
      <c r="AM175" s="27">
        <f>'MASTER STOCK'!L172</f>
        <v>2500</v>
      </c>
      <c r="AN175" s="27">
        <f t="shared" si="6"/>
        <v>0</v>
      </c>
      <c r="AO175" s="27">
        <f t="shared" si="7"/>
        <v>0</v>
      </c>
      <c r="AP175" s="25">
        <f t="shared" si="8"/>
        <v>0</v>
      </c>
      <c r="AQ175" s="10"/>
    </row>
    <row r="176">
      <c r="A176" s="29" t="str">
        <f>'MASTER STOCK'!F173</f>
        <v>knee 1 1/4</v>
      </c>
      <c r="B176" s="30">
        <f>'AGS 25'!AJ176:AJ538</f>
        <v>13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23">
        <f t="shared" si="3"/>
        <v>0</v>
      </c>
      <c r="AI176" s="24">
        <v>0.0</v>
      </c>
      <c r="AJ176" s="32">
        <f t="shared" si="4"/>
        <v>13</v>
      </c>
      <c r="AK176" s="32">
        <f t="shared" si="5"/>
        <v>13</v>
      </c>
      <c r="AL176" s="25">
        <f>'MASTER STOCK'!I173</f>
        <v>3500</v>
      </c>
      <c r="AM176" s="27">
        <f>'MASTER STOCK'!L173</f>
        <v>3500</v>
      </c>
      <c r="AN176" s="27">
        <f t="shared" si="6"/>
        <v>0</v>
      </c>
      <c r="AO176" s="27">
        <f t="shared" si="7"/>
        <v>0</v>
      </c>
      <c r="AP176" s="25">
        <f t="shared" si="8"/>
        <v>0</v>
      </c>
      <c r="AQ176" s="10"/>
    </row>
    <row r="177">
      <c r="A177" s="29" t="str">
        <f>'MASTER STOCK'!F174</f>
        <v>sok drat dalam 1/2</v>
      </c>
      <c r="B177" s="30">
        <f>'AGS 25'!AJ177:AJ539</f>
        <v>320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23">
        <f t="shared" si="3"/>
        <v>0</v>
      </c>
      <c r="AI177" s="24">
        <v>0.0</v>
      </c>
      <c r="AJ177" s="32">
        <f t="shared" si="4"/>
        <v>320</v>
      </c>
      <c r="AK177" s="32">
        <f t="shared" si="5"/>
        <v>320</v>
      </c>
      <c r="AL177" s="25">
        <f>'MASTER STOCK'!I174</f>
        <v>930</v>
      </c>
      <c r="AM177" s="27">
        <f>'MASTER STOCK'!L174</f>
        <v>2500</v>
      </c>
      <c r="AN177" s="27">
        <f t="shared" si="6"/>
        <v>0</v>
      </c>
      <c r="AO177" s="27">
        <f t="shared" si="7"/>
        <v>0</v>
      </c>
      <c r="AP177" s="25">
        <f t="shared" si="8"/>
        <v>0</v>
      </c>
      <c r="AQ177" s="10"/>
    </row>
    <row r="178">
      <c r="A178" s="29" t="str">
        <f>'MASTER STOCK'!F175</f>
        <v>sok 1/2</v>
      </c>
      <c r="B178" s="30">
        <f>'AGS 25'!AJ178:AJ540</f>
        <v>350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23">
        <f t="shared" si="3"/>
        <v>0</v>
      </c>
      <c r="AI178" s="24">
        <v>0.0</v>
      </c>
      <c r="AJ178" s="32">
        <f t="shared" si="4"/>
        <v>350</v>
      </c>
      <c r="AK178" s="32">
        <f t="shared" si="5"/>
        <v>350</v>
      </c>
      <c r="AL178" s="25">
        <f>'MASTER STOCK'!I175</f>
        <v>622</v>
      </c>
      <c r="AM178" s="27">
        <f>'MASTER STOCK'!L175</f>
        <v>2000</v>
      </c>
      <c r="AN178" s="27">
        <f t="shared" si="6"/>
        <v>0</v>
      </c>
      <c r="AO178" s="27">
        <f t="shared" si="7"/>
        <v>0</v>
      </c>
      <c r="AP178" s="25">
        <f t="shared" si="8"/>
        <v>0</v>
      </c>
      <c r="AQ178" s="10"/>
    </row>
    <row r="179">
      <c r="A179" s="29" t="str">
        <f>'MASTER STOCK'!F176</f>
        <v>sok 3/4</v>
      </c>
      <c r="B179" s="30">
        <f>'AGS 25'!AJ179:AJ541</f>
        <v>350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23">
        <f t="shared" si="3"/>
        <v>0</v>
      </c>
      <c r="AI179" s="24">
        <v>0.0</v>
      </c>
      <c r="AJ179" s="32">
        <f t="shared" si="4"/>
        <v>350</v>
      </c>
      <c r="AK179" s="32">
        <f t="shared" si="5"/>
        <v>350</v>
      </c>
      <c r="AL179" s="25">
        <f>'MASTER STOCK'!I176</f>
        <v>835</v>
      </c>
      <c r="AM179" s="27">
        <f>'MASTER STOCK'!L176</f>
        <v>3000</v>
      </c>
      <c r="AN179" s="27">
        <f t="shared" si="6"/>
        <v>0</v>
      </c>
      <c r="AO179" s="27">
        <f t="shared" si="7"/>
        <v>0</v>
      </c>
      <c r="AP179" s="25">
        <f t="shared" si="8"/>
        <v>0</v>
      </c>
      <c r="AQ179" s="10"/>
    </row>
    <row r="180">
      <c r="A180" s="29" t="str">
        <f>'MASTER STOCK'!F177</f>
        <v>sok 1 1/2</v>
      </c>
      <c r="B180" s="30">
        <f>'AGS 25'!AJ180:AJ542</f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23">
        <f t="shared" si="3"/>
        <v>0</v>
      </c>
      <c r="AI180" s="24">
        <v>0.0</v>
      </c>
      <c r="AJ180" s="32">
        <f t="shared" si="4"/>
        <v>11</v>
      </c>
      <c r="AK180" s="32">
        <f t="shared" si="5"/>
        <v>11</v>
      </c>
      <c r="AL180" s="25">
        <f>'MASTER STOCK'!I177</f>
        <v>3500</v>
      </c>
      <c r="AM180" s="27">
        <f>'MASTER STOCK'!L177</f>
        <v>3500</v>
      </c>
      <c r="AN180" s="27">
        <f t="shared" si="6"/>
        <v>0</v>
      </c>
      <c r="AO180" s="27">
        <f t="shared" si="7"/>
        <v>0</v>
      </c>
      <c r="AP180" s="25">
        <f t="shared" si="8"/>
        <v>0</v>
      </c>
      <c r="AQ180" s="10"/>
    </row>
    <row r="181">
      <c r="A181" s="29" t="str">
        <f>'MASTER STOCK'!F178</f>
        <v>sok 2</v>
      </c>
      <c r="B181" s="30">
        <f>'AGS 25'!AJ181:AJ543</f>
        <v>8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23">
        <f t="shared" si="3"/>
        <v>0</v>
      </c>
      <c r="AI181" s="24">
        <v>0.0</v>
      </c>
      <c r="AJ181" s="32">
        <f t="shared" si="4"/>
        <v>8</v>
      </c>
      <c r="AK181" s="32">
        <f t="shared" si="5"/>
        <v>8</v>
      </c>
      <c r="AL181" s="25">
        <f>'MASTER STOCK'!I178</f>
        <v>2000</v>
      </c>
      <c r="AM181" s="27">
        <f>'MASTER STOCK'!L178</f>
        <v>2000</v>
      </c>
      <c r="AN181" s="27">
        <f t="shared" si="6"/>
        <v>0</v>
      </c>
      <c r="AO181" s="27">
        <f t="shared" si="7"/>
        <v>0</v>
      </c>
      <c r="AP181" s="25">
        <f t="shared" si="8"/>
        <v>0</v>
      </c>
      <c r="AQ181" s="10"/>
    </row>
    <row r="182">
      <c r="A182" s="29" t="str">
        <f>'MASTER STOCK'!F179</f>
        <v>sok 1 1/4</v>
      </c>
      <c r="B182" s="30">
        <f>'AGS 25'!AJ182:AJ544</f>
        <v>17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23">
        <f t="shared" si="3"/>
        <v>0</v>
      </c>
      <c r="AI182" s="24">
        <v>0.0</v>
      </c>
      <c r="AJ182" s="32">
        <f t="shared" si="4"/>
        <v>17</v>
      </c>
      <c r="AK182" s="32">
        <f t="shared" si="5"/>
        <v>17</v>
      </c>
      <c r="AL182" s="25">
        <f>'MASTER STOCK'!I179</f>
        <v>3500</v>
      </c>
      <c r="AM182" s="27">
        <f>'MASTER STOCK'!L179</f>
        <v>3500</v>
      </c>
      <c r="AN182" s="27">
        <f t="shared" si="6"/>
        <v>0</v>
      </c>
      <c r="AO182" s="27">
        <f t="shared" si="7"/>
        <v>0</v>
      </c>
      <c r="AP182" s="25">
        <f t="shared" si="8"/>
        <v>0</v>
      </c>
      <c r="AQ182" s="10"/>
    </row>
    <row r="183">
      <c r="A183" s="29" t="str">
        <f>'MASTER STOCK'!F180</f>
        <v>sok 3</v>
      </c>
      <c r="B183" s="30">
        <f>'AGS 25'!AJ183:AJ545</f>
        <v>8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23">
        <f t="shared" si="3"/>
        <v>0</v>
      </c>
      <c r="AI183" s="24">
        <v>0.0</v>
      </c>
      <c r="AJ183" s="32">
        <f t="shared" si="4"/>
        <v>8</v>
      </c>
      <c r="AK183" s="32">
        <f t="shared" si="5"/>
        <v>8</v>
      </c>
      <c r="AL183" s="25">
        <f>'MASTER STOCK'!I180</f>
        <v>7500</v>
      </c>
      <c r="AM183" s="27">
        <f>'MASTER STOCK'!L180</f>
        <v>7500</v>
      </c>
      <c r="AN183" s="27">
        <f t="shared" si="6"/>
        <v>0</v>
      </c>
      <c r="AO183" s="27">
        <f t="shared" si="7"/>
        <v>0</v>
      </c>
      <c r="AP183" s="25">
        <f t="shared" si="8"/>
        <v>0</v>
      </c>
      <c r="AQ183" s="10"/>
    </row>
    <row r="184">
      <c r="A184" s="29" t="str">
        <f>'MASTER STOCK'!F181</f>
        <v>sok drat dalam 1</v>
      </c>
      <c r="B184" s="30">
        <f>'AGS 25'!AJ184:AJ546</f>
        <v>9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23">
        <f t="shared" si="3"/>
        <v>0</v>
      </c>
      <c r="AI184" s="24">
        <v>0.0</v>
      </c>
      <c r="AJ184" s="32">
        <f t="shared" si="4"/>
        <v>9</v>
      </c>
      <c r="AK184" s="32">
        <f t="shared" si="5"/>
        <v>9</v>
      </c>
      <c r="AL184" s="25">
        <f>'MASTER STOCK'!I181</f>
        <v>3500</v>
      </c>
      <c r="AM184" s="27">
        <f>'MASTER STOCK'!L181</f>
        <v>3500</v>
      </c>
      <c r="AN184" s="27">
        <f t="shared" si="6"/>
        <v>0</v>
      </c>
      <c r="AO184" s="27">
        <f t="shared" si="7"/>
        <v>0</v>
      </c>
      <c r="AP184" s="25">
        <f t="shared" si="8"/>
        <v>0</v>
      </c>
      <c r="AQ184" s="10"/>
    </row>
    <row r="185">
      <c r="A185" s="29" t="str">
        <f>'MASTER STOCK'!F182</f>
        <v>sok drat dalam 3/4</v>
      </c>
      <c r="B185" s="30">
        <f>'AGS 25'!AJ185:AJ547</f>
        <v>5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23">
        <f t="shared" si="3"/>
        <v>0</v>
      </c>
      <c r="AI185" s="24">
        <v>0.0</v>
      </c>
      <c r="AJ185" s="32">
        <f t="shared" si="4"/>
        <v>5</v>
      </c>
      <c r="AK185" s="32">
        <f t="shared" si="5"/>
        <v>5</v>
      </c>
      <c r="AL185" s="25">
        <f>'MASTER STOCK'!I182</f>
        <v>4000</v>
      </c>
      <c r="AM185" s="27">
        <f>'MASTER STOCK'!L182</f>
        <v>4000</v>
      </c>
      <c r="AN185" s="27">
        <f t="shared" si="6"/>
        <v>0</v>
      </c>
      <c r="AO185" s="27">
        <f t="shared" si="7"/>
        <v>0</v>
      </c>
      <c r="AP185" s="25">
        <f t="shared" si="8"/>
        <v>0</v>
      </c>
      <c r="AQ185" s="10"/>
    </row>
    <row r="186">
      <c r="A186" s="29" t="str">
        <f>'MASTER STOCK'!F183</f>
        <v>sok drat luar 3/4</v>
      </c>
      <c r="B186" s="30">
        <f>'AGS 25'!AJ186:AJ548</f>
        <v>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23">
        <f t="shared" si="3"/>
        <v>0</v>
      </c>
      <c r="AI186" s="24">
        <v>0.0</v>
      </c>
      <c r="AJ186" s="32">
        <f t="shared" si="4"/>
        <v>7</v>
      </c>
      <c r="AK186" s="32">
        <f t="shared" si="5"/>
        <v>7</v>
      </c>
      <c r="AL186" s="25">
        <f>'MASTER STOCK'!I183</f>
        <v>3000</v>
      </c>
      <c r="AM186" s="27">
        <f>'MASTER STOCK'!L183</f>
        <v>3000</v>
      </c>
      <c r="AN186" s="27">
        <f t="shared" si="6"/>
        <v>0</v>
      </c>
      <c r="AO186" s="27">
        <f t="shared" si="7"/>
        <v>0</v>
      </c>
      <c r="AP186" s="25">
        <f t="shared" si="8"/>
        <v>0</v>
      </c>
      <c r="AQ186" s="10"/>
    </row>
    <row r="187">
      <c r="A187" s="29" t="str">
        <f>'MASTER STOCK'!F184</f>
        <v>overlup 1 x 3/4</v>
      </c>
      <c r="B187" s="30">
        <f>'AGS 25'!AJ187:AJ549</f>
        <v>26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23">
        <f t="shared" si="3"/>
        <v>0</v>
      </c>
      <c r="AI187" s="24">
        <v>0.0</v>
      </c>
      <c r="AJ187" s="32">
        <f t="shared" si="4"/>
        <v>26</v>
      </c>
      <c r="AK187" s="32">
        <f t="shared" si="5"/>
        <v>26</v>
      </c>
      <c r="AL187" s="25">
        <f>'MASTER STOCK'!I184</f>
        <v>2500</v>
      </c>
      <c r="AM187" s="27">
        <f>'MASTER STOCK'!L184</f>
        <v>2500</v>
      </c>
      <c r="AN187" s="27">
        <f t="shared" si="6"/>
        <v>0</v>
      </c>
      <c r="AO187" s="27">
        <f t="shared" si="7"/>
        <v>0</v>
      </c>
      <c r="AP187" s="25">
        <f t="shared" si="8"/>
        <v>0</v>
      </c>
      <c r="AQ187" s="10"/>
    </row>
    <row r="188">
      <c r="A188" s="29" t="str">
        <f>'MASTER STOCK'!F185</f>
        <v>sok drat dalam 3/4 x 1/2</v>
      </c>
      <c r="B188" s="30">
        <f>'AGS 25'!AJ188:AJ550</f>
        <v>6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23">
        <f t="shared" si="3"/>
        <v>0</v>
      </c>
      <c r="AI188" s="24">
        <v>0.0</v>
      </c>
      <c r="AJ188" s="32">
        <f t="shared" si="4"/>
        <v>6</v>
      </c>
      <c r="AK188" s="32">
        <f t="shared" si="5"/>
        <v>6</v>
      </c>
      <c r="AL188" s="25">
        <f>'MASTER STOCK'!I185</f>
        <v>3000</v>
      </c>
      <c r="AM188" s="27">
        <f>'MASTER STOCK'!L185</f>
        <v>3000</v>
      </c>
      <c r="AN188" s="27">
        <f t="shared" si="6"/>
        <v>0</v>
      </c>
      <c r="AO188" s="27">
        <f t="shared" si="7"/>
        <v>0</v>
      </c>
      <c r="AP188" s="25">
        <f t="shared" si="8"/>
        <v>0</v>
      </c>
      <c r="AQ188" s="10"/>
    </row>
    <row r="189">
      <c r="A189" s="29" t="str">
        <f>'MASTER STOCK'!F186</f>
        <v>overlup 2 x 1</v>
      </c>
      <c r="B189" s="30">
        <f>'AGS 25'!AJ189:AJ551</f>
        <v>13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23">
        <f t="shared" si="3"/>
        <v>0</v>
      </c>
      <c r="AI189" s="24">
        <v>0.0</v>
      </c>
      <c r="AJ189" s="32">
        <f t="shared" si="4"/>
        <v>13</v>
      </c>
      <c r="AK189" s="32">
        <f t="shared" si="5"/>
        <v>13</v>
      </c>
      <c r="AL189" s="25">
        <f>'MASTER STOCK'!I186</f>
        <v>7500</v>
      </c>
      <c r="AM189" s="27">
        <f>'MASTER STOCK'!L186</f>
        <v>7500</v>
      </c>
      <c r="AN189" s="27">
        <f t="shared" si="6"/>
        <v>0</v>
      </c>
      <c r="AO189" s="27">
        <f t="shared" si="7"/>
        <v>0</v>
      </c>
      <c r="AP189" s="25">
        <f t="shared" si="8"/>
        <v>0</v>
      </c>
      <c r="AQ189" s="10"/>
    </row>
    <row r="190">
      <c r="A190" s="29" t="str">
        <f>'MASTER STOCK'!F187</f>
        <v>overlup 2 x 1 1/2</v>
      </c>
      <c r="B190" s="30">
        <f>'AGS 25'!AJ190:AJ552</f>
        <v>5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23">
        <f t="shared" si="3"/>
        <v>0</v>
      </c>
      <c r="AI190" s="24">
        <v>0.0</v>
      </c>
      <c r="AJ190" s="32">
        <f t="shared" si="4"/>
        <v>5</v>
      </c>
      <c r="AK190" s="32">
        <f t="shared" si="5"/>
        <v>5</v>
      </c>
      <c r="AL190" s="25">
        <f>'MASTER STOCK'!I187</f>
        <v>5500</v>
      </c>
      <c r="AM190" s="27">
        <f>'MASTER STOCK'!L187</f>
        <v>5500</v>
      </c>
      <c r="AN190" s="27">
        <f t="shared" si="6"/>
        <v>0</v>
      </c>
      <c r="AO190" s="27">
        <f t="shared" si="7"/>
        <v>0</v>
      </c>
      <c r="AP190" s="25">
        <f t="shared" si="8"/>
        <v>0</v>
      </c>
      <c r="AQ190" s="10"/>
    </row>
    <row r="191">
      <c r="A191" s="29" t="str">
        <f>'MASTER STOCK'!F188</f>
        <v>overlup 1 x 1 1/2</v>
      </c>
      <c r="B191" s="30">
        <f>'AGS 25'!AJ191:AJ553</f>
        <v>5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23">
        <f t="shared" si="3"/>
        <v>0</v>
      </c>
      <c r="AI191" s="24">
        <v>0.0</v>
      </c>
      <c r="AJ191" s="32">
        <f t="shared" si="4"/>
        <v>5</v>
      </c>
      <c r="AK191" s="32">
        <f t="shared" si="5"/>
        <v>5</v>
      </c>
      <c r="AL191" s="25">
        <f>'MASTER STOCK'!I188</f>
        <v>6500</v>
      </c>
      <c r="AM191" s="27">
        <f>'MASTER STOCK'!L188</f>
        <v>6500</v>
      </c>
      <c r="AN191" s="27">
        <f t="shared" si="6"/>
        <v>0</v>
      </c>
      <c r="AO191" s="27">
        <f t="shared" si="7"/>
        <v>0</v>
      </c>
      <c r="AP191" s="25">
        <f t="shared" si="8"/>
        <v>0</v>
      </c>
      <c r="AQ191" s="10"/>
    </row>
    <row r="192">
      <c r="A192" s="29" t="str">
        <f>'MASTER STOCK'!F189</f>
        <v>overlup 2 x 2 1/2</v>
      </c>
      <c r="B192" s="30">
        <f>'AGS 25'!AJ192:AJ554</f>
        <v>3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23">
        <f t="shared" si="3"/>
        <v>0</v>
      </c>
      <c r="AI192" s="24">
        <v>0.0</v>
      </c>
      <c r="AJ192" s="32">
        <f t="shared" si="4"/>
        <v>3</v>
      </c>
      <c r="AK192" s="32">
        <f t="shared" si="5"/>
        <v>3</v>
      </c>
      <c r="AL192" s="25">
        <f>'MASTER STOCK'!I189</f>
        <v>8000</v>
      </c>
      <c r="AM192" s="27">
        <f>'MASTER STOCK'!L189</f>
        <v>8000</v>
      </c>
      <c r="AN192" s="27">
        <f t="shared" si="6"/>
        <v>0</v>
      </c>
      <c r="AO192" s="27">
        <f t="shared" si="7"/>
        <v>0</v>
      </c>
      <c r="AP192" s="25">
        <f t="shared" si="8"/>
        <v>0</v>
      </c>
      <c r="AQ192" s="10"/>
    </row>
    <row r="193">
      <c r="A193" s="29" t="str">
        <f>'MASTER STOCK'!F190</f>
        <v>t  3/4 x 1</v>
      </c>
      <c r="B193" s="30">
        <f>'AGS 25'!AJ193:AJ555</f>
        <v>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23">
        <f t="shared" si="3"/>
        <v>0</v>
      </c>
      <c r="AI193" s="24">
        <v>0.0</v>
      </c>
      <c r="AJ193" s="32">
        <f t="shared" si="4"/>
        <v>1</v>
      </c>
      <c r="AK193" s="32">
        <f t="shared" si="5"/>
        <v>1</v>
      </c>
      <c r="AL193" s="25">
        <f>'MASTER STOCK'!I190</f>
        <v>3500</v>
      </c>
      <c r="AM193" s="27">
        <f>'MASTER STOCK'!L190</f>
        <v>3500</v>
      </c>
      <c r="AN193" s="27">
        <f t="shared" si="6"/>
        <v>0</v>
      </c>
      <c r="AO193" s="27">
        <f t="shared" si="7"/>
        <v>0</v>
      </c>
      <c r="AP193" s="25">
        <f t="shared" si="8"/>
        <v>0</v>
      </c>
      <c r="AQ193" s="10"/>
    </row>
    <row r="194">
      <c r="A194" s="29" t="str">
        <f>'MASTER STOCK'!F191</f>
        <v>knee 2 1/2</v>
      </c>
      <c r="B194" s="30">
        <f>'AGS 25'!AJ194:AJ556</f>
        <v>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23">
        <f t="shared" si="3"/>
        <v>0</v>
      </c>
      <c r="AI194" s="24">
        <v>0.0</v>
      </c>
      <c r="AJ194" s="32">
        <f t="shared" si="4"/>
        <v>8</v>
      </c>
      <c r="AK194" s="32">
        <f t="shared" si="5"/>
        <v>8</v>
      </c>
      <c r="AL194" s="25">
        <f>'MASTER STOCK'!I191</f>
        <v>7500</v>
      </c>
      <c r="AM194" s="27">
        <f>'MASTER STOCK'!L191</f>
        <v>7500</v>
      </c>
      <c r="AN194" s="27">
        <f t="shared" si="6"/>
        <v>0</v>
      </c>
      <c r="AO194" s="27">
        <f t="shared" si="7"/>
        <v>0</v>
      </c>
      <c r="AP194" s="25">
        <f t="shared" si="8"/>
        <v>0</v>
      </c>
      <c r="AQ194" s="10"/>
    </row>
    <row r="195">
      <c r="A195" s="29" t="str">
        <f>'MASTER STOCK'!F192</f>
        <v>sok 4</v>
      </c>
      <c r="B195" s="30">
        <f>'AGS 25'!AJ195:AJ557</f>
        <v>22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23">
        <f t="shared" si="3"/>
        <v>0</v>
      </c>
      <c r="AI195" s="24">
        <v>0.0</v>
      </c>
      <c r="AJ195" s="32">
        <f t="shared" si="4"/>
        <v>22</v>
      </c>
      <c r="AK195" s="32">
        <f t="shared" si="5"/>
        <v>22</v>
      </c>
      <c r="AL195" s="25">
        <f>'MASTER STOCK'!I192</f>
        <v>9000</v>
      </c>
      <c r="AM195" s="27">
        <f>'MASTER STOCK'!L192</f>
        <v>9000</v>
      </c>
      <c r="AN195" s="27">
        <f t="shared" si="6"/>
        <v>0</v>
      </c>
      <c r="AO195" s="27">
        <f t="shared" si="7"/>
        <v>0</v>
      </c>
      <c r="AP195" s="25">
        <f t="shared" si="8"/>
        <v>0</v>
      </c>
      <c r="AQ195" s="10"/>
    </row>
    <row r="196">
      <c r="A196" s="29" t="str">
        <f>'MASTER STOCK'!F193</f>
        <v>sok 2 1/2</v>
      </c>
      <c r="B196" s="30">
        <f>'AGS 25'!AJ196:AJ558</f>
        <v>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23">
        <f t="shared" si="3"/>
        <v>0</v>
      </c>
      <c r="AI196" s="24">
        <v>0.0</v>
      </c>
      <c r="AJ196" s="32">
        <f t="shared" si="4"/>
        <v>2</v>
      </c>
      <c r="AK196" s="32">
        <f t="shared" si="5"/>
        <v>2</v>
      </c>
      <c r="AL196" s="25">
        <f>'MASTER STOCK'!I193</f>
        <v>5500</v>
      </c>
      <c r="AM196" s="27">
        <f>'MASTER STOCK'!L193</f>
        <v>5500</v>
      </c>
      <c r="AN196" s="27">
        <f t="shared" si="6"/>
        <v>0</v>
      </c>
      <c r="AO196" s="27">
        <f t="shared" si="7"/>
        <v>0</v>
      </c>
      <c r="AP196" s="25">
        <f t="shared" si="8"/>
        <v>0</v>
      </c>
      <c r="AQ196" s="10"/>
    </row>
    <row r="197">
      <c r="A197" s="29" t="str">
        <f>'MASTER STOCK'!F194</f>
        <v>sok drat luar 2</v>
      </c>
      <c r="B197" s="30">
        <f>'AGS 25'!AJ197:AJ559</f>
        <v>5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23">
        <f t="shared" si="3"/>
        <v>0</v>
      </c>
      <c r="AI197" s="24">
        <v>0.0</v>
      </c>
      <c r="AJ197" s="32">
        <f t="shared" si="4"/>
        <v>5</v>
      </c>
      <c r="AK197" s="32">
        <f t="shared" si="5"/>
        <v>5</v>
      </c>
      <c r="AL197" s="25">
        <f>'MASTER STOCK'!I194</f>
        <v>7500</v>
      </c>
      <c r="AM197" s="27">
        <f>'MASTER STOCK'!L194</f>
        <v>7500</v>
      </c>
      <c r="AN197" s="27">
        <f t="shared" si="6"/>
        <v>0</v>
      </c>
      <c r="AO197" s="27">
        <f t="shared" si="7"/>
        <v>0</v>
      </c>
      <c r="AP197" s="25">
        <f t="shared" si="8"/>
        <v>0</v>
      </c>
      <c r="AQ197" s="10"/>
    </row>
    <row r="198">
      <c r="A198" s="29" t="str">
        <f>'MASTER STOCK'!F195</f>
        <v>t 4</v>
      </c>
      <c r="B198" s="30">
        <f>'AGS 25'!AJ198:AJ560</f>
        <v>10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23">
        <f t="shared" si="3"/>
        <v>0</v>
      </c>
      <c r="AI198" s="24">
        <v>0.0</v>
      </c>
      <c r="AJ198" s="32">
        <f t="shared" si="4"/>
        <v>10</v>
      </c>
      <c r="AK198" s="32">
        <f t="shared" si="5"/>
        <v>10</v>
      </c>
      <c r="AL198" s="25">
        <f>'MASTER STOCK'!I195</f>
        <v>16500</v>
      </c>
      <c r="AM198" s="27">
        <f>'MASTER STOCK'!L195</f>
        <v>16500</v>
      </c>
      <c r="AN198" s="27">
        <f t="shared" si="6"/>
        <v>0</v>
      </c>
      <c r="AO198" s="27">
        <f t="shared" si="7"/>
        <v>0</v>
      </c>
      <c r="AP198" s="25">
        <f t="shared" si="8"/>
        <v>0</v>
      </c>
      <c r="AQ198" s="10"/>
    </row>
    <row r="199">
      <c r="A199" s="29" t="str">
        <f>'MASTER STOCK'!F196</f>
        <v>t 3</v>
      </c>
      <c r="B199" s="30">
        <f>'AGS 25'!AJ199:AJ561</f>
        <v>7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23">
        <f t="shared" si="3"/>
        <v>0</v>
      </c>
      <c r="AI199" s="24">
        <v>0.0</v>
      </c>
      <c r="AJ199" s="32">
        <f t="shared" si="4"/>
        <v>7</v>
      </c>
      <c r="AK199" s="32">
        <f t="shared" si="5"/>
        <v>7</v>
      </c>
      <c r="AL199" s="25">
        <f>'MASTER STOCK'!I196</f>
        <v>10000</v>
      </c>
      <c r="AM199" s="27">
        <f>'MASTER STOCK'!L196</f>
        <v>10000</v>
      </c>
      <c r="AN199" s="27">
        <f t="shared" si="6"/>
        <v>0</v>
      </c>
      <c r="AO199" s="27">
        <f t="shared" si="7"/>
        <v>0</v>
      </c>
      <c r="AP199" s="25">
        <f t="shared" si="8"/>
        <v>0</v>
      </c>
      <c r="AQ199" s="10"/>
    </row>
    <row r="200">
      <c r="A200" s="29" t="str">
        <f>'MASTER STOCK'!F197</f>
        <v>knee 4</v>
      </c>
      <c r="B200" s="30">
        <f>'AGS 25'!AJ200:AJ562</f>
        <v>13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23">
        <f t="shared" si="3"/>
        <v>0</v>
      </c>
      <c r="AI200" s="24">
        <v>0.0</v>
      </c>
      <c r="AJ200" s="32">
        <f t="shared" si="4"/>
        <v>13</v>
      </c>
      <c r="AK200" s="32">
        <f t="shared" si="5"/>
        <v>13</v>
      </c>
      <c r="AL200" s="25">
        <f>'MASTER STOCK'!I197</f>
        <v>14000</v>
      </c>
      <c r="AM200" s="27">
        <f>'MASTER STOCK'!L197</f>
        <v>14000</v>
      </c>
      <c r="AN200" s="27">
        <f t="shared" si="6"/>
        <v>0</v>
      </c>
      <c r="AO200" s="27">
        <f t="shared" si="7"/>
        <v>0</v>
      </c>
      <c r="AP200" s="25">
        <f t="shared" si="8"/>
        <v>0</v>
      </c>
      <c r="AQ200" s="10"/>
    </row>
    <row r="201">
      <c r="A201" s="29" t="str">
        <f>'MASTER STOCK'!F198</f>
        <v>overlup 4 x 2 1/2</v>
      </c>
      <c r="B201" s="30">
        <f>'AGS 25'!AJ201:AJ563</f>
        <v>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23">
        <f t="shared" si="3"/>
        <v>0</v>
      </c>
      <c r="AI201" s="24">
        <v>0.0</v>
      </c>
      <c r="AJ201" s="32">
        <f t="shared" si="4"/>
        <v>1</v>
      </c>
      <c r="AK201" s="32">
        <f t="shared" si="5"/>
        <v>1</v>
      </c>
      <c r="AL201" s="25">
        <f>'MASTER STOCK'!I198</f>
        <v>12000</v>
      </c>
      <c r="AM201" s="27">
        <f>'MASTER STOCK'!L198</f>
        <v>12000</v>
      </c>
      <c r="AN201" s="27">
        <f t="shared" si="6"/>
        <v>0</v>
      </c>
      <c r="AO201" s="27">
        <f t="shared" si="7"/>
        <v>0</v>
      </c>
      <c r="AP201" s="25">
        <f t="shared" si="8"/>
        <v>0</v>
      </c>
      <c r="AQ201" s="10"/>
    </row>
    <row r="202">
      <c r="A202" s="29" t="str">
        <f>'MASTER STOCK'!F199</f>
        <v>overlup 4 x 3</v>
      </c>
      <c r="B202" s="30">
        <f>'AGS 25'!AJ202:AJ564</f>
        <v>2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23">
        <f t="shared" si="3"/>
        <v>0</v>
      </c>
      <c r="AI202" s="24">
        <v>0.0</v>
      </c>
      <c r="AJ202" s="32">
        <f t="shared" si="4"/>
        <v>2</v>
      </c>
      <c r="AK202" s="32">
        <f t="shared" si="5"/>
        <v>2</v>
      </c>
      <c r="AL202" s="25">
        <f>'MASTER STOCK'!I199</f>
        <v>12500</v>
      </c>
      <c r="AM202" s="27">
        <f>'MASTER STOCK'!L199</f>
        <v>12500</v>
      </c>
      <c r="AN202" s="27">
        <f t="shared" si="6"/>
        <v>0</v>
      </c>
      <c r="AO202" s="27">
        <f t="shared" si="7"/>
        <v>0</v>
      </c>
      <c r="AP202" s="25">
        <f t="shared" si="8"/>
        <v>0</v>
      </c>
      <c r="AQ202" s="10"/>
    </row>
    <row r="203">
      <c r="A203" s="29" t="str">
        <f>'MASTER STOCK'!F200</f>
        <v>knee 3</v>
      </c>
      <c r="B203" s="30">
        <f>'AGS 25'!AJ203:AJ565</f>
        <v>6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23">
        <f t="shared" si="3"/>
        <v>0</v>
      </c>
      <c r="AI203" s="24">
        <v>0.0</v>
      </c>
      <c r="AJ203" s="32">
        <f t="shared" si="4"/>
        <v>6</v>
      </c>
      <c r="AK203" s="32">
        <f t="shared" si="5"/>
        <v>6</v>
      </c>
      <c r="AL203" s="25">
        <f>'MASTER STOCK'!I200</f>
        <v>10000</v>
      </c>
      <c r="AM203" s="27">
        <f>'MASTER STOCK'!L200</f>
        <v>10000</v>
      </c>
      <c r="AN203" s="27">
        <f t="shared" si="6"/>
        <v>0</v>
      </c>
      <c r="AO203" s="27">
        <f t="shared" si="7"/>
        <v>0</v>
      </c>
      <c r="AP203" s="25">
        <f t="shared" si="8"/>
        <v>0</v>
      </c>
      <c r="AQ203" s="10"/>
    </row>
    <row r="204">
      <c r="A204" s="29" t="str">
        <f>'MASTER STOCK'!F201</f>
        <v>tutup pipa 3</v>
      </c>
      <c r="B204" s="30">
        <f>'AGS 25'!AJ204:AJ566</f>
        <v>4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23">
        <f t="shared" si="3"/>
        <v>0</v>
      </c>
      <c r="AI204" s="24">
        <v>0.0</v>
      </c>
      <c r="AJ204" s="32">
        <f t="shared" si="4"/>
        <v>4</v>
      </c>
      <c r="AK204" s="32">
        <f t="shared" si="5"/>
        <v>4</v>
      </c>
      <c r="AL204" s="25">
        <f>'MASTER STOCK'!I201</f>
        <v>8500</v>
      </c>
      <c r="AM204" s="27">
        <f>'MASTER STOCK'!L201</f>
        <v>8500</v>
      </c>
      <c r="AN204" s="27">
        <f t="shared" si="6"/>
        <v>0</v>
      </c>
      <c r="AO204" s="27">
        <f t="shared" si="7"/>
        <v>0</v>
      </c>
      <c r="AP204" s="25">
        <f t="shared" si="8"/>
        <v>0</v>
      </c>
      <c r="AQ204" s="10"/>
    </row>
    <row r="205">
      <c r="A205" s="29" t="str">
        <f>'MASTER STOCK'!F202</f>
        <v>tutup pipa 4</v>
      </c>
      <c r="B205" s="30">
        <f>'AGS 25'!AJ205:AJ567</f>
        <v>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23">
        <f t="shared" si="3"/>
        <v>0</v>
      </c>
      <c r="AI205" s="24">
        <v>0.0</v>
      </c>
      <c r="AJ205" s="32">
        <f t="shared" si="4"/>
        <v>1</v>
      </c>
      <c r="AK205" s="32">
        <f t="shared" si="5"/>
        <v>1</v>
      </c>
      <c r="AL205" s="25">
        <f>'MASTER STOCK'!I202</f>
        <v>9500</v>
      </c>
      <c r="AM205" s="27">
        <f>'MASTER STOCK'!L202</f>
        <v>9500</v>
      </c>
      <c r="AN205" s="27">
        <f t="shared" si="6"/>
        <v>0</v>
      </c>
      <c r="AO205" s="27">
        <f t="shared" si="7"/>
        <v>0</v>
      </c>
      <c r="AP205" s="25">
        <f t="shared" si="8"/>
        <v>0</v>
      </c>
      <c r="AQ205" s="10"/>
    </row>
    <row r="206">
      <c r="A206" s="29" t="str">
        <f>'MASTER STOCK'!F203</f>
        <v>tutup pipa 2 1/2</v>
      </c>
      <c r="B206" s="30">
        <f>'AGS 25'!AJ206:AJ568</f>
        <v>2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23">
        <f t="shared" si="3"/>
        <v>0</v>
      </c>
      <c r="AI206" s="24">
        <v>0.0</v>
      </c>
      <c r="AJ206" s="32">
        <f t="shared" si="4"/>
        <v>2</v>
      </c>
      <c r="AK206" s="32">
        <f t="shared" si="5"/>
        <v>2</v>
      </c>
      <c r="AL206" s="25">
        <f>'MASTER STOCK'!I203</f>
        <v>6500</v>
      </c>
      <c r="AM206" s="27">
        <f>'MASTER STOCK'!L203</f>
        <v>6500</v>
      </c>
      <c r="AN206" s="27">
        <f t="shared" si="6"/>
        <v>0</v>
      </c>
      <c r="AO206" s="27">
        <f t="shared" si="7"/>
        <v>0</v>
      </c>
      <c r="AP206" s="25">
        <f t="shared" si="8"/>
        <v>0</v>
      </c>
      <c r="AQ206" s="10"/>
    </row>
    <row r="207">
      <c r="A207" s="29" t="str">
        <f>'MASTER STOCK'!F204</f>
        <v>tutup pipa 2</v>
      </c>
      <c r="B207" s="30">
        <f>'AGS 25'!AJ207:AJ569</f>
        <v>2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23">
        <f t="shared" si="3"/>
        <v>0</v>
      </c>
      <c r="AI207" s="24">
        <v>0.0</v>
      </c>
      <c r="AJ207" s="32">
        <f t="shared" si="4"/>
        <v>2</v>
      </c>
      <c r="AK207" s="32">
        <f t="shared" si="5"/>
        <v>2</v>
      </c>
      <c r="AL207" s="25">
        <f>'MASTER STOCK'!I204</f>
        <v>6000</v>
      </c>
      <c r="AM207" s="27">
        <f>'MASTER STOCK'!L204</f>
        <v>6000</v>
      </c>
      <c r="AN207" s="27">
        <f t="shared" si="6"/>
        <v>0</v>
      </c>
      <c r="AO207" s="27">
        <f t="shared" si="7"/>
        <v>0</v>
      </c>
      <c r="AP207" s="25">
        <f t="shared" si="8"/>
        <v>0</v>
      </c>
      <c r="AQ207" s="10"/>
    </row>
    <row r="208">
      <c r="A208" s="29" t="str">
        <f>'MASTER STOCK'!F205</f>
        <v>pipa 1/2</v>
      </c>
      <c r="B208" s="30">
        <f>'AGS 25'!AJ208:AJ570</f>
        <v>3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23">
        <f t="shared" si="3"/>
        <v>0</v>
      </c>
      <c r="AI208" s="24">
        <v>0.0</v>
      </c>
      <c r="AJ208" s="32">
        <f t="shared" si="4"/>
        <v>3</v>
      </c>
      <c r="AK208" s="32">
        <f t="shared" si="5"/>
        <v>3</v>
      </c>
      <c r="AL208" s="25">
        <f>'MASTER STOCK'!I205</f>
        <v>2500</v>
      </c>
      <c r="AM208" s="27">
        <f>'MASTER STOCK'!L205</f>
        <v>2500</v>
      </c>
      <c r="AN208" s="27">
        <f t="shared" si="6"/>
        <v>0</v>
      </c>
      <c r="AO208" s="27">
        <f t="shared" si="7"/>
        <v>0</v>
      </c>
      <c r="AP208" s="25">
        <f t="shared" si="8"/>
        <v>0</v>
      </c>
      <c r="AQ208" s="10"/>
    </row>
    <row r="209">
      <c r="A209" s="29" t="str">
        <f>'MASTER STOCK'!F206</f>
        <v>pipa 3/4</v>
      </c>
      <c r="B209" s="30">
        <f>'AGS 25'!AJ209:AJ571</f>
        <v>6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23">
        <f t="shared" si="3"/>
        <v>0</v>
      </c>
      <c r="AI209" s="24">
        <v>0.0</v>
      </c>
      <c r="AJ209" s="32">
        <f t="shared" si="4"/>
        <v>6</v>
      </c>
      <c r="AK209" s="32">
        <f t="shared" si="5"/>
        <v>6</v>
      </c>
      <c r="AL209" s="25">
        <f>'MASTER STOCK'!I206</f>
        <v>27500</v>
      </c>
      <c r="AM209" s="27">
        <f>'MASTER STOCK'!L206</f>
        <v>27500</v>
      </c>
      <c r="AN209" s="27">
        <f t="shared" si="6"/>
        <v>0</v>
      </c>
      <c r="AO209" s="27">
        <f t="shared" si="7"/>
        <v>0</v>
      </c>
      <c r="AP209" s="25">
        <f t="shared" si="8"/>
        <v>0</v>
      </c>
      <c r="AQ209" s="10"/>
    </row>
    <row r="210">
      <c r="A210" s="29" t="str">
        <f>'MASTER STOCK'!F207</f>
        <v>pipa 5/8</v>
      </c>
      <c r="B210" s="30">
        <f>'AGS 25'!AJ210:AJ572</f>
        <v>4</v>
      </c>
      <c r="C210" s="10"/>
      <c r="D210" s="10"/>
      <c r="E210" s="10"/>
      <c r="F210" s="10"/>
      <c r="G210" s="10"/>
      <c r="H210" s="22">
        <v>4.0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23">
        <f t="shared" si="3"/>
        <v>4</v>
      </c>
      <c r="AI210" s="24">
        <v>0.0</v>
      </c>
      <c r="AJ210" s="32">
        <f t="shared" si="4"/>
        <v>0</v>
      </c>
      <c r="AK210" s="32">
        <f t="shared" si="5"/>
        <v>0</v>
      </c>
      <c r="AL210" s="25">
        <f>'MASTER STOCK'!I207</f>
        <v>0</v>
      </c>
      <c r="AM210" s="27">
        <f>'MASTER STOCK'!L207</f>
        <v>0</v>
      </c>
      <c r="AN210" s="27">
        <f t="shared" si="6"/>
        <v>0</v>
      </c>
      <c r="AO210" s="27">
        <f t="shared" si="7"/>
        <v>0</v>
      </c>
      <c r="AP210" s="25">
        <f t="shared" si="8"/>
        <v>0</v>
      </c>
      <c r="AQ210" s="10"/>
    </row>
    <row r="211">
      <c r="A211" s="29" t="str">
        <f>'MASTER STOCK'!F208</f>
        <v>pipa 1 aw</v>
      </c>
      <c r="B211" s="30">
        <f>'AGS 25'!AJ211:AJ573</f>
        <v>3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23">
        <f t="shared" si="3"/>
        <v>0</v>
      </c>
      <c r="AI211" s="24">
        <v>0.0</v>
      </c>
      <c r="AJ211" s="32">
        <f t="shared" si="4"/>
        <v>3</v>
      </c>
      <c r="AK211" s="32">
        <f t="shared" si="5"/>
        <v>3</v>
      </c>
      <c r="AL211" s="25">
        <f>'MASTER STOCK'!I208</f>
        <v>38000</v>
      </c>
      <c r="AM211" s="27">
        <f>'MASTER STOCK'!L208</f>
        <v>38000</v>
      </c>
      <c r="AN211" s="27">
        <f t="shared" si="6"/>
        <v>0</v>
      </c>
      <c r="AO211" s="27">
        <f t="shared" si="7"/>
        <v>0</v>
      </c>
      <c r="AP211" s="25">
        <f t="shared" si="8"/>
        <v>0</v>
      </c>
      <c r="AQ211" s="10"/>
    </row>
    <row r="212">
      <c r="A212" s="29" t="str">
        <f>'MASTER STOCK'!F209</f>
        <v>pipa bluefin 1 1/2</v>
      </c>
      <c r="B212" s="30">
        <f>'AGS 25'!AJ212:AJ574</f>
        <v>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23">
        <f t="shared" si="3"/>
        <v>0</v>
      </c>
      <c r="AI212" s="24">
        <v>0.0</v>
      </c>
      <c r="AJ212" s="32">
        <f t="shared" si="4"/>
        <v>1</v>
      </c>
      <c r="AK212" s="32">
        <f t="shared" si="5"/>
        <v>1</v>
      </c>
      <c r="AL212" s="25">
        <f>'MASTER STOCK'!I209</f>
        <v>35000</v>
      </c>
      <c r="AM212" s="27">
        <f>'MASTER STOCK'!L209</f>
        <v>35000</v>
      </c>
      <c r="AN212" s="27">
        <f t="shared" si="6"/>
        <v>0</v>
      </c>
      <c r="AO212" s="27">
        <f t="shared" si="7"/>
        <v>0</v>
      </c>
      <c r="AP212" s="25">
        <f t="shared" si="8"/>
        <v>0</v>
      </c>
      <c r="AQ212" s="10"/>
    </row>
    <row r="213">
      <c r="A213" s="29" t="str">
        <f>'MASTER STOCK'!F210</f>
        <v>pipa quinlon 1 1/2</v>
      </c>
      <c r="B213" s="30">
        <f>'AGS 25'!AJ213:AJ575</f>
        <v>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23">
        <f t="shared" si="3"/>
        <v>0</v>
      </c>
      <c r="AI213" s="24">
        <v>0.0</v>
      </c>
      <c r="AJ213" s="32">
        <f t="shared" si="4"/>
        <v>1</v>
      </c>
      <c r="AK213" s="32">
        <f t="shared" si="5"/>
        <v>1</v>
      </c>
      <c r="AL213" s="25">
        <f>'MASTER STOCK'!I210</f>
        <v>32000</v>
      </c>
      <c r="AM213" s="27">
        <f>'MASTER STOCK'!L210</f>
        <v>32000</v>
      </c>
      <c r="AN213" s="27">
        <f t="shared" si="6"/>
        <v>0</v>
      </c>
      <c r="AO213" s="27">
        <f t="shared" si="7"/>
        <v>0</v>
      </c>
      <c r="AP213" s="25">
        <f t="shared" si="8"/>
        <v>0</v>
      </c>
      <c r="AQ213" s="10"/>
    </row>
    <row r="214">
      <c r="A214" s="29" t="str">
        <f>'MASTER STOCK'!F211</f>
        <v>pipa bluefin 2 dim c</v>
      </c>
      <c r="B214" s="30">
        <f>'AGS 25'!AJ214:AJ576</f>
        <v>6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23">
        <f t="shared" si="3"/>
        <v>0</v>
      </c>
      <c r="AI214" s="24">
        <v>0.0</v>
      </c>
      <c r="AJ214" s="32">
        <f t="shared" si="4"/>
        <v>6</v>
      </c>
      <c r="AK214" s="32">
        <f t="shared" si="5"/>
        <v>6</v>
      </c>
      <c r="AL214" s="25">
        <f>'MASTER STOCK'!I211</f>
        <v>41000</v>
      </c>
      <c r="AM214" s="27">
        <f>'MASTER STOCK'!L211</f>
        <v>41000</v>
      </c>
      <c r="AN214" s="27">
        <f t="shared" si="6"/>
        <v>0</v>
      </c>
      <c r="AO214" s="27">
        <f t="shared" si="7"/>
        <v>0</v>
      </c>
      <c r="AP214" s="25">
        <f t="shared" si="8"/>
        <v>0</v>
      </c>
      <c r="AQ214" s="10"/>
    </row>
    <row r="215">
      <c r="A215" s="29" t="str">
        <f>'MASTER STOCK'!F212</f>
        <v>pipa bluefin 2 dim d</v>
      </c>
      <c r="B215" s="30">
        <f>'AGS 25'!AJ215:AJ577</f>
        <v>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23">
        <f t="shared" si="3"/>
        <v>0</v>
      </c>
      <c r="AI215" s="24">
        <v>0.0</v>
      </c>
      <c r="AJ215" s="32">
        <f t="shared" si="4"/>
        <v>1</v>
      </c>
      <c r="AK215" s="32">
        <f t="shared" si="5"/>
        <v>1</v>
      </c>
      <c r="AL215" s="25">
        <f>'MASTER STOCK'!I212</f>
        <v>46000</v>
      </c>
      <c r="AM215" s="27">
        <f>'MASTER STOCK'!L212</f>
        <v>46000</v>
      </c>
      <c r="AN215" s="27">
        <f t="shared" si="6"/>
        <v>0</v>
      </c>
      <c r="AO215" s="27">
        <f t="shared" si="7"/>
        <v>0</v>
      </c>
      <c r="AP215" s="25">
        <f t="shared" si="8"/>
        <v>0</v>
      </c>
      <c r="AQ215" s="10"/>
    </row>
    <row r="216">
      <c r="A216" s="29" t="str">
        <f>'MASTER STOCK'!F213</f>
        <v>pipa interniti 2 dim</v>
      </c>
      <c r="B216" s="30">
        <f>'AGS 25'!AJ216:AJ578</f>
        <v>7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23">
        <f t="shared" si="3"/>
        <v>0</v>
      </c>
      <c r="AI216" s="24">
        <v>0.0</v>
      </c>
      <c r="AJ216" s="32">
        <f t="shared" si="4"/>
        <v>7</v>
      </c>
      <c r="AK216" s="32">
        <f t="shared" si="5"/>
        <v>7</v>
      </c>
      <c r="AL216" s="25">
        <f>'MASTER STOCK'!I213</f>
        <v>42000</v>
      </c>
      <c r="AM216" s="27">
        <f>'MASTER STOCK'!L213</f>
        <v>42000</v>
      </c>
      <c r="AN216" s="27">
        <f t="shared" si="6"/>
        <v>0</v>
      </c>
      <c r="AO216" s="27">
        <f t="shared" si="7"/>
        <v>0</v>
      </c>
      <c r="AP216" s="25">
        <f t="shared" si="8"/>
        <v>0</v>
      </c>
      <c r="AQ216" s="10"/>
    </row>
    <row r="217">
      <c r="A217" s="29" t="str">
        <f>'MASTER STOCK'!F214</f>
        <v>pipa bluefin 2 1/2 dim c</v>
      </c>
      <c r="B217" s="30">
        <f>'AGS 25'!AJ217:AJ579</f>
        <v>2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23">
        <f t="shared" si="3"/>
        <v>0</v>
      </c>
      <c r="AI217" s="24">
        <v>0.0</v>
      </c>
      <c r="AJ217" s="32">
        <f t="shared" si="4"/>
        <v>2</v>
      </c>
      <c r="AK217" s="32">
        <f t="shared" si="5"/>
        <v>2</v>
      </c>
      <c r="AL217" s="25">
        <f>'MASTER STOCK'!I214</f>
        <v>57500</v>
      </c>
      <c r="AM217" s="27">
        <f>'MASTER STOCK'!L214</f>
        <v>57500</v>
      </c>
      <c r="AN217" s="27">
        <f t="shared" si="6"/>
        <v>0</v>
      </c>
      <c r="AO217" s="27">
        <f t="shared" si="7"/>
        <v>0</v>
      </c>
      <c r="AP217" s="25">
        <f t="shared" si="8"/>
        <v>0</v>
      </c>
      <c r="AQ217" s="10"/>
    </row>
    <row r="218">
      <c r="A218" s="29" t="str">
        <f>'MASTER STOCK'!F215</f>
        <v>pipa quinlon 3 dim c</v>
      </c>
      <c r="B218" s="30">
        <f>'AGS 25'!AJ218:AJ580</f>
        <v>3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23">
        <f t="shared" si="3"/>
        <v>0</v>
      </c>
      <c r="AI218" s="24">
        <v>0.0</v>
      </c>
      <c r="AJ218" s="32">
        <f t="shared" si="4"/>
        <v>3</v>
      </c>
      <c r="AK218" s="32">
        <f t="shared" si="5"/>
        <v>3</v>
      </c>
      <c r="AL218" s="25">
        <f>'MASTER STOCK'!I215</f>
        <v>53000</v>
      </c>
      <c r="AM218" s="27">
        <f>'MASTER STOCK'!L215</f>
        <v>53000</v>
      </c>
      <c r="AN218" s="27">
        <f t="shared" si="6"/>
        <v>0</v>
      </c>
      <c r="AO218" s="27">
        <f t="shared" si="7"/>
        <v>0</v>
      </c>
      <c r="AP218" s="25">
        <f t="shared" si="8"/>
        <v>0</v>
      </c>
      <c r="AQ218" s="10"/>
    </row>
    <row r="219">
      <c r="A219" s="29" t="str">
        <f>'MASTER STOCK'!F216</f>
        <v>pipa quinlon 3 dim d</v>
      </c>
      <c r="B219" s="30">
        <f>'AGS 25'!AJ219:AJ581</f>
        <v>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23">
        <f t="shared" si="3"/>
        <v>0</v>
      </c>
      <c r="AI219" s="24">
        <v>0.0</v>
      </c>
      <c r="AJ219" s="32">
        <f t="shared" si="4"/>
        <v>1</v>
      </c>
      <c r="AK219" s="32">
        <f t="shared" si="5"/>
        <v>1</v>
      </c>
      <c r="AL219" s="25">
        <f>'MASTER STOCK'!I216</f>
        <v>78000</v>
      </c>
      <c r="AM219" s="27">
        <f>'MASTER STOCK'!L216</f>
        <v>78000</v>
      </c>
      <c r="AN219" s="27">
        <f t="shared" si="6"/>
        <v>0</v>
      </c>
      <c r="AO219" s="27">
        <f t="shared" si="7"/>
        <v>0</v>
      </c>
      <c r="AP219" s="25">
        <f t="shared" si="8"/>
        <v>0</v>
      </c>
      <c r="AQ219" s="10"/>
    </row>
    <row r="220">
      <c r="A220" s="29" t="str">
        <f>'MASTER STOCK'!F217</f>
        <v>asbes 180 x 1 m</v>
      </c>
      <c r="B220" s="30">
        <f>'AGS 25'!AJ220:AJ582</f>
        <v>2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23">
        <f t="shared" si="3"/>
        <v>0</v>
      </c>
      <c r="AI220" s="24">
        <v>0.0</v>
      </c>
      <c r="AJ220" s="32">
        <f t="shared" si="4"/>
        <v>2</v>
      </c>
      <c r="AK220" s="32">
        <f t="shared" si="5"/>
        <v>2</v>
      </c>
      <c r="AL220" s="25">
        <f>'MASTER STOCK'!I217</f>
        <v>59000</v>
      </c>
      <c r="AM220" s="27">
        <f>'MASTER STOCK'!L217</f>
        <v>59000</v>
      </c>
      <c r="AN220" s="27">
        <f t="shared" si="6"/>
        <v>0</v>
      </c>
      <c r="AO220" s="27">
        <f t="shared" si="7"/>
        <v>0</v>
      </c>
      <c r="AP220" s="25">
        <f t="shared" si="8"/>
        <v>0</v>
      </c>
      <c r="AQ220" s="10"/>
    </row>
    <row r="221">
      <c r="A221" s="29" t="str">
        <f>'MASTER STOCK'!F218</f>
        <v>asbes 240 x 1 m</v>
      </c>
      <c r="B221" s="30">
        <f>'AGS 25'!AJ221:AJ583</f>
        <v>2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23">
        <f t="shared" si="3"/>
        <v>0</v>
      </c>
      <c r="AI221" s="24">
        <v>0.0</v>
      </c>
      <c r="AJ221" s="32">
        <f t="shared" si="4"/>
        <v>2</v>
      </c>
      <c r="AK221" s="32">
        <f t="shared" si="5"/>
        <v>2</v>
      </c>
      <c r="AL221" s="25">
        <f>'MASTER STOCK'!I218</f>
        <v>72000</v>
      </c>
      <c r="AM221" s="27">
        <f>'MASTER STOCK'!L218</f>
        <v>72000</v>
      </c>
      <c r="AN221" s="27">
        <f t="shared" si="6"/>
        <v>0</v>
      </c>
      <c r="AO221" s="27">
        <f t="shared" si="7"/>
        <v>0</v>
      </c>
      <c r="AP221" s="25">
        <f t="shared" si="8"/>
        <v>0</v>
      </c>
      <c r="AQ221" s="10"/>
    </row>
    <row r="222">
      <c r="A222" s="29" t="str">
        <f>'MASTER STOCK'!F219</f>
        <v>fiber glass</v>
      </c>
      <c r="B222" s="30">
        <f>'AGS 25'!AJ222:AJ584</f>
        <v>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23">
        <f t="shared" si="3"/>
        <v>0</v>
      </c>
      <c r="AI222" s="24">
        <v>0.0</v>
      </c>
      <c r="AJ222" s="32">
        <f t="shared" si="4"/>
        <v>1</v>
      </c>
      <c r="AK222" s="32">
        <f t="shared" si="5"/>
        <v>1</v>
      </c>
      <c r="AL222" s="25">
        <f>'MASTER STOCK'!I219</f>
        <v>150000</v>
      </c>
      <c r="AM222" s="27">
        <f>'MASTER STOCK'!L219</f>
        <v>150000</v>
      </c>
      <c r="AN222" s="27">
        <f t="shared" si="6"/>
        <v>0</v>
      </c>
      <c r="AO222" s="27">
        <f t="shared" si="7"/>
        <v>0</v>
      </c>
      <c r="AP222" s="25">
        <f t="shared" si="8"/>
        <v>0</v>
      </c>
      <c r="AQ222" s="10"/>
    </row>
    <row r="223">
      <c r="A223" s="29" t="str">
        <f>'MASTER STOCK'!F220</f>
        <v>kasiboard 2 m</v>
      </c>
      <c r="B223" s="30">
        <f>'AGS 25'!AJ223:AJ585</f>
        <v>2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23">
        <f t="shared" si="3"/>
        <v>0</v>
      </c>
      <c r="AI223" s="24">
        <v>0.0</v>
      </c>
      <c r="AJ223" s="32">
        <f t="shared" si="4"/>
        <v>2</v>
      </c>
      <c r="AK223" s="32">
        <f t="shared" si="5"/>
        <v>2</v>
      </c>
      <c r="AL223" s="25">
        <f>'MASTER STOCK'!I220</f>
        <v>0</v>
      </c>
      <c r="AM223" s="27">
        <f>'MASTER STOCK'!L220</f>
        <v>0</v>
      </c>
      <c r="AN223" s="27">
        <f t="shared" si="6"/>
        <v>0</v>
      </c>
      <c r="AO223" s="27">
        <f t="shared" si="7"/>
        <v>0</v>
      </c>
      <c r="AP223" s="25">
        <f t="shared" si="8"/>
        <v>0</v>
      </c>
      <c r="AQ223" s="10"/>
    </row>
    <row r="224">
      <c r="A224" s="29" t="str">
        <f>'MASTER STOCK'!F221</f>
        <v>besi  p 10</v>
      </c>
      <c r="B224" s="30">
        <f>'AGS 25'!AJ224:AJ586</f>
        <v>4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23">
        <f t="shared" si="3"/>
        <v>0</v>
      </c>
      <c r="AI224" s="24">
        <v>0.0</v>
      </c>
      <c r="AJ224" s="32">
        <f t="shared" si="4"/>
        <v>4</v>
      </c>
      <c r="AK224" s="32">
        <f t="shared" si="5"/>
        <v>4</v>
      </c>
      <c r="AL224" s="25">
        <f>'MASTER STOCK'!I221</f>
        <v>71000</v>
      </c>
      <c r="AM224" s="27">
        <f>'MASTER STOCK'!L221</f>
        <v>71000</v>
      </c>
      <c r="AN224" s="27">
        <f t="shared" si="6"/>
        <v>0</v>
      </c>
      <c r="AO224" s="27">
        <f t="shared" si="7"/>
        <v>0</v>
      </c>
      <c r="AP224" s="25">
        <f t="shared" si="8"/>
        <v>0</v>
      </c>
      <c r="AQ224" s="10"/>
    </row>
    <row r="225">
      <c r="A225" s="29" t="str">
        <f>'MASTER STOCK'!F222</f>
        <v>besi  8</v>
      </c>
      <c r="B225" s="30">
        <f>'AGS 25'!AJ225:AJ587</f>
        <v>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23">
        <f t="shared" si="3"/>
        <v>0</v>
      </c>
      <c r="AI225" s="24">
        <v>0.0</v>
      </c>
      <c r="AJ225" s="32">
        <f t="shared" si="4"/>
        <v>1</v>
      </c>
      <c r="AK225" s="32">
        <f t="shared" si="5"/>
        <v>1</v>
      </c>
      <c r="AL225" s="25">
        <f>'MASTER STOCK'!I222</f>
        <v>43000</v>
      </c>
      <c r="AM225" s="27">
        <f>'MASTER STOCK'!L222</f>
        <v>43000</v>
      </c>
      <c r="AN225" s="27">
        <f t="shared" si="6"/>
        <v>0</v>
      </c>
      <c r="AO225" s="27">
        <f t="shared" si="7"/>
        <v>0</v>
      </c>
      <c r="AP225" s="25">
        <f t="shared" si="8"/>
        <v>0</v>
      </c>
      <c r="AQ225" s="10"/>
    </row>
    <row r="226">
      <c r="A226" s="29" t="str">
        <f>'MASTER STOCK'!F223</f>
        <v>talang seng gulung</v>
      </c>
      <c r="B226" s="30">
        <f>'AGS 25'!AJ226:AJ588</f>
        <v>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23">
        <f t="shared" si="3"/>
        <v>0</v>
      </c>
      <c r="AI226" s="24">
        <v>0.0</v>
      </c>
      <c r="AJ226" s="32">
        <f t="shared" si="4"/>
        <v>1</v>
      </c>
      <c r="AK226" s="32">
        <f t="shared" si="5"/>
        <v>1</v>
      </c>
      <c r="AL226" s="25">
        <f>'MASTER STOCK'!I223</f>
        <v>19000</v>
      </c>
      <c r="AM226" s="27">
        <f>'MASTER STOCK'!L223</f>
        <v>19000</v>
      </c>
      <c r="AN226" s="27">
        <f t="shared" si="6"/>
        <v>0</v>
      </c>
      <c r="AO226" s="27">
        <f t="shared" si="7"/>
        <v>0</v>
      </c>
      <c r="AP226" s="25">
        <f t="shared" si="8"/>
        <v>0</v>
      </c>
      <c r="AQ226" s="10"/>
    </row>
    <row r="227">
      <c r="A227" s="29" t="str">
        <f>'MASTER STOCK'!F224</f>
        <v>galvalum</v>
      </c>
      <c r="B227" s="30">
        <f>'AGS 25'!AJ227:AJ589</f>
        <v>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23">
        <f t="shared" si="3"/>
        <v>0</v>
      </c>
      <c r="AI227" s="24">
        <v>0.0</v>
      </c>
      <c r="AJ227" s="32">
        <f t="shared" si="4"/>
        <v>1</v>
      </c>
      <c r="AK227" s="32">
        <f t="shared" si="5"/>
        <v>1</v>
      </c>
      <c r="AL227" s="25">
        <f>'MASTER STOCK'!I224</f>
        <v>23000</v>
      </c>
      <c r="AM227" s="27">
        <f>'MASTER STOCK'!L224</f>
        <v>23000</v>
      </c>
      <c r="AN227" s="27">
        <f t="shared" si="6"/>
        <v>0</v>
      </c>
      <c r="AO227" s="27">
        <f t="shared" si="7"/>
        <v>0</v>
      </c>
      <c r="AP227" s="25">
        <f t="shared" si="8"/>
        <v>0</v>
      </c>
      <c r="AQ227" s="10"/>
    </row>
    <row r="228">
      <c r="A228" s="29" t="str">
        <f>'MASTER STOCK'!F225</f>
        <v>watermur 1/2</v>
      </c>
      <c r="B228" s="30">
        <f>'AGS 25'!AJ228:AJ590</f>
        <v>6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23">
        <f t="shared" si="3"/>
        <v>0</v>
      </c>
      <c r="AI228" s="24">
        <v>0.0</v>
      </c>
      <c r="AJ228" s="32">
        <f t="shared" si="4"/>
        <v>6</v>
      </c>
      <c r="AK228" s="32">
        <f t="shared" si="5"/>
        <v>6</v>
      </c>
      <c r="AL228" s="25">
        <f>'MASTER STOCK'!I225</f>
        <v>5000</v>
      </c>
      <c r="AM228" s="27">
        <f>'MASTER STOCK'!L225</f>
        <v>5000</v>
      </c>
      <c r="AN228" s="27">
        <f t="shared" si="6"/>
        <v>0</v>
      </c>
      <c r="AO228" s="27">
        <f t="shared" si="7"/>
        <v>0</v>
      </c>
      <c r="AP228" s="25">
        <f t="shared" si="8"/>
        <v>0</v>
      </c>
      <c r="AQ228" s="10"/>
    </row>
    <row r="229">
      <c r="A229" s="29" t="str">
        <f>'MASTER STOCK'!F226</f>
        <v>loster besar kotak</v>
      </c>
      <c r="B229" s="30">
        <f>'AGS 25'!AJ229:AJ591</f>
        <v>13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23">
        <f t="shared" si="3"/>
        <v>0</v>
      </c>
      <c r="AI229" s="24">
        <v>0.0</v>
      </c>
      <c r="AJ229" s="32">
        <f t="shared" si="4"/>
        <v>13</v>
      </c>
      <c r="AK229" s="32">
        <f t="shared" si="5"/>
        <v>13</v>
      </c>
      <c r="AL229" s="25">
        <f>'MASTER STOCK'!I226</f>
        <v>15500</v>
      </c>
      <c r="AM229" s="27">
        <f>'MASTER STOCK'!L226</f>
        <v>15500</v>
      </c>
      <c r="AN229" s="27">
        <f t="shared" si="6"/>
        <v>0</v>
      </c>
      <c r="AO229" s="27">
        <f t="shared" si="7"/>
        <v>0</v>
      </c>
      <c r="AP229" s="25">
        <f t="shared" si="8"/>
        <v>0</v>
      </c>
      <c r="AQ229" s="10"/>
    </row>
    <row r="230">
      <c r="A230" s="29" t="str">
        <f>'MASTER STOCK'!F227</f>
        <v>loster besar saringan</v>
      </c>
      <c r="B230" s="30">
        <f>'AGS 25'!AJ230:AJ592</f>
        <v>15</v>
      </c>
      <c r="C230" s="10"/>
      <c r="D230" s="10"/>
      <c r="E230" s="22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23">
        <f t="shared" si="3"/>
        <v>0</v>
      </c>
      <c r="AI230" s="24">
        <v>0.0</v>
      </c>
      <c r="AJ230" s="32">
        <f t="shared" si="4"/>
        <v>15</v>
      </c>
      <c r="AK230" s="32">
        <f t="shared" si="5"/>
        <v>15</v>
      </c>
      <c r="AL230" s="25">
        <f>'MASTER STOCK'!I227</f>
        <v>17500</v>
      </c>
      <c r="AM230" s="27">
        <f>'MASTER STOCK'!L227</f>
        <v>17500</v>
      </c>
      <c r="AN230" s="27">
        <f t="shared" si="6"/>
        <v>0</v>
      </c>
      <c r="AO230" s="27">
        <f t="shared" si="7"/>
        <v>0</v>
      </c>
      <c r="AP230" s="25">
        <f t="shared" si="8"/>
        <v>0</v>
      </c>
      <c r="AQ230" s="10"/>
    </row>
    <row r="231">
      <c r="A231" s="29" t="str">
        <f>'MASTER STOCK'!F228</f>
        <v>lem rajawali</v>
      </c>
      <c r="B231" s="30">
        <f>'AGS 25'!AJ231:AJ593</f>
        <v>19</v>
      </c>
      <c r="C231" s="10"/>
      <c r="D231" s="10"/>
      <c r="E231" s="22">
        <v>1.0</v>
      </c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22">
        <v>2.0</v>
      </c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23">
        <f t="shared" si="3"/>
        <v>3</v>
      </c>
      <c r="AI231" s="24">
        <v>0.0</v>
      </c>
      <c r="AJ231" s="32">
        <f t="shared" si="4"/>
        <v>16</v>
      </c>
      <c r="AK231" s="32">
        <f t="shared" si="5"/>
        <v>16</v>
      </c>
      <c r="AL231" s="25">
        <f>'MASTER STOCK'!I228</f>
        <v>19500</v>
      </c>
      <c r="AM231" s="27">
        <f>'MASTER STOCK'!L228</f>
        <v>21500</v>
      </c>
      <c r="AN231" s="27">
        <f t="shared" si="6"/>
        <v>64500</v>
      </c>
      <c r="AO231" s="27">
        <f t="shared" si="7"/>
        <v>6000</v>
      </c>
      <c r="AP231" s="25">
        <f t="shared" si="8"/>
        <v>58500</v>
      </c>
      <c r="AQ231" s="10"/>
    </row>
    <row r="232">
      <c r="A232" s="29" t="str">
        <f>'MASTER STOCK'!F229</f>
        <v>pain roller nippon pain</v>
      </c>
      <c r="B232" s="30">
        <f>'AGS 25'!AJ232:AJ594</f>
        <v>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23">
        <f t="shared" si="3"/>
        <v>0</v>
      </c>
      <c r="AI232" s="24">
        <v>0.0</v>
      </c>
      <c r="AJ232" s="32">
        <f t="shared" si="4"/>
        <v>1</v>
      </c>
      <c r="AK232" s="32">
        <f t="shared" si="5"/>
        <v>1</v>
      </c>
      <c r="AL232" s="25">
        <f>'MASTER STOCK'!I229</f>
        <v>30000</v>
      </c>
      <c r="AM232" s="27">
        <f>'MASTER STOCK'!L229</f>
        <v>30000</v>
      </c>
      <c r="AN232" s="27">
        <f t="shared" si="6"/>
        <v>0</v>
      </c>
      <c r="AO232" s="27">
        <f t="shared" si="7"/>
        <v>0</v>
      </c>
      <c r="AP232" s="25">
        <f t="shared" si="8"/>
        <v>0</v>
      </c>
      <c r="AQ232" s="10"/>
    </row>
    <row r="233">
      <c r="A233" s="29" t="str">
        <f>'MASTER STOCK'!F230</f>
        <v>pain roller index </v>
      </c>
      <c r="B233" s="30">
        <f>'AGS 25'!AJ233:AJ595</f>
        <v>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23">
        <f t="shared" si="3"/>
        <v>0</v>
      </c>
      <c r="AI233" s="24">
        <v>0.0</v>
      </c>
      <c r="AJ233" s="32">
        <f t="shared" si="4"/>
        <v>1</v>
      </c>
      <c r="AK233" s="32">
        <f t="shared" si="5"/>
        <v>1</v>
      </c>
      <c r="AL233" s="25">
        <f>'MASTER STOCK'!I230</f>
        <v>25000</v>
      </c>
      <c r="AM233" s="27">
        <f>'MASTER STOCK'!L230</f>
        <v>25000</v>
      </c>
      <c r="AN233" s="27">
        <f t="shared" si="6"/>
        <v>0</v>
      </c>
      <c r="AO233" s="27">
        <f t="shared" si="7"/>
        <v>0</v>
      </c>
      <c r="AP233" s="25">
        <f t="shared" si="8"/>
        <v>0</v>
      </c>
      <c r="AQ233" s="10"/>
    </row>
    <row r="234">
      <c r="A234" s="29" t="str">
        <f>'MASTER STOCK'!F231</f>
        <v>timba</v>
      </c>
      <c r="B234" s="30">
        <f>'AGS 25'!AJ234:AJ596</f>
        <v>8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23">
        <f t="shared" si="3"/>
        <v>0</v>
      </c>
      <c r="AI234" s="24">
        <v>0.0</v>
      </c>
      <c r="AJ234" s="32">
        <f t="shared" si="4"/>
        <v>8</v>
      </c>
      <c r="AK234" s="32">
        <f t="shared" si="5"/>
        <v>8</v>
      </c>
      <c r="AL234" s="25">
        <f>'MASTER STOCK'!I231</f>
        <v>10000</v>
      </c>
      <c r="AM234" s="27">
        <f>'MASTER STOCK'!L231</f>
        <v>10000</v>
      </c>
      <c r="AN234" s="27">
        <f t="shared" si="6"/>
        <v>0</v>
      </c>
      <c r="AO234" s="27">
        <f t="shared" si="7"/>
        <v>0</v>
      </c>
      <c r="AP234" s="25">
        <f t="shared" si="8"/>
        <v>0</v>
      </c>
      <c r="AQ234" s="10"/>
    </row>
    <row r="235">
      <c r="A235" s="29" t="str">
        <f>'MASTER STOCK'!F232</f>
        <v>paku 5</v>
      </c>
      <c r="B235" s="30">
        <f>'AGS 25'!AJ235:AJ597</f>
        <v>0.4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23">
        <f t="shared" si="3"/>
        <v>0</v>
      </c>
      <c r="AI235" s="24">
        <v>0.0</v>
      </c>
      <c r="AJ235" s="32">
        <f t="shared" si="4"/>
        <v>0.4</v>
      </c>
      <c r="AK235" s="32">
        <f t="shared" si="5"/>
        <v>0.4</v>
      </c>
      <c r="AL235" s="25">
        <f>'MASTER STOCK'!I232</f>
        <v>26000</v>
      </c>
      <c r="AM235" s="27">
        <f>'MASTER STOCK'!L232</f>
        <v>26000</v>
      </c>
      <c r="AN235" s="27">
        <f t="shared" si="6"/>
        <v>0</v>
      </c>
      <c r="AO235" s="27">
        <f t="shared" si="7"/>
        <v>0</v>
      </c>
      <c r="AP235" s="25">
        <f t="shared" si="8"/>
        <v>0</v>
      </c>
      <c r="AQ235" s="10"/>
    </row>
    <row r="236">
      <c r="A236" s="29" t="str">
        <f>'MASTER STOCK'!F233</f>
        <v>paku 3 1/2</v>
      </c>
      <c r="B236" s="30">
        <f>'AGS 25'!AJ236:AJ598</f>
        <v>5.5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23">
        <f t="shared" si="3"/>
        <v>0</v>
      </c>
      <c r="AI236" s="24">
        <v>0.0</v>
      </c>
      <c r="AJ236" s="32">
        <f t="shared" si="4"/>
        <v>5.5</v>
      </c>
      <c r="AK236" s="32">
        <f t="shared" si="5"/>
        <v>5.5</v>
      </c>
      <c r="AL236" s="25">
        <f>'MASTER STOCK'!I233</f>
        <v>24000</v>
      </c>
      <c r="AM236" s="27">
        <f>'MASTER STOCK'!L233</f>
        <v>24000</v>
      </c>
      <c r="AN236" s="27">
        <f t="shared" si="6"/>
        <v>0</v>
      </c>
      <c r="AO236" s="27">
        <f t="shared" si="7"/>
        <v>0</v>
      </c>
      <c r="AP236" s="25">
        <f t="shared" si="8"/>
        <v>0</v>
      </c>
      <c r="AQ236" s="10"/>
    </row>
    <row r="237">
      <c r="A237" s="29" t="str">
        <f>'MASTER STOCK'!F234</f>
        <v>geraji</v>
      </c>
      <c r="B237" s="30">
        <f>'AGS 25'!AJ237:AJ599</f>
        <v>8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23">
        <f t="shared" si="3"/>
        <v>0</v>
      </c>
      <c r="AI237" s="24">
        <v>0.0</v>
      </c>
      <c r="AJ237" s="32">
        <f t="shared" si="4"/>
        <v>8</v>
      </c>
      <c r="AK237" s="32">
        <f t="shared" si="5"/>
        <v>8</v>
      </c>
      <c r="AL237" s="25">
        <f>'MASTER STOCK'!I234</f>
        <v>30000</v>
      </c>
      <c r="AM237" s="27">
        <f>'MASTER STOCK'!L234</f>
        <v>30000</v>
      </c>
      <c r="AN237" s="27">
        <f t="shared" si="6"/>
        <v>0</v>
      </c>
      <c r="AO237" s="27">
        <f t="shared" si="7"/>
        <v>0</v>
      </c>
      <c r="AP237" s="25">
        <f t="shared" si="8"/>
        <v>0</v>
      </c>
      <c r="AQ237" s="10"/>
    </row>
    <row r="238">
      <c r="A238" s="29" t="str">
        <f>'MASTER STOCK'!F235</f>
        <v>cutter</v>
      </c>
      <c r="B238" s="30">
        <f>'AGS 25'!AJ238:AJ600</f>
        <v>10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23">
        <f t="shared" si="3"/>
        <v>0</v>
      </c>
      <c r="AI238" s="24">
        <v>0.0</v>
      </c>
      <c r="AJ238" s="32">
        <f t="shared" si="4"/>
        <v>10</v>
      </c>
      <c r="AK238" s="32">
        <f t="shared" si="5"/>
        <v>10</v>
      </c>
      <c r="AL238" s="25">
        <f>'MASTER STOCK'!I235</f>
        <v>3000</v>
      </c>
      <c r="AM238" s="27">
        <f>'MASTER STOCK'!L235</f>
        <v>3000</v>
      </c>
      <c r="AN238" s="27">
        <f t="shared" si="6"/>
        <v>0</v>
      </c>
      <c r="AO238" s="27">
        <f t="shared" si="7"/>
        <v>0</v>
      </c>
      <c r="AP238" s="25">
        <f t="shared" si="8"/>
        <v>0</v>
      </c>
      <c r="AQ238" s="10"/>
    </row>
    <row r="239">
      <c r="A239" s="29" t="str">
        <f>'MASTER STOCK'!F236</f>
        <v>cutter joyko</v>
      </c>
      <c r="B239" s="30">
        <f>'AGS 25'!AJ239:AJ601</f>
        <v>3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23">
        <f t="shared" si="3"/>
        <v>0</v>
      </c>
      <c r="AI239" s="24">
        <v>0.0</v>
      </c>
      <c r="AJ239" s="32">
        <f t="shared" si="4"/>
        <v>3</v>
      </c>
      <c r="AK239" s="32">
        <f t="shared" si="5"/>
        <v>3</v>
      </c>
      <c r="AL239" s="25">
        <f>'MASTER STOCK'!I236</f>
        <v>5000</v>
      </c>
      <c r="AM239" s="27">
        <f>'MASTER STOCK'!L236</f>
        <v>5000</v>
      </c>
      <c r="AN239" s="27">
        <f t="shared" si="6"/>
        <v>0</v>
      </c>
      <c r="AO239" s="27">
        <f t="shared" si="7"/>
        <v>0</v>
      </c>
      <c r="AP239" s="25">
        <f t="shared" si="8"/>
        <v>0</v>
      </c>
      <c r="AQ239" s="10"/>
    </row>
    <row r="240">
      <c r="A240" s="29" t="str">
        <f>'MASTER STOCK'!F237</f>
        <v>tang</v>
      </c>
      <c r="B240" s="30">
        <f>'AGS 25'!AJ240:AJ602</f>
        <v>2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23">
        <f t="shared" si="3"/>
        <v>0</v>
      </c>
      <c r="AI240" s="24">
        <v>0.0</v>
      </c>
      <c r="AJ240" s="32">
        <f t="shared" si="4"/>
        <v>2</v>
      </c>
      <c r="AK240" s="32">
        <f t="shared" si="5"/>
        <v>2</v>
      </c>
      <c r="AL240" s="25">
        <f>'MASTER STOCK'!I237</f>
        <v>29500</v>
      </c>
      <c r="AM240" s="27">
        <f>'MASTER STOCK'!L237</f>
        <v>29500</v>
      </c>
      <c r="AN240" s="27">
        <f t="shared" si="6"/>
        <v>0</v>
      </c>
      <c r="AO240" s="27">
        <f t="shared" si="7"/>
        <v>0</v>
      </c>
      <c r="AP240" s="25">
        <f t="shared" si="8"/>
        <v>0</v>
      </c>
      <c r="AQ240" s="10"/>
    </row>
    <row r="241">
      <c r="A241" s="29" t="str">
        <f>'MASTER STOCK'!F238</f>
        <v>sarung tangan karet</v>
      </c>
      <c r="B241" s="30">
        <f>'AGS 25'!AJ241:AJ603</f>
        <v>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23">
        <f t="shared" si="3"/>
        <v>0</v>
      </c>
      <c r="AI241" s="24">
        <v>0.0</v>
      </c>
      <c r="AJ241" s="32">
        <f t="shared" si="4"/>
        <v>1</v>
      </c>
      <c r="AK241" s="32">
        <f t="shared" si="5"/>
        <v>1</v>
      </c>
      <c r="AL241" s="25">
        <f>'MASTER STOCK'!I238</f>
        <v>1600</v>
      </c>
      <c r="AM241" s="27">
        <f>'MASTER STOCK'!L238</f>
        <v>1600</v>
      </c>
      <c r="AN241" s="27">
        <f t="shared" si="6"/>
        <v>0</v>
      </c>
      <c r="AO241" s="27">
        <f t="shared" si="7"/>
        <v>0</v>
      </c>
      <c r="AP241" s="25">
        <f t="shared" si="8"/>
        <v>0</v>
      </c>
      <c r="AQ241" s="10"/>
    </row>
    <row r="242">
      <c r="A242" s="29" t="str">
        <f>'MASTER STOCK'!F239</f>
        <v>batrai panasonic 1,5 volt AAA</v>
      </c>
      <c r="B242" s="30">
        <f>'AGS 25'!AJ242:AJ604</f>
        <v>4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23">
        <f t="shared" si="3"/>
        <v>0</v>
      </c>
      <c r="AI242" s="24">
        <v>0.0</v>
      </c>
      <c r="AJ242" s="32">
        <f t="shared" si="4"/>
        <v>4</v>
      </c>
      <c r="AK242" s="32">
        <f t="shared" si="5"/>
        <v>4</v>
      </c>
      <c r="AL242" s="25">
        <f>'MASTER STOCK'!I239</f>
        <v>4500</v>
      </c>
      <c r="AM242" s="27">
        <f>'MASTER STOCK'!L239</f>
        <v>3000</v>
      </c>
      <c r="AN242" s="27">
        <f t="shared" si="6"/>
        <v>0</v>
      </c>
      <c r="AO242" s="27">
        <f t="shared" si="7"/>
        <v>0</v>
      </c>
      <c r="AP242" s="25">
        <f t="shared" si="8"/>
        <v>0</v>
      </c>
      <c r="AQ242" s="10"/>
    </row>
    <row r="243">
      <c r="A243" s="29" t="str">
        <f>'MASTER STOCK'!F240</f>
        <v>penggaris siku</v>
      </c>
      <c r="B243" s="30">
        <f>'AGS 25'!AJ243:AJ605</f>
        <v>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23">
        <f t="shared" si="3"/>
        <v>0</v>
      </c>
      <c r="AI243" s="24">
        <v>0.0</v>
      </c>
      <c r="AJ243" s="32">
        <f t="shared" si="4"/>
        <v>1</v>
      </c>
      <c r="AK243" s="32">
        <f t="shared" si="5"/>
        <v>1</v>
      </c>
      <c r="AL243" s="25">
        <f>'MASTER STOCK'!I240</f>
        <v>41500</v>
      </c>
      <c r="AM243" s="27">
        <f>'MASTER STOCK'!L240</f>
        <v>41500</v>
      </c>
      <c r="AN243" s="27">
        <f t="shared" si="6"/>
        <v>0</v>
      </c>
      <c r="AO243" s="27">
        <f t="shared" si="7"/>
        <v>0</v>
      </c>
      <c r="AP243" s="25">
        <f t="shared" si="8"/>
        <v>0</v>
      </c>
      <c r="AQ243" s="10"/>
    </row>
    <row r="244">
      <c r="A244" s="29" t="str">
        <f>'MASTER STOCK'!F241</f>
        <v>turbo cut 1,2 mm</v>
      </c>
      <c r="B244" s="30">
        <f>'AGS 25'!AJ244:AJ606</f>
        <v>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23">
        <f t="shared" si="3"/>
        <v>0</v>
      </c>
      <c r="AI244" s="24">
        <v>0.0</v>
      </c>
      <c r="AJ244" s="32">
        <f t="shared" si="4"/>
        <v>1</v>
      </c>
      <c r="AK244" s="32">
        <f t="shared" si="5"/>
        <v>1</v>
      </c>
      <c r="AL244" s="25">
        <f>'MASTER STOCK'!I241</f>
        <v>35000</v>
      </c>
      <c r="AM244" s="27">
        <f>'MASTER STOCK'!L241</f>
        <v>35000</v>
      </c>
      <c r="AN244" s="27">
        <f t="shared" si="6"/>
        <v>0</v>
      </c>
      <c r="AO244" s="27">
        <f t="shared" si="7"/>
        <v>0</v>
      </c>
      <c r="AP244" s="25">
        <f t="shared" si="8"/>
        <v>0</v>
      </c>
      <c r="AQ244" s="10"/>
    </row>
    <row r="245">
      <c r="A245" s="29" t="str">
        <f>'MASTER STOCK'!F242</f>
        <v>diamond cutting well</v>
      </c>
      <c r="B245" s="30">
        <f>'AGS 25'!AJ245:AJ607</f>
        <v>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23">
        <f t="shared" si="3"/>
        <v>0</v>
      </c>
      <c r="AI245" s="24">
        <v>0.0</v>
      </c>
      <c r="AJ245" s="32">
        <f t="shared" si="4"/>
        <v>1</v>
      </c>
      <c r="AK245" s="32">
        <f t="shared" si="5"/>
        <v>1</v>
      </c>
      <c r="AL245" s="25">
        <f>'MASTER STOCK'!I242</f>
        <v>35000</v>
      </c>
      <c r="AM245" s="27">
        <f>'MASTER STOCK'!L242</f>
        <v>35000</v>
      </c>
      <c r="AN245" s="27">
        <f t="shared" si="6"/>
        <v>0</v>
      </c>
      <c r="AO245" s="27">
        <f t="shared" si="7"/>
        <v>0</v>
      </c>
      <c r="AP245" s="25">
        <f t="shared" si="8"/>
        <v>0</v>
      </c>
      <c r="AQ245" s="10"/>
    </row>
    <row r="246">
      <c r="A246" s="29" t="str">
        <f>'MASTER STOCK'!F243</f>
        <v>paku 1 1/4</v>
      </c>
      <c r="B246" s="30">
        <f>'AGS 25'!AJ246:AJ608</f>
        <v>0.5</v>
      </c>
      <c r="C246" s="10"/>
      <c r="D246" s="10"/>
      <c r="E246" s="22">
        <v>0.35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23">
        <f t="shared" si="3"/>
        <v>0.35</v>
      </c>
      <c r="AI246" s="24">
        <v>0.0</v>
      </c>
      <c r="AJ246" s="32">
        <f t="shared" si="4"/>
        <v>0.15</v>
      </c>
      <c r="AK246" s="32">
        <f t="shared" si="5"/>
        <v>0.15</v>
      </c>
      <c r="AL246" s="25">
        <f>'MASTER STOCK'!I243</f>
        <v>25000</v>
      </c>
      <c r="AM246" s="27">
        <f>'MASTER STOCK'!L243</f>
        <v>25000</v>
      </c>
      <c r="AN246" s="27">
        <f t="shared" si="6"/>
        <v>8750</v>
      </c>
      <c r="AO246" s="27">
        <f t="shared" si="7"/>
        <v>0</v>
      </c>
      <c r="AP246" s="25">
        <f t="shared" si="8"/>
        <v>8750</v>
      </c>
      <c r="AQ246" s="10"/>
    </row>
    <row r="247">
      <c r="A247" s="29" t="str">
        <f>'MASTER STOCK'!F244</f>
        <v>siku  kecil</v>
      </c>
      <c r="B247" s="30">
        <f>'AGS 25'!AJ247:AJ609</f>
        <v>7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23">
        <f t="shared" si="3"/>
        <v>0</v>
      </c>
      <c r="AI247" s="24">
        <v>0.0</v>
      </c>
      <c r="AJ247" s="32">
        <f t="shared" si="4"/>
        <v>7</v>
      </c>
      <c r="AK247" s="32">
        <f t="shared" si="5"/>
        <v>7</v>
      </c>
      <c r="AL247" s="25">
        <f>'MASTER STOCK'!I244</f>
        <v>7500</v>
      </c>
      <c r="AM247" s="27">
        <f>'MASTER STOCK'!L244</f>
        <v>7500</v>
      </c>
      <c r="AN247" s="27">
        <f t="shared" si="6"/>
        <v>0</v>
      </c>
      <c r="AO247" s="27">
        <f t="shared" si="7"/>
        <v>0</v>
      </c>
      <c r="AP247" s="25">
        <f t="shared" si="8"/>
        <v>0</v>
      </c>
      <c r="AQ247" s="10"/>
    </row>
    <row r="248">
      <c r="A248" s="29" t="str">
        <f>'MASTER STOCK'!F245</f>
        <v>paku 6</v>
      </c>
      <c r="B248" s="30">
        <f>'AGS 25'!AJ248:AJ610</f>
        <v>0.5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23">
        <f t="shared" si="3"/>
        <v>0</v>
      </c>
      <c r="AI248" s="24">
        <v>0.0</v>
      </c>
      <c r="AJ248" s="32">
        <f t="shared" si="4"/>
        <v>0.5</v>
      </c>
      <c r="AK248" s="32">
        <f t="shared" si="5"/>
        <v>0.5</v>
      </c>
      <c r="AL248" s="25">
        <f>'MASTER STOCK'!I245</f>
        <v>26000</v>
      </c>
      <c r="AM248" s="27">
        <f>'MASTER STOCK'!L245</f>
        <v>26000</v>
      </c>
      <c r="AN248" s="27">
        <f t="shared" si="6"/>
        <v>0</v>
      </c>
      <c r="AO248" s="27">
        <f t="shared" si="7"/>
        <v>0</v>
      </c>
      <c r="AP248" s="25">
        <f t="shared" si="8"/>
        <v>0</v>
      </c>
      <c r="AQ248" s="10"/>
    </row>
    <row r="249">
      <c r="A249" s="29" t="str">
        <f>'MASTER STOCK'!F246</f>
        <v>paku 4</v>
      </c>
      <c r="B249" s="30">
        <f>'AGS 25'!AJ249:AJ611</f>
        <v>5.5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23">
        <f t="shared" si="3"/>
        <v>0</v>
      </c>
      <c r="AI249" s="24">
        <v>0.0</v>
      </c>
      <c r="AJ249" s="32">
        <f t="shared" si="4"/>
        <v>5.5</v>
      </c>
      <c r="AK249" s="32">
        <f t="shared" si="5"/>
        <v>5.5</v>
      </c>
      <c r="AL249" s="25">
        <f>'MASTER STOCK'!I246</f>
        <v>2600</v>
      </c>
      <c r="AM249" s="27">
        <f>'MASTER STOCK'!L246</f>
        <v>2600</v>
      </c>
      <c r="AN249" s="27">
        <f t="shared" si="6"/>
        <v>0</v>
      </c>
      <c r="AO249" s="27">
        <f t="shared" si="7"/>
        <v>0</v>
      </c>
      <c r="AP249" s="25">
        <f t="shared" si="8"/>
        <v>0</v>
      </c>
      <c r="AQ249" s="10"/>
    </row>
    <row r="250">
      <c r="A250" s="29" t="str">
        <f>'MASTER STOCK'!F247</f>
        <v>kasutan /  trowel</v>
      </c>
      <c r="B250" s="30">
        <f>'AGS 25'!AJ250:AJ612</f>
        <v>4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23">
        <f t="shared" si="3"/>
        <v>0</v>
      </c>
      <c r="AI250" s="24">
        <v>0.0</v>
      </c>
      <c r="AJ250" s="32">
        <f t="shared" si="4"/>
        <v>4</v>
      </c>
      <c r="AK250" s="32">
        <f t="shared" si="5"/>
        <v>4</v>
      </c>
      <c r="AL250" s="25">
        <f>'MASTER STOCK'!I247</f>
        <v>13500</v>
      </c>
      <c r="AM250" s="27">
        <f>'MASTER STOCK'!L247</f>
        <v>13500</v>
      </c>
      <c r="AN250" s="27">
        <f t="shared" si="6"/>
        <v>0</v>
      </c>
      <c r="AO250" s="27">
        <f t="shared" si="7"/>
        <v>0</v>
      </c>
      <c r="AP250" s="25">
        <f t="shared" si="8"/>
        <v>0</v>
      </c>
      <c r="AQ250" s="10"/>
    </row>
    <row r="251">
      <c r="A251" s="29" t="str">
        <f>'MASTER STOCK'!F248</f>
        <v>kapi 3 dim</v>
      </c>
      <c r="B251" s="30">
        <f>'AGS 25'!AJ251:AJ613</f>
        <v>2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23">
        <f t="shared" si="3"/>
        <v>0</v>
      </c>
      <c r="AI251" s="24">
        <v>0.0</v>
      </c>
      <c r="AJ251" s="32">
        <f t="shared" si="4"/>
        <v>2</v>
      </c>
      <c r="AK251" s="32">
        <f t="shared" si="5"/>
        <v>2</v>
      </c>
      <c r="AL251" s="25">
        <f>'MASTER STOCK'!I248</f>
        <v>5500</v>
      </c>
      <c r="AM251" s="27">
        <f>'MASTER STOCK'!L248</f>
        <v>5500</v>
      </c>
      <c r="AN251" s="27">
        <f t="shared" si="6"/>
        <v>0</v>
      </c>
      <c r="AO251" s="27">
        <f t="shared" si="7"/>
        <v>0</v>
      </c>
      <c r="AP251" s="25">
        <f t="shared" si="8"/>
        <v>0</v>
      </c>
      <c r="AQ251" s="10"/>
    </row>
    <row r="252">
      <c r="A252" s="29" t="str">
        <f>'MASTER STOCK'!F249</f>
        <v>kapi 5 dim</v>
      </c>
      <c r="B252" s="30">
        <f>'AGS 25'!AJ252:AJ614</f>
        <v>3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23">
        <f t="shared" si="3"/>
        <v>0</v>
      </c>
      <c r="AI252" s="24">
        <v>0.0</v>
      </c>
      <c r="AJ252" s="32">
        <f t="shared" si="4"/>
        <v>3</v>
      </c>
      <c r="AK252" s="32">
        <f t="shared" si="5"/>
        <v>3</v>
      </c>
      <c r="AL252" s="25">
        <f>'MASTER STOCK'!I249</f>
        <v>7500</v>
      </c>
      <c r="AM252" s="27">
        <f>'MASTER STOCK'!L249</f>
        <v>7500</v>
      </c>
      <c r="AN252" s="27">
        <f t="shared" si="6"/>
        <v>0</v>
      </c>
      <c r="AO252" s="27">
        <f t="shared" si="7"/>
        <v>0</v>
      </c>
      <c r="AP252" s="25">
        <f t="shared" si="8"/>
        <v>0</v>
      </c>
      <c r="AQ252" s="10"/>
    </row>
    <row r="253">
      <c r="A253" s="29" t="str">
        <f>'MASTER STOCK'!F250</f>
        <v>cetok sukun hitam</v>
      </c>
      <c r="B253" s="30">
        <f>'AGS 25'!AJ253:AJ615</f>
        <v>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23">
        <f t="shared" si="3"/>
        <v>0</v>
      </c>
      <c r="AI253" s="24">
        <v>0.0</v>
      </c>
      <c r="AJ253" s="32">
        <f t="shared" si="4"/>
        <v>1</v>
      </c>
      <c r="AK253" s="32">
        <f t="shared" si="5"/>
        <v>1</v>
      </c>
      <c r="AL253" s="25">
        <f>'MASTER STOCK'!I250</f>
        <v>25000</v>
      </c>
      <c r="AM253" s="27">
        <f>'MASTER STOCK'!L250</f>
        <v>25000</v>
      </c>
      <c r="AN253" s="27">
        <f t="shared" si="6"/>
        <v>0</v>
      </c>
      <c r="AO253" s="27">
        <f t="shared" si="7"/>
        <v>0</v>
      </c>
      <c r="AP253" s="25">
        <f t="shared" si="8"/>
        <v>0</v>
      </c>
      <c r="AQ253" s="10"/>
    </row>
    <row r="254">
      <c r="A254" s="29" t="str">
        <f>'MASTER STOCK'!F251</f>
        <v>cetok sukun sedang</v>
      </c>
      <c r="B254" s="30">
        <f>'AGS 25'!AJ254:AJ616</f>
        <v>2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23">
        <f t="shared" si="3"/>
        <v>0</v>
      </c>
      <c r="AI254" s="24">
        <v>0.0</v>
      </c>
      <c r="AJ254" s="32">
        <f t="shared" si="4"/>
        <v>2</v>
      </c>
      <c r="AK254" s="32">
        <f t="shared" si="5"/>
        <v>2</v>
      </c>
      <c r="AL254" s="25">
        <f>'MASTER STOCK'!I251</f>
        <v>17000</v>
      </c>
      <c r="AM254" s="27">
        <f>'MASTER STOCK'!L251</f>
        <v>17000</v>
      </c>
      <c r="AN254" s="27">
        <f t="shared" si="6"/>
        <v>0</v>
      </c>
      <c r="AO254" s="27">
        <f t="shared" si="7"/>
        <v>0</v>
      </c>
      <c r="AP254" s="25">
        <f t="shared" si="8"/>
        <v>0</v>
      </c>
      <c r="AQ254" s="10"/>
    </row>
    <row r="255">
      <c r="A255" s="29" t="str">
        <f>'MASTER STOCK'!F252</f>
        <v>cetak sukun kecil</v>
      </c>
      <c r="B255" s="30">
        <f>'AGS 25'!AJ255:AJ617</f>
        <v>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23">
        <f t="shared" si="3"/>
        <v>0</v>
      </c>
      <c r="AI255" s="24">
        <v>0.0</v>
      </c>
      <c r="AJ255" s="32">
        <f t="shared" si="4"/>
        <v>1</v>
      </c>
      <c r="AK255" s="32">
        <f t="shared" si="5"/>
        <v>1</v>
      </c>
      <c r="AL255" s="25">
        <f>'MASTER STOCK'!I252</f>
        <v>14000</v>
      </c>
      <c r="AM255" s="27">
        <f>'MASTER STOCK'!L252</f>
        <v>14000</v>
      </c>
      <c r="AN255" s="27">
        <f t="shared" si="6"/>
        <v>0</v>
      </c>
      <c r="AO255" s="27">
        <f t="shared" si="7"/>
        <v>0</v>
      </c>
      <c r="AP255" s="25">
        <f t="shared" si="8"/>
        <v>0</v>
      </c>
      <c r="AQ255" s="10"/>
    </row>
    <row r="256">
      <c r="A256" s="29" t="str">
        <f>'MASTER STOCK'!F253</f>
        <v>paku payung</v>
      </c>
      <c r="B256" s="30">
        <f>'AGS 25'!AJ256:AJ618</f>
        <v>57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23">
        <f t="shared" si="3"/>
        <v>0</v>
      </c>
      <c r="AI256" s="24">
        <v>0.0</v>
      </c>
      <c r="AJ256" s="32">
        <f t="shared" si="4"/>
        <v>57</v>
      </c>
      <c r="AK256" s="32">
        <f t="shared" si="5"/>
        <v>57</v>
      </c>
      <c r="AL256" s="25">
        <f>'MASTER STOCK'!I253</f>
        <v>25000</v>
      </c>
      <c r="AM256" s="27">
        <f>'MASTER STOCK'!L253</f>
        <v>25000</v>
      </c>
      <c r="AN256" s="27">
        <f t="shared" si="6"/>
        <v>0</v>
      </c>
      <c r="AO256" s="27">
        <f t="shared" si="7"/>
        <v>0</v>
      </c>
      <c r="AP256" s="25">
        <f t="shared" si="8"/>
        <v>0</v>
      </c>
      <c r="AQ256" s="10"/>
    </row>
    <row r="257">
      <c r="A257" s="29" t="str">
        <f>'MASTER STOCK'!F254</f>
        <v>pinnes</v>
      </c>
      <c r="B257" s="30">
        <f>'AGS 25'!AJ257:AJ619</f>
        <v>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23">
        <f t="shared" si="3"/>
        <v>0</v>
      </c>
      <c r="AI257" s="24">
        <v>0.0</v>
      </c>
      <c r="AJ257" s="32">
        <f t="shared" si="4"/>
        <v>1</v>
      </c>
      <c r="AK257" s="32">
        <f t="shared" si="5"/>
        <v>1</v>
      </c>
      <c r="AL257" s="25">
        <f>'MASTER STOCK'!I254</f>
        <v>6000</v>
      </c>
      <c r="AM257" s="27">
        <f>'MASTER STOCK'!L254</f>
        <v>6000</v>
      </c>
      <c r="AN257" s="27">
        <f t="shared" si="6"/>
        <v>0</v>
      </c>
      <c r="AO257" s="27">
        <f t="shared" si="7"/>
        <v>0</v>
      </c>
      <c r="AP257" s="25">
        <f t="shared" si="8"/>
        <v>0</v>
      </c>
      <c r="AQ257" s="10"/>
    </row>
    <row r="258">
      <c r="A258" s="29" t="str">
        <f>'MASTER STOCK'!F255</f>
        <v>jaring kawat 1/2</v>
      </c>
      <c r="B258" s="30">
        <f>'AGS 25'!AJ258:AJ620</f>
        <v>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23">
        <f t="shared" si="3"/>
        <v>0</v>
      </c>
      <c r="AI258" s="24">
        <v>0.0</v>
      </c>
      <c r="AJ258" s="32">
        <f t="shared" si="4"/>
        <v>1</v>
      </c>
      <c r="AK258" s="32">
        <f t="shared" si="5"/>
        <v>1</v>
      </c>
      <c r="AL258" s="25">
        <f>'MASTER STOCK'!I255</f>
        <v>14000</v>
      </c>
      <c r="AM258" s="27">
        <f>'MASTER STOCK'!L255</f>
        <v>14000</v>
      </c>
      <c r="AN258" s="27">
        <f t="shared" si="6"/>
        <v>0</v>
      </c>
      <c r="AO258" s="27">
        <f t="shared" si="7"/>
        <v>0</v>
      </c>
      <c r="AP258" s="25">
        <f t="shared" si="8"/>
        <v>0</v>
      </c>
      <c r="AQ258" s="10"/>
    </row>
    <row r="259">
      <c r="A259" s="29" t="str">
        <f>'MASTER STOCK'!F256</f>
        <v>jaring kawat 1/4</v>
      </c>
      <c r="B259" s="30">
        <f>'AGS 25'!AJ259:AJ621</f>
        <v>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23">
        <f t="shared" si="3"/>
        <v>0</v>
      </c>
      <c r="AI259" s="24">
        <v>0.0</v>
      </c>
      <c r="AJ259" s="32">
        <f t="shared" si="4"/>
        <v>1</v>
      </c>
      <c r="AK259" s="32">
        <f t="shared" si="5"/>
        <v>1</v>
      </c>
      <c r="AL259" s="25">
        <f>'MASTER STOCK'!I256</f>
        <v>15000</v>
      </c>
      <c r="AM259" s="27">
        <f>'MASTER STOCK'!L256</f>
        <v>15000</v>
      </c>
      <c r="AN259" s="27">
        <f t="shared" si="6"/>
        <v>0</v>
      </c>
      <c r="AO259" s="27">
        <f t="shared" si="7"/>
        <v>0</v>
      </c>
      <c r="AP259" s="25">
        <f t="shared" si="8"/>
        <v>0</v>
      </c>
      <c r="AQ259" s="10"/>
    </row>
    <row r="260">
      <c r="A260" s="29" t="str">
        <f>'MASTER STOCK'!F257</f>
        <v>lampu kepala</v>
      </c>
      <c r="B260" s="30">
        <f>'AGS 25'!AJ260:AJ622</f>
        <v>4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23">
        <f t="shared" si="3"/>
        <v>0</v>
      </c>
      <c r="AI260" s="24">
        <v>0.0</v>
      </c>
      <c r="AJ260" s="32">
        <f t="shared" si="4"/>
        <v>4</v>
      </c>
      <c r="AK260" s="32">
        <f t="shared" si="5"/>
        <v>4</v>
      </c>
      <c r="AL260" s="25">
        <f>'MASTER STOCK'!I257</f>
        <v>31500</v>
      </c>
      <c r="AM260" s="27">
        <f>'MASTER STOCK'!L257</f>
        <v>31500</v>
      </c>
      <c r="AN260" s="27">
        <f t="shared" si="6"/>
        <v>0</v>
      </c>
      <c r="AO260" s="27">
        <f t="shared" si="7"/>
        <v>0</v>
      </c>
      <c r="AP260" s="25">
        <f t="shared" si="8"/>
        <v>0</v>
      </c>
      <c r="AQ260" s="10"/>
    </row>
    <row r="261">
      <c r="A261" s="29" t="str">
        <f>'MASTER STOCK'!F258</f>
        <v>lampu led muxindo 25 watt</v>
      </c>
      <c r="B261" s="30">
        <f>'AGS 25'!AJ261:AJ623</f>
        <v>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23">
        <f t="shared" si="3"/>
        <v>0</v>
      </c>
      <c r="AI261" s="24">
        <v>0.0</v>
      </c>
      <c r="AJ261" s="32">
        <f t="shared" si="4"/>
        <v>1</v>
      </c>
      <c r="AK261" s="32">
        <f t="shared" si="5"/>
        <v>1</v>
      </c>
      <c r="AL261" s="25">
        <f>'MASTER STOCK'!I258</f>
        <v>25000</v>
      </c>
      <c r="AM261" s="27">
        <f>'MASTER STOCK'!L258</f>
        <v>25000</v>
      </c>
      <c r="AN261" s="27">
        <f t="shared" si="6"/>
        <v>0</v>
      </c>
      <c r="AO261" s="27">
        <f t="shared" si="7"/>
        <v>0</v>
      </c>
      <c r="AP261" s="25">
        <f t="shared" si="8"/>
        <v>0</v>
      </c>
      <c r="AQ261" s="10"/>
    </row>
    <row r="262">
      <c r="A262" s="29" t="str">
        <f>'MASTER STOCK'!F259</f>
        <v>lampu hemat  5 watt</v>
      </c>
      <c r="B262" s="30">
        <f>'AGS 25'!AJ262:AJ624</f>
        <v>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23">
        <f t="shared" si="3"/>
        <v>0</v>
      </c>
      <c r="AI262" s="24">
        <v>0.0</v>
      </c>
      <c r="AJ262" s="32">
        <f t="shared" si="4"/>
        <v>4</v>
      </c>
      <c r="AK262" s="32">
        <f t="shared" si="5"/>
        <v>4</v>
      </c>
      <c r="AL262" s="25">
        <f>'MASTER STOCK'!I259</f>
        <v>6000</v>
      </c>
      <c r="AM262" s="27">
        <f>'MASTER STOCK'!L259</f>
        <v>7000</v>
      </c>
      <c r="AN262" s="27">
        <f t="shared" si="6"/>
        <v>0</v>
      </c>
      <c r="AO262" s="27">
        <f t="shared" si="7"/>
        <v>0</v>
      </c>
      <c r="AP262" s="25">
        <f t="shared" si="8"/>
        <v>0</v>
      </c>
      <c r="AQ262" s="10"/>
    </row>
    <row r="263">
      <c r="A263" s="29" t="str">
        <f>'MASTER STOCK'!F260</f>
        <v>skrup atap  sedang</v>
      </c>
      <c r="B263" s="30">
        <f>'AGS 25'!AJ263:AJ625</f>
        <v>20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23">
        <f t="shared" si="3"/>
        <v>0</v>
      </c>
      <c r="AI263" s="24">
        <v>0.0</v>
      </c>
      <c r="AJ263" s="32">
        <f t="shared" si="4"/>
        <v>20</v>
      </c>
      <c r="AK263" s="32">
        <f t="shared" si="5"/>
        <v>20</v>
      </c>
      <c r="AL263" s="25">
        <f>'MASTER STOCK'!I260</f>
        <v>0</v>
      </c>
      <c r="AM263" s="27">
        <f>'MASTER STOCK'!L260</f>
        <v>0</v>
      </c>
      <c r="AN263" s="27">
        <f t="shared" si="6"/>
        <v>0</v>
      </c>
      <c r="AO263" s="27">
        <f t="shared" si="7"/>
        <v>0</v>
      </c>
      <c r="AP263" s="25">
        <f t="shared" si="8"/>
        <v>0</v>
      </c>
      <c r="AQ263" s="10"/>
    </row>
    <row r="264">
      <c r="A264" s="29" t="str">
        <f>'MASTER STOCK'!F261</f>
        <v>waseo led panel 3+3w</v>
      </c>
      <c r="B264" s="30">
        <f>'AGS 25'!AJ264:AJ626</f>
        <v>2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23">
        <f t="shared" si="3"/>
        <v>0</v>
      </c>
      <c r="AI264" s="24">
        <v>0.0</v>
      </c>
      <c r="AJ264" s="32">
        <f t="shared" si="4"/>
        <v>2</v>
      </c>
      <c r="AK264" s="32">
        <f t="shared" si="5"/>
        <v>2</v>
      </c>
      <c r="AL264" s="25">
        <f>'MASTER STOCK'!I261</f>
        <v>23000</v>
      </c>
      <c r="AM264" s="27">
        <f>'MASTER STOCK'!L261</f>
        <v>23000</v>
      </c>
      <c r="AN264" s="27">
        <f t="shared" si="6"/>
        <v>0</v>
      </c>
      <c r="AO264" s="27">
        <f t="shared" si="7"/>
        <v>0</v>
      </c>
      <c r="AP264" s="25">
        <f t="shared" si="8"/>
        <v>0</v>
      </c>
      <c r="AQ264" s="10"/>
    </row>
    <row r="265">
      <c r="A265" s="29" t="str">
        <f>'MASTER STOCK'!F262</f>
        <v>distribution box</v>
      </c>
      <c r="B265" s="30">
        <f>'AGS 25'!AJ265:AJ627</f>
        <v>2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23">
        <f t="shared" si="3"/>
        <v>0</v>
      </c>
      <c r="AI265" s="24">
        <v>0.0</v>
      </c>
      <c r="AJ265" s="32">
        <f t="shared" si="4"/>
        <v>2</v>
      </c>
      <c r="AK265" s="32">
        <f t="shared" si="5"/>
        <v>2</v>
      </c>
      <c r="AL265" s="25">
        <f>'MASTER STOCK'!I262</f>
        <v>15000</v>
      </c>
      <c r="AM265" s="27">
        <f>'MASTER STOCK'!L262</f>
        <v>15000</v>
      </c>
      <c r="AN265" s="27">
        <f t="shared" si="6"/>
        <v>0</v>
      </c>
      <c r="AO265" s="27">
        <f t="shared" si="7"/>
        <v>0</v>
      </c>
      <c r="AP265" s="25">
        <f t="shared" si="8"/>
        <v>0</v>
      </c>
      <c r="AQ265" s="10"/>
    </row>
    <row r="266">
      <c r="A266" s="29" t="str">
        <f>'MASTER STOCK'!F263</f>
        <v>skrup kecil</v>
      </c>
      <c r="B266" s="30">
        <f>'AGS 25'!AJ266:AJ628</f>
        <v>10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23">
        <f t="shared" si="3"/>
        <v>0</v>
      </c>
      <c r="AI266" s="24">
        <v>0.0</v>
      </c>
      <c r="AJ266" s="32">
        <f t="shared" si="4"/>
        <v>10</v>
      </c>
      <c r="AK266" s="32">
        <f t="shared" si="5"/>
        <v>10</v>
      </c>
      <c r="AL266" s="25">
        <f>'MASTER STOCK'!I263</f>
        <v>0</v>
      </c>
      <c r="AM266" s="27">
        <f>'MASTER STOCK'!L263</f>
        <v>0</v>
      </c>
      <c r="AN266" s="27">
        <f t="shared" si="6"/>
        <v>0</v>
      </c>
      <c r="AO266" s="27">
        <f t="shared" si="7"/>
        <v>0</v>
      </c>
      <c r="AP266" s="25">
        <f t="shared" si="8"/>
        <v>0</v>
      </c>
      <c r="AQ266" s="10"/>
    </row>
    <row r="267">
      <c r="A267" s="29" t="str">
        <f>'MASTER STOCK'!F264</f>
        <v>skrup besar</v>
      </c>
      <c r="B267" s="30">
        <f>'AGS 25'!AJ267:AJ629</f>
        <v>41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23">
        <f t="shared" si="3"/>
        <v>0</v>
      </c>
      <c r="AI267" s="24">
        <v>0.0</v>
      </c>
      <c r="AJ267" s="32">
        <f t="shared" si="4"/>
        <v>41</v>
      </c>
      <c r="AK267" s="32">
        <f t="shared" si="5"/>
        <v>41</v>
      </c>
      <c r="AL267" s="25">
        <f>'MASTER STOCK'!I264</f>
        <v>0</v>
      </c>
      <c r="AM267" s="27">
        <f>'MASTER STOCK'!L264</f>
        <v>0</v>
      </c>
      <c r="AN267" s="27">
        <f t="shared" si="6"/>
        <v>0</v>
      </c>
      <c r="AO267" s="27">
        <f t="shared" si="7"/>
        <v>0</v>
      </c>
      <c r="AP267" s="25">
        <f t="shared" si="8"/>
        <v>0</v>
      </c>
      <c r="AQ267" s="10"/>
    </row>
    <row r="268">
      <c r="A268" s="29" t="str">
        <f>'MASTER STOCK'!F265</f>
        <v>floor stainer plastik</v>
      </c>
      <c r="B268" s="30">
        <f>'AGS 25'!AJ268:AJ630</f>
        <v>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23">
        <f t="shared" si="3"/>
        <v>0</v>
      </c>
      <c r="AI268" s="24">
        <v>0.0</v>
      </c>
      <c r="AJ268" s="32">
        <f t="shared" si="4"/>
        <v>1</v>
      </c>
      <c r="AK268" s="32">
        <f t="shared" si="5"/>
        <v>1</v>
      </c>
      <c r="AL268" s="25">
        <f>'MASTER STOCK'!I265</f>
        <v>24000</v>
      </c>
      <c r="AM268" s="27">
        <f>'MASTER STOCK'!L265</f>
        <v>24000</v>
      </c>
      <c r="AN268" s="27">
        <f t="shared" si="6"/>
        <v>0</v>
      </c>
      <c r="AO268" s="27">
        <f t="shared" si="7"/>
        <v>0</v>
      </c>
      <c r="AP268" s="25">
        <f t="shared" si="8"/>
        <v>0</v>
      </c>
      <c r="AQ268" s="10"/>
    </row>
    <row r="269">
      <c r="A269" s="29" t="str">
        <f>'MASTER STOCK'!F266</f>
        <v>skrup atap  kecil</v>
      </c>
      <c r="B269" s="30">
        <f>'AGS 25'!AJ269:AJ631</f>
        <v>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23">
        <f t="shared" si="3"/>
        <v>0</v>
      </c>
      <c r="AI269" s="24">
        <v>0.0</v>
      </c>
      <c r="AJ269" s="32">
        <f t="shared" si="4"/>
        <v>1</v>
      </c>
      <c r="AK269" s="32">
        <f t="shared" si="5"/>
        <v>1</v>
      </c>
      <c r="AL269" s="25">
        <f>'MASTER STOCK'!I266</f>
        <v>0</v>
      </c>
      <c r="AM269" s="27">
        <f>'MASTER STOCK'!L266</f>
        <v>0</v>
      </c>
      <c r="AN269" s="27">
        <f t="shared" si="6"/>
        <v>0</v>
      </c>
      <c r="AO269" s="27">
        <f t="shared" si="7"/>
        <v>0</v>
      </c>
      <c r="AP269" s="25">
        <f t="shared" si="8"/>
        <v>0</v>
      </c>
      <c r="AQ269" s="10"/>
    </row>
    <row r="270">
      <c r="A270" s="29" t="str">
        <f>'MASTER STOCK'!F267</f>
        <v>lampu led</v>
      </c>
      <c r="B270" s="30">
        <f>'AGS 25'!AJ270:AJ632</f>
        <v>10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23">
        <f t="shared" si="3"/>
        <v>0</v>
      </c>
      <c r="AI270" s="24">
        <v>0.0</v>
      </c>
      <c r="AJ270" s="32">
        <f t="shared" si="4"/>
        <v>10</v>
      </c>
      <c r="AK270" s="32">
        <f t="shared" si="5"/>
        <v>10</v>
      </c>
      <c r="AL270" s="25">
        <f>'MASTER STOCK'!I267</f>
        <v>11000</v>
      </c>
      <c r="AM270" s="27">
        <f>'MASTER STOCK'!L267</f>
        <v>11000</v>
      </c>
      <c r="AN270" s="27">
        <f t="shared" si="6"/>
        <v>0</v>
      </c>
      <c r="AO270" s="27">
        <f t="shared" si="7"/>
        <v>0</v>
      </c>
      <c r="AP270" s="25">
        <f t="shared" si="8"/>
        <v>0</v>
      </c>
      <c r="AQ270" s="10"/>
    </row>
    <row r="271">
      <c r="A271" s="29" t="str">
        <f>'MASTER STOCK'!F268</f>
        <v>waterpres magnet (alat ukur)</v>
      </c>
      <c r="B271" s="30">
        <f>'AGS 25'!AJ271:AJ633</f>
        <v>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23">
        <f t="shared" si="3"/>
        <v>0</v>
      </c>
      <c r="AI271" s="24">
        <v>0.0</v>
      </c>
      <c r="AJ271" s="32">
        <f t="shared" si="4"/>
        <v>1</v>
      </c>
      <c r="AK271" s="32">
        <f t="shared" si="5"/>
        <v>1</v>
      </c>
      <c r="AL271" s="25">
        <f>'MASTER STOCK'!I268</f>
        <v>33000</v>
      </c>
      <c r="AM271" s="27">
        <f>'MASTER STOCK'!L268</f>
        <v>33000</v>
      </c>
      <c r="AN271" s="27">
        <f t="shared" si="6"/>
        <v>0</v>
      </c>
      <c r="AO271" s="27">
        <f t="shared" si="7"/>
        <v>0</v>
      </c>
      <c r="AP271" s="25">
        <f t="shared" si="8"/>
        <v>0</v>
      </c>
      <c r="AQ271" s="10"/>
    </row>
    <row r="272">
      <c r="A272" s="29" t="str">
        <f>'MASTER STOCK'!F269</f>
        <v>round kabel klip 6 mm</v>
      </c>
      <c r="B272" s="30">
        <f>'AGS 25'!AJ272:AJ634</f>
        <v>15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23">
        <f t="shared" si="3"/>
        <v>0</v>
      </c>
      <c r="AI272" s="24">
        <v>0.0</v>
      </c>
      <c r="AJ272" s="32">
        <f t="shared" si="4"/>
        <v>15</v>
      </c>
      <c r="AK272" s="32">
        <f t="shared" si="5"/>
        <v>15</v>
      </c>
      <c r="AL272" s="25">
        <f>'MASTER STOCK'!I269</f>
        <v>2000</v>
      </c>
      <c r="AM272" s="27">
        <f>'MASTER STOCK'!L269</f>
        <v>2000</v>
      </c>
      <c r="AN272" s="27">
        <f t="shared" si="6"/>
        <v>0</v>
      </c>
      <c r="AO272" s="27">
        <f t="shared" si="7"/>
        <v>0</v>
      </c>
      <c r="AP272" s="25">
        <f t="shared" si="8"/>
        <v>0</v>
      </c>
      <c r="AQ272" s="10"/>
    </row>
    <row r="273">
      <c r="A273" s="29" t="str">
        <f>'MASTER STOCK'!F270</f>
        <v>round kabel klip 7 mm</v>
      </c>
      <c r="B273" s="30">
        <f>'AGS 25'!AJ273:AJ635</f>
        <v>6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23">
        <f t="shared" si="3"/>
        <v>0</v>
      </c>
      <c r="AI273" s="24">
        <v>0.0</v>
      </c>
      <c r="AJ273" s="32">
        <f t="shared" si="4"/>
        <v>6</v>
      </c>
      <c r="AK273" s="32">
        <f t="shared" si="5"/>
        <v>6</v>
      </c>
      <c r="AL273" s="25">
        <f>'MASTER STOCK'!I270</f>
        <v>2000</v>
      </c>
      <c r="AM273" s="27">
        <f>'MASTER STOCK'!L270</f>
        <v>2000</v>
      </c>
      <c r="AN273" s="27">
        <f t="shared" si="6"/>
        <v>0</v>
      </c>
      <c r="AO273" s="27">
        <f t="shared" si="7"/>
        <v>0</v>
      </c>
      <c r="AP273" s="25">
        <f t="shared" si="8"/>
        <v>0</v>
      </c>
      <c r="AQ273" s="10"/>
    </row>
    <row r="274">
      <c r="A274" s="29" t="str">
        <f>'MASTER STOCK'!F271</f>
        <v>round kabel klip 9 mm</v>
      </c>
      <c r="B274" s="30">
        <f>'AGS 25'!AJ274:AJ636</f>
        <v>12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23">
        <f t="shared" si="3"/>
        <v>0</v>
      </c>
      <c r="AI274" s="24">
        <v>0.0</v>
      </c>
      <c r="AJ274" s="32">
        <f t="shared" si="4"/>
        <v>12</v>
      </c>
      <c r="AK274" s="32">
        <f t="shared" si="5"/>
        <v>12</v>
      </c>
      <c r="AL274" s="25">
        <f>'MASTER STOCK'!I271</f>
        <v>2500</v>
      </c>
      <c r="AM274" s="27">
        <f>'MASTER STOCK'!L271</f>
        <v>2500</v>
      </c>
      <c r="AN274" s="27">
        <f t="shared" si="6"/>
        <v>0</v>
      </c>
      <c r="AO274" s="27">
        <f t="shared" si="7"/>
        <v>0</v>
      </c>
      <c r="AP274" s="25">
        <f t="shared" si="8"/>
        <v>0</v>
      </c>
      <c r="AQ274" s="10"/>
    </row>
    <row r="275">
      <c r="A275" s="29" t="str">
        <f>'MASTER STOCK'!F272</f>
        <v>round kabel klip 10 mm</v>
      </c>
      <c r="B275" s="30">
        <f>'AGS 25'!AJ275:AJ637</f>
        <v>16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23">
        <f t="shared" si="3"/>
        <v>0</v>
      </c>
      <c r="AI275" s="24">
        <v>0.0</v>
      </c>
      <c r="AJ275" s="32">
        <f t="shared" si="4"/>
        <v>16</v>
      </c>
      <c r="AK275" s="32">
        <f t="shared" si="5"/>
        <v>16</v>
      </c>
      <c r="AL275" s="25">
        <f>'MASTER STOCK'!I272</f>
        <v>2500</v>
      </c>
      <c r="AM275" s="27">
        <f>'MASTER STOCK'!L272</f>
        <v>2500</v>
      </c>
      <c r="AN275" s="27">
        <f t="shared" si="6"/>
        <v>0</v>
      </c>
      <c r="AO275" s="27">
        <f t="shared" si="7"/>
        <v>0</v>
      </c>
      <c r="AP275" s="25">
        <f t="shared" si="8"/>
        <v>0</v>
      </c>
      <c r="AQ275" s="10"/>
    </row>
    <row r="276">
      <c r="A276" s="29" t="str">
        <f>'MASTER STOCK'!F273</f>
        <v>floor stainer stainless</v>
      </c>
      <c r="B276" s="30">
        <f>'AGS 25'!AJ276:AJ638</f>
        <v>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23">
        <f t="shared" si="3"/>
        <v>0</v>
      </c>
      <c r="AI276" s="24">
        <v>0.0</v>
      </c>
      <c r="AJ276" s="32">
        <f t="shared" si="4"/>
        <v>1</v>
      </c>
      <c r="AK276" s="32">
        <f t="shared" si="5"/>
        <v>1</v>
      </c>
      <c r="AL276" s="25">
        <f>'MASTER STOCK'!I273</f>
        <v>24000</v>
      </c>
      <c r="AM276" s="27">
        <f>'MASTER STOCK'!L273</f>
        <v>24000</v>
      </c>
      <c r="AN276" s="27">
        <f t="shared" si="6"/>
        <v>0</v>
      </c>
      <c r="AO276" s="27">
        <f t="shared" si="7"/>
        <v>0</v>
      </c>
      <c r="AP276" s="25">
        <f t="shared" si="8"/>
        <v>0</v>
      </c>
      <c r="AQ276" s="10"/>
    </row>
    <row r="277">
      <c r="A277" s="29" t="str">
        <f>'MASTER STOCK'!F274</f>
        <v>amplass bunder</v>
      </c>
      <c r="B277" s="30">
        <f>'AGS 25'!AJ277:AJ639</f>
        <v>8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23">
        <f t="shared" si="3"/>
        <v>0</v>
      </c>
      <c r="AI277" s="24">
        <v>0.0</v>
      </c>
      <c r="AJ277" s="32">
        <f t="shared" si="4"/>
        <v>8</v>
      </c>
      <c r="AK277" s="32">
        <f t="shared" si="5"/>
        <v>8</v>
      </c>
      <c r="AL277" s="25">
        <f>'MASTER STOCK'!I274</f>
        <v>2500</v>
      </c>
      <c r="AM277" s="27">
        <f>'MASTER STOCK'!L274</f>
        <v>2500</v>
      </c>
      <c r="AN277" s="27">
        <f t="shared" si="6"/>
        <v>0</v>
      </c>
      <c r="AO277" s="27">
        <f t="shared" si="7"/>
        <v>0</v>
      </c>
      <c r="AP277" s="25">
        <f t="shared" si="8"/>
        <v>0</v>
      </c>
      <c r="AQ277" s="10"/>
    </row>
    <row r="278">
      <c r="A278" s="29" t="str">
        <f>'MASTER STOCK'!F275</f>
        <v>paku beton 1 1/2</v>
      </c>
      <c r="B278" s="30">
        <f>'AGS 25'!AJ278:AJ640</f>
        <v>2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23">
        <f t="shared" si="3"/>
        <v>0</v>
      </c>
      <c r="AI278" s="24">
        <v>0.0</v>
      </c>
      <c r="AJ278" s="32">
        <f t="shared" si="4"/>
        <v>2</v>
      </c>
      <c r="AK278" s="32">
        <f t="shared" si="5"/>
        <v>2</v>
      </c>
      <c r="AL278" s="25">
        <f>'MASTER STOCK'!I275</f>
        <v>14000</v>
      </c>
      <c r="AM278" s="27">
        <f>'MASTER STOCK'!L275</f>
        <v>14000</v>
      </c>
      <c r="AN278" s="27">
        <f t="shared" si="6"/>
        <v>0</v>
      </c>
      <c r="AO278" s="27">
        <f t="shared" si="7"/>
        <v>0</v>
      </c>
      <c r="AP278" s="25">
        <f t="shared" si="8"/>
        <v>0</v>
      </c>
      <c r="AQ278" s="10"/>
    </row>
    <row r="279">
      <c r="A279" s="29" t="str">
        <f>'MASTER STOCK'!F276</f>
        <v>tusen klep air</v>
      </c>
      <c r="B279" s="30">
        <f>'AGS 25'!AJ279:AJ641</f>
        <v>4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23">
        <f t="shared" si="3"/>
        <v>0</v>
      </c>
      <c r="AI279" s="24">
        <v>0.0</v>
      </c>
      <c r="AJ279" s="32">
        <f t="shared" si="4"/>
        <v>4</v>
      </c>
      <c r="AK279" s="32">
        <f t="shared" si="5"/>
        <v>4</v>
      </c>
      <c r="AL279" s="25">
        <f>'MASTER STOCK'!I276</f>
        <v>0</v>
      </c>
      <c r="AM279" s="27">
        <f>'MASTER STOCK'!L276</f>
        <v>0</v>
      </c>
      <c r="AN279" s="27">
        <f t="shared" si="6"/>
        <v>0</v>
      </c>
      <c r="AO279" s="27">
        <f t="shared" si="7"/>
        <v>0</v>
      </c>
      <c r="AP279" s="25">
        <f t="shared" si="8"/>
        <v>0</v>
      </c>
      <c r="AQ279" s="10"/>
    </row>
    <row r="280">
      <c r="A280" s="29" t="str">
        <f>'MASTER STOCK'!F277</f>
        <v>saringan plastik biasa</v>
      </c>
      <c r="B280" s="30">
        <f>'AGS 25'!AJ280:AJ642</f>
        <v>3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23">
        <f t="shared" si="3"/>
        <v>0</v>
      </c>
      <c r="AI280" s="24">
        <v>0.0</v>
      </c>
      <c r="AJ280" s="32">
        <f t="shared" si="4"/>
        <v>3</v>
      </c>
      <c r="AK280" s="32">
        <f t="shared" si="5"/>
        <v>3</v>
      </c>
      <c r="AL280" s="25">
        <f>'MASTER STOCK'!I277</f>
        <v>12000</v>
      </c>
      <c r="AM280" s="27">
        <f>'MASTER STOCK'!L277</f>
        <v>12000</v>
      </c>
      <c r="AN280" s="27">
        <f t="shared" si="6"/>
        <v>0</v>
      </c>
      <c r="AO280" s="27">
        <f t="shared" si="7"/>
        <v>0</v>
      </c>
      <c r="AP280" s="25">
        <f t="shared" si="8"/>
        <v>0</v>
      </c>
      <c r="AQ280" s="10"/>
    </row>
    <row r="281">
      <c r="A281" s="29" t="str">
        <f>'MASTER STOCK'!F278</f>
        <v>kuas  2</v>
      </c>
      <c r="B281" s="30">
        <f>'AGS 25'!AJ281:AJ643</f>
        <v>2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23">
        <f t="shared" si="3"/>
        <v>0</v>
      </c>
      <c r="AI281" s="24">
        <v>0.0</v>
      </c>
      <c r="AJ281" s="32">
        <f t="shared" si="4"/>
        <v>2</v>
      </c>
      <c r="AK281" s="32">
        <f t="shared" si="5"/>
        <v>2</v>
      </c>
      <c r="AL281" s="25">
        <f>'MASTER STOCK'!I278</f>
        <v>8000</v>
      </c>
      <c r="AM281" s="27">
        <f>'MASTER STOCK'!L278</f>
        <v>8000</v>
      </c>
      <c r="AN281" s="27">
        <f t="shared" si="6"/>
        <v>0</v>
      </c>
      <c r="AO281" s="27">
        <f t="shared" si="7"/>
        <v>0</v>
      </c>
      <c r="AP281" s="25">
        <f t="shared" si="8"/>
        <v>0</v>
      </c>
      <c r="AQ281" s="10"/>
    </row>
    <row r="282">
      <c r="A282" s="29" t="str">
        <f>'MASTER STOCK'!F279</f>
        <v>afur hpp</v>
      </c>
      <c r="B282" s="30">
        <f>'AGS 25'!AJ282:AJ644</f>
        <v>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23">
        <f t="shared" si="3"/>
        <v>0</v>
      </c>
      <c r="AI282" s="24">
        <v>0.0</v>
      </c>
      <c r="AJ282" s="32">
        <f t="shared" si="4"/>
        <v>1</v>
      </c>
      <c r="AK282" s="32">
        <f t="shared" si="5"/>
        <v>1</v>
      </c>
      <c r="AL282" s="25">
        <f>'MASTER STOCK'!I279</f>
        <v>27000</v>
      </c>
      <c r="AM282" s="27">
        <f>'MASTER STOCK'!L279</f>
        <v>27000</v>
      </c>
      <c r="AN282" s="27">
        <f t="shared" si="6"/>
        <v>0</v>
      </c>
      <c r="AO282" s="27">
        <f t="shared" si="7"/>
        <v>0</v>
      </c>
      <c r="AP282" s="25">
        <f t="shared" si="8"/>
        <v>0</v>
      </c>
      <c r="AQ282" s="10"/>
    </row>
    <row r="283">
      <c r="A283" s="29" t="str">
        <f>'MASTER STOCK'!F280</f>
        <v>afur klasik</v>
      </c>
      <c r="B283" s="30">
        <f>'AGS 25'!AJ283:AJ645</f>
        <v>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23">
        <f t="shared" si="3"/>
        <v>0</v>
      </c>
      <c r="AI283" s="24">
        <v>0.0</v>
      </c>
      <c r="AJ283" s="32">
        <f t="shared" si="4"/>
        <v>1</v>
      </c>
      <c r="AK283" s="32">
        <f t="shared" si="5"/>
        <v>1</v>
      </c>
      <c r="AL283" s="25">
        <f>'MASTER STOCK'!I280</f>
        <v>32000</v>
      </c>
      <c r="AM283" s="27">
        <f>'MASTER STOCK'!L280</f>
        <v>32000</v>
      </c>
      <c r="AN283" s="27">
        <f t="shared" si="6"/>
        <v>0</v>
      </c>
      <c r="AO283" s="27">
        <f t="shared" si="7"/>
        <v>0</v>
      </c>
      <c r="AP283" s="25">
        <f t="shared" si="8"/>
        <v>0</v>
      </c>
      <c r="AQ283" s="10"/>
    </row>
    <row r="284">
      <c r="A284" s="29" t="str">
        <f>'MASTER STOCK'!F281</f>
        <v>kuas cat garis</v>
      </c>
      <c r="B284" s="30">
        <f>'AGS 25'!AJ284:AJ646</f>
        <v>4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23">
        <f t="shared" si="3"/>
        <v>0</v>
      </c>
      <c r="AI284" s="24">
        <v>0.0</v>
      </c>
      <c r="AJ284" s="32">
        <f t="shared" si="4"/>
        <v>4</v>
      </c>
      <c r="AK284" s="32">
        <f t="shared" si="5"/>
        <v>4</v>
      </c>
      <c r="AL284" s="25">
        <f>'MASTER STOCK'!I281</f>
        <v>9000</v>
      </c>
      <c r="AM284" s="27">
        <f>'MASTER STOCK'!L281</f>
        <v>9000</v>
      </c>
      <c r="AN284" s="27">
        <f t="shared" si="6"/>
        <v>0</v>
      </c>
      <c r="AO284" s="27">
        <f t="shared" si="7"/>
        <v>0</v>
      </c>
      <c r="AP284" s="25">
        <f t="shared" si="8"/>
        <v>0</v>
      </c>
      <c r="AQ284" s="10"/>
    </row>
    <row r="285">
      <c r="A285" s="29" t="str">
        <f>'MASTER STOCK'!F282</f>
        <v>pilox</v>
      </c>
      <c r="B285" s="30">
        <f>'AGS 25'!AJ285:AJ647</f>
        <v>4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23">
        <f t="shared" si="3"/>
        <v>0</v>
      </c>
      <c r="AI285" s="24">
        <v>0.0</v>
      </c>
      <c r="AJ285" s="32">
        <f t="shared" si="4"/>
        <v>4</v>
      </c>
      <c r="AK285" s="32">
        <f t="shared" si="5"/>
        <v>4</v>
      </c>
      <c r="AL285" s="25">
        <f>'MASTER STOCK'!I282</f>
        <v>29000</v>
      </c>
      <c r="AM285" s="27">
        <f>'MASTER STOCK'!L282</f>
        <v>29000</v>
      </c>
      <c r="AN285" s="27">
        <f t="shared" si="6"/>
        <v>0</v>
      </c>
      <c r="AO285" s="27">
        <f t="shared" si="7"/>
        <v>0</v>
      </c>
      <c r="AP285" s="25">
        <f t="shared" si="8"/>
        <v>0</v>
      </c>
      <c r="AQ285" s="10"/>
    </row>
    <row r="286">
      <c r="A286" s="29" t="str">
        <f>'MASTER STOCK'!F283</f>
        <v>sikring</v>
      </c>
      <c r="B286" s="30">
        <f>'AGS 25'!AJ286:AJ648</f>
        <v>5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23">
        <f t="shared" si="3"/>
        <v>0</v>
      </c>
      <c r="AI286" s="24">
        <v>0.0</v>
      </c>
      <c r="AJ286" s="32">
        <f t="shared" si="4"/>
        <v>5</v>
      </c>
      <c r="AK286" s="32">
        <f t="shared" si="5"/>
        <v>5</v>
      </c>
      <c r="AL286" s="25">
        <f>'MASTER STOCK'!I283</f>
        <v>3500</v>
      </c>
      <c r="AM286" s="27">
        <f>'MASTER STOCK'!L283</f>
        <v>3500</v>
      </c>
      <c r="AN286" s="27">
        <f t="shared" si="6"/>
        <v>0</v>
      </c>
      <c r="AO286" s="27">
        <f t="shared" si="7"/>
        <v>0</v>
      </c>
      <c r="AP286" s="25">
        <f t="shared" si="8"/>
        <v>0</v>
      </c>
      <c r="AQ286" s="10"/>
    </row>
    <row r="287">
      <c r="A287" s="29" t="str">
        <f>'MASTER STOCK'!F284</f>
        <v>Tutup  skring</v>
      </c>
      <c r="B287" s="30">
        <f>'AGS 25'!AJ287:AJ649</f>
        <v>14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23">
        <f t="shared" si="3"/>
        <v>0</v>
      </c>
      <c r="AI287" s="24">
        <v>0.0</v>
      </c>
      <c r="AJ287" s="32">
        <f t="shared" si="4"/>
        <v>14</v>
      </c>
      <c r="AK287" s="32">
        <f t="shared" si="5"/>
        <v>14</v>
      </c>
      <c r="AL287" s="25">
        <f>'MASTER STOCK'!I284</f>
        <v>3500</v>
      </c>
      <c r="AM287" s="27">
        <f>'MASTER STOCK'!L284</f>
        <v>3500</v>
      </c>
      <c r="AN287" s="27">
        <f t="shared" si="6"/>
        <v>0</v>
      </c>
      <c r="AO287" s="27">
        <f t="shared" si="7"/>
        <v>0</v>
      </c>
      <c r="AP287" s="25">
        <f t="shared" si="8"/>
        <v>0</v>
      </c>
      <c r="AQ287" s="10"/>
    </row>
    <row r="288">
      <c r="A288" s="29" t="str">
        <f>'MASTER STOCK'!F285</f>
        <v>kabel serabut 0.75 mm</v>
      </c>
      <c r="B288" s="30">
        <f>'AGS 25'!AJ288:AJ650</f>
        <v>0.5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23">
        <f t="shared" si="3"/>
        <v>0</v>
      </c>
      <c r="AI288" s="24">
        <v>0.0</v>
      </c>
      <c r="AJ288" s="32">
        <f t="shared" si="4"/>
        <v>0.5</v>
      </c>
      <c r="AK288" s="32">
        <f t="shared" si="5"/>
        <v>0.5</v>
      </c>
      <c r="AL288" s="25">
        <f>'MASTER STOCK'!I285</f>
        <v>2000</v>
      </c>
      <c r="AM288" s="27">
        <f>'MASTER STOCK'!L285</f>
        <v>2000</v>
      </c>
      <c r="AN288" s="27">
        <f t="shared" si="6"/>
        <v>0</v>
      </c>
      <c r="AO288" s="27">
        <f t="shared" si="7"/>
        <v>0</v>
      </c>
      <c r="AP288" s="25">
        <f t="shared" si="8"/>
        <v>0</v>
      </c>
      <c r="AQ288" s="10"/>
    </row>
    <row r="289">
      <c r="A289" s="29" t="str">
        <f>'MASTER STOCK'!F286</f>
        <v>Steker Gepeng</v>
      </c>
      <c r="B289" s="30">
        <f>'AGS 25'!AJ289:AJ651</f>
        <v>6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23">
        <f t="shared" si="3"/>
        <v>0</v>
      </c>
      <c r="AI289" s="24">
        <v>0.0</v>
      </c>
      <c r="AJ289" s="32">
        <f t="shared" si="4"/>
        <v>6</v>
      </c>
      <c r="AK289" s="32">
        <f t="shared" si="5"/>
        <v>6</v>
      </c>
      <c r="AL289" s="25">
        <f>'MASTER STOCK'!I286</f>
        <v>4000</v>
      </c>
      <c r="AM289" s="27">
        <f>'MASTER STOCK'!L286</f>
        <v>4000</v>
      </c>
      <c r="AN289" s="27">
        <f t="shared" si="6"/>
        <v>0</v>
      </c>
      <c r="AO289" s="27">
        <f t="shared" si="7"/>
        <v>0</v>
      </c>
      <c r="AP289" s="25">
        <f t="shared" si="8"/>
        <v>0</v>
      </c>
      <c r="AQ289" s="10"/>
    </row>
    <row r="290">
      <c r="A290" s="29" t="str">
        <f>'MASTER STOCK'!F287</f>
        <v>Skalar Tunggal</v>
      </c>
      <c r="B290" s="30">
        <f>'AGS 25'!AJ290:AJ652</f>
        <v>3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23">
        <f t="shared" si="3"/>
        <v>0</v>
      </c>
      <c r="AI290" s="24">
        <v>0.0</v>
      </c>
      <c r="AJ290" s="32">
        <f t="shared" si="4"/>
        <v>3</v>
      </c>
      <c r="AK290" s="32">
        <f t="shared" si="5"/>
        <v>3</v>
      </c>
      <c r="AL290" s="25">
        <f>'MASTER STOCK'!I287</f>
        <v>6500</v>
      </c>
      <c r="AM290" s="27">
        <f>'MASTER STOCK'!L287</f>
        <v>6500</v>
      </c>
      <c r="AN290" s="27">
        <f t="shared" si="6"/>
        <v>0</v>
      </c>
      <c r="AO290" s="27">
        <f t="shared" si="7"/>
        <v>0</v>
      </c>
      <c r="AP290" s="25">
        <f t="shared" si="8"/>
        <v>0</v>
      </c>
      <c r="AQ290" s="10"/>
    </row>
    <row r="291">
      <c r="A291" s="29" t="str">
        <f>'MASTER STOCK'!F288</f>
        <v>Saklar Ganda</v>
      </c>
      <c r="B291" s="30">
        <f>'AGS 25'!AJ291:AJ653</f>
        <v>3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23">
        <f t="shared" si="3"/>
        <v>0</v>
      </c>
      <c r="AI291" s="24">
        <v>0.0</v>
      </c>
      <c r="AJ291" s="32">
        <f t="shared" si="4"/>
        <v>3</v>
      </c>
      <c r="AK291" s="32">
        <f t="shared" si="5"/>
        <v>3</v>
      </c>
      <c r="AL291" s="25">
        <f>'MASTER STOCK'!I288</f>
        <v>8000</v>
      </c>
      <c r="AM291" s="27">
        <f>'MASTER STOCK'!L288</f>
        <v>8000</v>
      </c>
      <c r="AN291" s="27">
        <f t="shared" si="6"/>
        <v>0</v>
      </c>
      <c r="AO291" s="27">
        <f t="shared" si="7"/>
        <v>0</v>
      </c>
      <c r="AP291" s="25">
        <f t="shared" si="8"/>
        <v>0</v>
      </c>
      <c r="AQ291" s="10"/>
    </row>
    <row r="292">
      <c r="A292" s="29" t="str">
        <f>'MASTER STOCK'!F289</f>
        <v>Kabel audio 2 x 1 1/2</v>
      </c>
      <c r="B292" s="30">
        <f>'AGS 25'!AJ292:AJ654</f>
        <v>100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23">
        <f t="shared" si="3"/>
        <v>0</v>
      </c>
      <c r="AI292" s="24">
        <v>0.0</v>
      </c>
      <c r="AJ292" s="32">
        <f t="shared" si="4"/>
        <v>100</v>
      </c>
      <c r="AK292" s="32">
        <f t="shared" si="5"/>
        <v>100</v>
      </c>
      <c r="AL292" s="25">
        <f>'MASTER STOCK'!I289</f>
        <v>3000</v>
      </c>
      <c r="AM292" s="27">
        <f>'MASTER STOCK'!L289</f>
        <v>3000</v>
      </c>
      <c r="AN292" s="27">
        <f t="shared" si="6"/>
        <v>0</v>
      </c>
      <c r="AO292" s="27">
        <f t="shared" si="7"/>
        <v>0</v>
      </c>
      <c r="AP292" s="25">
        <f t="shared" si="8"/>
        <v>0</v>
      </c>
      <c r="AQ292" s="10"/>
    </row>
    <row r="293">
      <c r="A293" s="29" t="str">
        <f>'MASTER STOCK'!F290</f>
        <v>Skalar Triple</v>
      </c>
      <c r="B293" s="30">
        <f>'AGS 25'!AJ293:AJ655</f>
        <v>2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23">
        <f t="shared" si="3"/>
        <v>0</v>
      </c>
      <c r="AI293" s="24">
        <v>0.0</v>
      </c>
      <c r="AJ293" s="32">
        <f t="shared" si="4"/>
        <v>2</v>
      </c>
      <c r="AK293" s="32">
        <f t="shared" si="5"/>
        <v>2</v>
      </c>
      <c r="AL293" s="25">
        <f>'MASTER STOCK'!I290</f>
        <v>35000</v>
      </c>
      <c r="AM293" s="27">
        <f>'MASTER STOCK'!L290</f>
        <v>35000</v>
      </c>
      <c r="AN293" s="27">
        <f t="shared" si="6"/>
        <v>0</v>
      </c>
      <c r="AO293" s="27">
        <f t="shared" si="7"/>
        <v>0</v>
      </c>
      <c r="AP293" s="25">
        <f t="shared" si="8"/>
        <v>0</v>
      </c>
      <c r="AQ293" s="10"/>
    </row>
    <row r="294">
      <c r="A294" s="29" t="str">
        <f>'MASTER STOCK'!F291</f>
        <v>Senter</v>
      </c>
      <c r="B294" s="30">
        <f>'AGS 25'!AJ294:AJ656</f>
        <v>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23">
        <f t="shared" si="3"/>
        <v>0</v>
      </c>
      <c r="AI294" s="24">
        <v>0.0</v>
      </c>
      <c r="AJ294" s="32">
        <f t="shared" si="4"/>
        <v>1</v>
      </c>
      <c r="AK294" s="32">
        <f t="shared" si="5"/>
        <v>1</v>
      </c>
      <c r="AL294" s="25">
        <f>'MASTER STOCK'!I291</f>
        <v>25000</v>
      </c>
      <c r="AM294" s="27">
        <f>'MASTER STOCK'!L291</f>
        <v>25000</v>
      </c>
      <c r="AN294" s="27">
        <f t="shared" si="6"/>
        <v>0</v>
      </c>
      <c r="AO294" s="27">
        <f t="shared" si="7"/>
        <v>0</v>
      </c>
      <c r="AP294" s="25">
        <f t="shared" si="8"/>
        <v>0</v>
      </c>
      <c r="AQ294" s="10"/>
    </row>
    <row r="295">
      <c r="A295" s="29" t="str">
        <f>'MASTER STOCK'!F292</f>
        <v>Fittingan</v>
      </c>
      <c r="B295" s="30">
        <f>'AGS 25'!AJ295:AJ657</f>
        <v>7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23">
        <f t="shared" si="3"/>
        <v>0</v>
      </c>
      <c r="AI295" s="24">
        <v>0.0</v>
      </c>
      <c r="AJ295" s="32">
        <f t="shared" si="4"/>
        <v>7</v>
      </c>
      <c r="AK295" s="32">
        <f t="shared" si="5"/>
        <v>7</v>
      </c>
      <c r="AL295" s="25">
        <f>'MASTER STOCK'!I292</f>
        <v>5000</v>
      </c>
      <c r="AM295" s="27">
        <f>'MASTER STOCK'!L292</f>
        <v>5000</v>
      </c>
      <c r="AN295" s="27">
        <f t="shared" si="6"/>
        <v>0</v>
      </c>
      <c r="AO295" s="27">
        <f t="shared" si="7"/>
        <v>0</v>
      </c>
      <c r="AP295" s="25">
        <f t="shared" si="8"/>
        <v>0</v>
      </c>
      <c r="AQ295" s="10"/>
    </row>
    <row r="296">
      <c r="A296" s="29" t="str">
        <f>'MASTER STOCK'!F293</f>
        <v>Fittingan bagus</v>
      </c>
      <c r="B296" s="30">
        <f>'AGS 25'!AJ296:AJ658</f>
        <v>2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23">
        <f t="shared" si="3"/>
        <v>0</v>
      </c>
      <c r="AI296" s="24">
        <v>0.0</v>
      </c>
      <c r="AJ296" s="32">
        <f t="shared" si="4"/>
        <v>2</v>
      </c>
      <c r="AK296" s="32">
        <f t="shared" si="5"/>
        <v>2</v>
      </c>
      <c r="AL296" s="25">
        <f>'MASTER STOCK'!I293</f>
        <v>9000</v>
      </c>
      <c r="AM296" s="27">
        <f>'MASTER STOCK'!L293</f>
        <v>9000</v>
      </c>
      <c r="AN296" s="27">
        <f t="shared" si="6"/>
        <v>0</v>
      </c>
      <c r="AO296" s="27">
        <f t="shared" si="7"/>
        <v>0</v>
      </c>
      <c r="AP296" s="25">
        <f t="shared" si="8"/>
        <v>0</v>
      </c>
      <c r="AQ296" s="10"/>
    </row>
    <row r="297">
      <c r="A297" s="29" t="str">
        <f>'MASTER STOCK'!F294</f>
        <v>Kassa gibsum</v>
      </c>
      <c r="B297" s="30">
        <f>'AGS 25'!AJ297:AJ659</f>
        <v>3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23">
        <f t="shared" si="3"/>
        <v>0</v>
      </c>
      <c r="AI297" s="24">
        <v>0.0</v>
      </c>
      <c r="AJ297" s="32">
        <f t="shared" si="4"/>
        <v>3</v>
      </c>
      <c r="AK297" s="32">
        <f t="shared" si="5"/>
        <v>3</v>
      </c>
      <c r="AL297" s="25">
        <f>'MASTER STOCK'!I294</f>
        <v>7000</v>
      </c>
      <c r="AM297" s="27">
        <f>'MASTER STOCK'!L294</f>
        <v>7000</v>
      </c>
      <c r="AN297" s="27">
        <f t="shared" si="6"/>
        <v>0</v>
      </c>
      <c r="AO297" s="27">
        <f t="shared" si="7"/>
        <v>0</v>
      </c>
      <c r="AP297" s="25">
        <f t="shared" si="8"/>
        <v>0</v>
      </c>
      <c r="AQ297" s="10"/>
    </row>
    <row r="298">
      <c r="A298" s="29" t="str">
        <f>'MASTER STOCK'!F295</f>
        <v>Lampu Tidur</v>
      </c>
      <c r="B298" s="30">
        <f>'AGS 25'!AJ298:AJ660</f>
        <v>2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23">
        <f t="shared" si="3"/>
        <v>0</v>
      </c>
      <c r="AI298" s="24">
        <v>0.0</v>
      </c>
      <c r="AJ298" s="32">
        <f t="shared" si="4"/>
        <v>2</v>
      </c>
      <c r="AK298" s="32">
        <f t="shared" si="5"/>
        <v>2</v>
      </c>
      <c r="AL298" s="25">
        <f>'MASTER STOCK'!I295</f>
        <v>8000</v>
      </c>
      <c r="AM298" s="27">
        <f>'MASTER STOCK'!L295</f>
        <v>8000</v>
      </c>
      <c r="AN298" s="27">
        <f t="shared" si="6"/>
        <v>0</v>
      </c>
      <c r="AO298" s="27">
        <f t="shared" si="7"/>
        <v>0</v>
      </c>
      <c r="AP298" s="25">
        <f t="shared" si="8"/>
        <v>0</v>
      </c>
      <c r="AQ298" s="10"/>
    </row>
    <row r="299">
      <c r="A299" s="29" t="str">
        <f>'MASTER STOCK'!F296</f>
        <v>Steker Bulat</v>
      </c>
      <c r="B299" s="30">
        <f>'AGS 25'!AJ299:AJ661</f>
        <v>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23">
        <f t="shared" si="3"/>
        <v>0</v>
      </c>
      <c r="AI299" s="24">
        <v>0.0</v>
      </c>
      <c r="AJ299" s="32">
        <f t="shared" si="4"/>
        <v>1</v>
      </c>
      <c r="AK299" s="32">
        <f t="shared" si="5"/>
        <v>1</v>
      </c>
      <c r="AL299" s="25">
        <f>'MASTER STOCK'!I296</f>
        <v>6000</v>
      </c>
      <c r="AM299" s="27">
        <f>'MASTER STOCK'!L296</f>
        <v>6000</v>
      </c>
      <c r="AN299" s="27">
        <f t="shared" si="6"/>
        <v>0</v>
      </c>
      <c r="AO299" s="27">
        <f t="shared" si="7"/>
        <v>0</v>
      </c>
      <c r="AP299" s="25">
        <f t="shared" si="8"/>
        <v>0</v>
      </c>
      <c r="AQ299" s="10"/>
    </row>
    <row r="300">
      <c r="A300" s="29" t="str">
        <f>'MASTER STOCK'!F297</f>
        <v>Soket Lampu</v>
      </c>
      <c r="B300" s="30">
        <f>'AGS 25'!AJ300:AJ662</f>
        <v>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23">
        <f t="shared" si="3"/>
        <v>0</v>
      </c>
      <c r="AI300" s="24">
        <v>0.0</v>
      </c>
      <c r="AJ300" s="32">
        <f t="shared" si="4"/>
        <v>1</v>
      </c>
      <c r="AK300" s="32">
        <f t="shared" si="5"/>
        <v>1</v>
      </c>
      <c r="AL300" s="25">
        <f>'MASTER STOCK'!I297</f>
        <v>11000</v>
      </c>
      <c r="AM300" s="27">
        <f>'MASTER STOCK'!L297</f>
        <v>11000</v>
      </c>
      <c r="AN300" s="27">
        <f t="shared" si="6"/>
        <v>0</v>
      </c>
      <c r="AO300" s="27">
        <f t="shared" si="7"/>
        <v>0</v>
      </c>
      <c r="AP300" s="25">
        <f t="shared" si="8"/>
        <v>0</v>
      </c>
      <c r="AQ300" s="10"/>
    </row>
    <row r="301">
      <c r="A301" s="29" t="str">
        <f>'MASTER STOCK'!F298</f>
        <v>Sarung tangan kain</v>
      </c>
      <c r="B301" s="30">
        <f>'AGS 25'!AJ301:AJ663</f>
        <v>16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23">
        <f t="shared" si="3"/>
        <v>0</v>
      </c>
      <c r="AI301" s="24">
        <v>0.0</v>
      </c>
      <c r="AJ301" s="32">
        <f t="shared" si="4"/>
        <v>16</v>
      </c>
      <c r="AK301" s="32">
        <f t="shared" si="5"/>
        <v>16</v>
      </c>
      <c r="AL301" s="25">
        <f>'MASTER STOCK'!I298</f>
        <v>6000</v>
      </c>
      <c r="AM301" s="27">
        <f>'MASTER STOCK'!L298</f>
        <v>6000</v>
      </c>
      <c r="AN301" s="27">
        <f t="shared" si="6"/>
        <v>0</v>
      </c>
      <c r="AO301" s="27">
        <f t="shared" si="7"/>
        <v>0</v>
      </c>
      <c r="AP301" s="25">
        <f t="shared" si="8"/>
        <v>0</v>
      </c>
      <c r="AQ301" s="10"/>
    </row>
    <row r="302">
      <c r="A302" s="29" t="str">
        <f>'MASTER STOCK'!F299</f>
        <v>Grendel Double</v>
      </c>
      <c r="B302" s="30">
        <f>'AGS 25'!AJ302:AJ664</f>
        <v>2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23">
        <f t="shared" si="3"/>
        <v>0</v>
      </c>
      <c r="AI302" s="24">
        <v>0.0</v>
      </c>
      <c r="AJ302" s="32">
        <f t="shared" si="4"/>
        <v>2</v>
      </c>
      <c r="AK302" s="32">
        <f t="shared" si="5"/>
        <v>2</v>
      </c>
      <c r="AL302" s="25">
        <f>'MASTER STOCK'!I299</f>
        <v>0</v>
      </c>
      <c r="AM302" s="27">
        <f>'MASTER STOCK'!L299</f>
        <v>0</v>
      </c>
      <c r="AN302" s="27">
        <f t="shared" si="6"/>
        <v>0</v>
      </c>
      <c r="AO302" s="27">
        <f t="shared" si="7"/>
        <v>0</v>
      </c>
      <c r="AP302" s="25">
        <f t="shared" si="8"/>
        <v>0</v>
      </c>
      <c r="AQ302" s="10"/>
    </row>
    <row r="303">
      <c r="A303" s="29" t="str">
        <f>'MASTER STOCK'!F300</f>
        <v>Kunci Oval pintu</v>
      </c>
      <c r="B303" s="30">
        <f>'AGS 25'!AJ303:AJ665</f>
        <v>2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23">
        <f t="shared" si="3"/>
        <v>0</v>
      </c>
      <c r="AI303" s="24">
        <v>0.0</v>
      </c>
      <c r="AJ303" s="32">
        <f t="shared" si="4"/>
        <v>2</v>
      </c>
      <c r="AK303" s="32">
        <f t="shared" si="5"/>
        <v>2</v>
      </c>
      <c r="AL303" s="25">
        <f>'MASTER STOCK'!I300</f>
        <v>0</v>
      </c>
      <c r="AM303" s="27">
        <f>'MASTER STOCK'!L300</f>
        <v>0</v>
      </c>
      <c r="AN303" s="27">
        <f t="shared" si="6"/>
        <v>0</v>
      </c>
      <c r="AO303" s="27">
        <f t="shared" si="7"/>
        <v>0</v>
      </c>
      <c r="AP303" s="25">
        <f t="shared" si="8"/>
        <v>0</v>
      </c>
      <c r="AQ303" s="10"/>
    </row>
    <row r="304">
      <c r="A304" s="29" t="str">
        <f>'MASTER STOCK'!F301</f>
        <v>Benang ris  sedang</v>
      </c>
      <c r="B304" s="30">
        <f>'AGS 25'!AJ304:AJ666</f>
        <v>4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23">
        <f t="shared" si="3"/>
        <v>0</v>
      </c>
      <c r="AI304" s="24">
        <v>0.0</v>
      </c>
      <c r="AJ304" s="32">
        <f t="shared" si="4"/>
        <v>4</v>
      </c>
      <c r="AK304" s="32">
        <f t="shared" si="5"/>
        <v>4</v>
      </c>
      <c r="AL304" s="25">
        <f>'MASTER STOCK'!I301</f>
        <v>5000</v>
      </c>
      <c r="AM304" s="27">
        <f>'MASTER STOCK'!L301</f>
        <v>5000</v>
      </c>
      <c r="AN304" s="27">
        <f t="shared" si="6"/>
        <v>0</v>
      </c>
      <c r="AO304" s="27">
        <f t="shared" si="7"/>
        <v>0</v>
      </c>
      <c r="AP304" s="25">
        <f t="shared" si="8"/>
        <v>0</v>
      </c>
      <c r="AQ304" s="10"/>
    </row>
    <row r="305">
      <c r="A305" s="29" t="str">
        <f>'MASTER STOCK'!F302</f>
        <v>Jepitan Udang grendel</v>
      </c>
      <c r="B305" s="30">
        <f>'AGS 25'!AJ305:AJ667</f>
        <v>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23">
        <f t="shared" si="3"/>
        <v>0</v>
      </c>
      <c r="AI305" s="24">
        <v>0.0</v>
      </c>
      <c r="AJ305" s="32">
        <f t="shared" si="4"/>
        <v>1</v>
      </c>
      <c r="AK305" s="32">
        <f t="shared" si="5"/>
        <v>1</v>
      </c>
      <c r="AL305" s="25">
        <f>'MASTER STOCK'!I302</f>
        <v>0</v>
      </c>
      <c r="AM305" s="27">
        <f>'MASTER STOCK'!L302</f>
        <v>0</v>
      </c>
      <c r="AN305" s="27">
        <f t="shared" si="6"/>
        <v>0</v>
      </c>
      <c r="AO305" s="27">
        <f t="shared" si="7"/>
        <v>0</v>
      </c>
      <c r="AP305" s="25">
        <f t="shared" si="8"/>
        <v>0</v>
      </c>
      <c r="AQ305" s="10"/>
    </row>
    <row r="306">
      <c r="A306" s="29" t="str">
        <f>'MASTER STOCK'!F303</f>
        <v>Cengkal jendela panjang lurus</v>
      </c>
      <c r="B306" s="30">
        <f>'AGS 25'!AJ306:AJ668</f>
        <v>4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23">
        <f t="shared" si="3"/>
        <v>0</v>
      </c>
      <c r="AI306" s="24">
        <v>0.0</v>
      </c>
      <c r="AJ306" s="32">
        <f t="shared" si="4"/>
        <v>4</v>
      </c>
      <c r="AK306" s="32">
        <f t="shared" si="5"/>
        <v>4</v>
      </c>
      <c r="AL306" s="25">
        <f>'MASTER STOCK'!I303</f>
        <v>11000</v>
      </c>
      <c r="AM306" s="27">
        <f>'MASTER STOCK'!L303</f>
        <v>11000</v>
      </c>
      <c r="AN306" s="27">
        <f t="shared" si="6"/>
        <v>0</v>
      </c>
      <c r="AO306" s="27">
        <f t="shared" si="7"/>
        <v>0</v>
      </c>
      <c r="AP306" s="25">
        <f t="shared" si="8"/>
        <v>0</v>
      </c>
      <c r="AQ306" s="10"/>
    </row>
    <row r="307">
      <c r="A307" s="29" t="str">
        <f>'MASTER STOCK'!F304</f>
        <v>Gagang Pintu</v>
      </c>
      <c r="B307" s="30">
        <f>'AGS 25'!AJ307:AJ669</f>
        <v>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23">
        <f t="shared" si="3"/>
        <v>0</v>
      </c>
      <c r="AI307" s="24">
        <v>0.0</v>
      </c>
      <c r="AJ307" s="32">
        <f t="shared" si="4"/>
        <v>1</v>
      </c>
      <c r="AK307" s="32">
        <f t="shared" si="5"/>
        <v>1</v>
      </c>
      <c r="AL307" s="25">
        <f>'MASTER STOCK'!I304</f>
        <v>18000</v>
      </c>
      <c r="AM307" s="27">
        <f>'MASTER STOCK'!L304</f>
        <v>18000</v>
      </c>
      <c r="AN307" s="27">
        <f t="shared" si="6"/>
        <v>0</v>
      </c>
      <c r="AO307" s="27">
        <f t="shared" si="7"/>
        <v>0</v>
      </c>
      <c r="AP307" s="25">
        <f t="shared" si="8"/>
        <v>0</v>
      </c>
      <c r="AQ307" s="10"/>
    </row>
    <row r="308">
      <c r="A308" s="29" t="str">
        <f>'MASTER STOCK'!F305</f>
        <v>Sekrup  3cm</v>
      </c>
      <c r="B308" s="30">
        <f>'AGS 25'!AJ308:AJ670</f>
        <v>20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23">
        <f t="shared" si="3"/>
        <v>0</v>
      </c>
      <c r="AI308" s="24">
        <v>0.0</v>
      </c>
      <c r="AJ308" s="32">
        <f t="shared" si="4"/>
        <v>20</v>
      </c>
      <c r="AK308" s="32">
        <f t="shared" si="5"/>
        <v>20</v>
      </c>
      <c r="AL308" s="25">
        <f>'MASTER STOCK'!I305</f>
        <v>0</v>
      </c>
      <c r="AM308" s="27">
        <f>'MASTER STOCK'!L305</f>
        <v>0</v>
      </c>
      <c r="AN308" s="27">
        <f t="shared" si="6"/>
        <v>0</v>
      </c>
      <c r="AO308" s="27">
        <f t="shared" si="7"/>
        <v>0</v>
      </c>
      <c r="AP308" s="25">
        <f t="shared" si="8"/>
        <v>0</v>
      </c>
      <c r="AQ308" s="10"/>
    </row>
    <row r="309">
      <c r="A309" s="29" t="str">
        <f>'MASTER STOCK'!F306</f>
        <v>Sekrup  2.5</v>
      </c>
      <c r="B309" s="30">
        <f>'AGS 25'!AJ309:AJ671</f>
        <v>10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23">
        <f t="shared" si="3"/>
        <v>0</v>
      </c>
      <c r="AI309" s="24">
        <v>0.0</v>
      </c>
      <c r="AJ309" s="32">
        <f t="shared" si="4"/>
        <v>10</v>
      </c>
      <c r="AK309" s="32">
        <f t="shared" si="5"/>
        <v>10</v>
      </c>
      <c r="AL309" s="25">
        <f>'MASTER STOCK'!I306</f>
        <v>0</v>
      </c>
      <c r="AM309" s="27">
        <f>'MASTER STOCK'!L306</f>
        <v>0</v>
      </c>
      <c r="AN309" s="27">
        <f t="shared" si="6"/>
        <v>0</v>
      </c>
      <c r="AO309" s="27">
        <f t="shared" si="7"/>
        <v>0</v>
      </c>
      <c r="AP309" s="25">
        <f t="shared" si="8"/>
        <v>0</v>
      </c>
      <c r="AQ309" s="10"/>
    </row>
    <row r="310">
      <c r="A310" s="29" t="str">
        <f>'MASTER STOCK'!F307</f>
        <v>Roda etalase</v>
      </c>
      <c r="B310" s="30">
        <f>'AGS 25'!AJ310:AJ672</f>
        <v>4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23">
        <f t="shared" si="3"/>
        <v>0</v>
      </c>
      <c r="AI310" s="24">
        <v>0.0</v>
      </c>
      <c r="AJ310" s="32">
        <f t="shared" si="4"/>
        <v>4</v>
      </c>
      <c r="AK310" s="32">
        <f t="shared" si="5"/>
        <v>4</v>
      </c>
      <c r="AL310" s="25">
        <f>'MASTER STOCK'!I307</f>
        <v>35000</v>
      </c>
      <c r="AM310" s="27">
        <f>'MASTER STOCK'!L307</f>
        <v>35000</v>
      </c>
      <c r="AN310" s="27">
        <f t="shared" si="6"/>
        <v>0</v>
      </c>
      <c r="AO310" s="27">
        <f t="shared" si="7"/>
        <v>0</v>
      </c>
      <c r="AP310" s="25">
        <f t="shared" si="8"/>
        <v>0</v>
      </c>
      <c r="AQ310" s="10"/>
    </row>
    <row r="311">
      <c r="A311" s="29" t="str">
        <f>'MASTER STOCK'!F308</f>
        <v>Gagang pintu besi  besar</v>
      </c>
      <c r="B311" s="30">
        <f>'AGS 25'!AJ311:AJ673</f>
        <v>7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23">
        <f t="shared" si="3"/>
        <v>0</v>
      </c>
      <c r="AI311" s="24">
        <v>0.0</v>
      </c>
      <c r="AJ311" s="32">
        <f t="shared" si="4"/>
        <v>7</v>
      </c>
      <c r="AK311" s="32">
        <f t="shared" si="5"/>
        <v>7</v>
      </c>
      <c r="AL311" s="25">
        <f>'MASTER STOCK'!I308</f>
        <v>4500</v>
      </c>
      <c r="AM311" s="27">
        <f>'MASTER STOCK'!L308</f>
        <v>4500</v>
      </c>
      <c r="AN311" s="27">
        <f t="shared" si="6"/>
        <v>0</v>
      </c>
      <c r="AO311" s="27">
        <f t="shared" si="7"/>
        <v>0</v>
      </c>
      <c r="AP311" s="25">
        <f t="shared" si="8"/>
        <v>0</v>
      </c>
      <c r="AQ311" s="10"/>
    </row>
    <row r="312">
      <c r="A312" s="29" t="str">
        <f>'MASTER STOCK'!F309</f>
        <v>Gagang pintu besi  Kecil</v>
      </c>
      <c r="B312" s="30">
        <f>'AGS 25'!AJ312:AJ674</f>
        <v>2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23">
        <f t="shared" si="3"/>
        <v>0</v>
      </c>
      <c r="AI312" s="24">
        <v>0.0</v>
      </c>
      <c r="AJ312" s="32">
        <f t="shared" si="4"/>
        <v>2</v>
      </c>
      <c r="AK312" s="32">
        <f t="shared" si="5"/>
        <v>2</v>
      </c>
      <c r="AL312" s="25">
        <f>'MASTER STOCK'!I309</f>
        <v>2000</v>
      </c>
      <c r="AM312" s="27">
        <f>'MASTER STOCK'!L309</f>
        <v>2000</v>
      </c>
      <c r="AN312" s="27">
        <f t="shared" si="6"/>
        <v>0</v>
      </c>
      <c r="AO312" s="27">
        <f t="shared" si="7"/>
        <v>0</v>
      </c>
      <c r="AP312" s="25">
        <f t="shared" si="8"/>
        <v>0</v>
      </c>
      <c r="AQ312" s="10"/>
    </row>
    <row r="313">
      <c r="A313" s="29" t="str">
        <f>'MASTER STOCK'!F310</f>
        <v>Sekrup  6 x 1</v>
      </c>
      <c r="B313" s="30">
        <f>'AGS 25'!AJ313:AJ675</f>
        <v>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23">
        <f t="shared" si="3"/>
        <v>0</v>
      </c>
      <c r="AI313" s="24">
        <v>0.0</v>
      </c>
      <c r="AJ313" s="32">
        <f t="shared" si="4"/>
        <v>1</v>
      </c>
      <c r="AK313" s="32">
        <f t="shared" si="5"/>
        <v>1</v>
      </c>
      <c r="AL313" s="25">
        <f>'MASTER STOCK'!I310</f>
        <v>0</v>
      </c>
      <c r="AM313" s="27">
        <f>'MASTER STOCK'!L310</f>
        <v>0</v>
      </c>
      <c r="AN313" s="27">
        <f t="shared" si="6"/>
        <v>0</v>
      </c>
      <c r="AO313" s="27">
        <f t="shared" si="7"/>
        <v>0</v>
      </c>
      <c r="AP313" s="25">
        <f t="shared" si="8"/>
        <v>0</v>
      </c>
      <c r="AQ313" s="10"/>
    </row>
    <row r="314">
      <c r="A314" s="29" t="str">
        <f>'MASTER STOCK'!F311</f>
        <v>Klem kabel  8 mm</v>
      </c>
      <c r="B314" s="30">
        <f>'AGS 25'!AJ314:AJ676</f>
        <v>4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23">
        <f t="shared" si="3"/>
        <v>0</v>
      </c>
      <c r="AI314" s="24">
        <v>0.0</v>
      </c>
      <c r="AJ314" s="32">
        <f t="shared" si="4"/>
        <v>4</v>
      </c>
      <c r="AK314" s="32">
        <f t="shared" si="5"/>
        <v>4</v>
      </c>
      <c r="AL314" s="25">
        <f>'MASTER STOCK'!I311</f>
        <v>14000</v>
      </c>
      <c r="AM314" s="27">
        <f>'MASTER STOCK'!L311</f>
        <v>14000</v>
      </c>
      <c r="AN314" s="27">
        <f t="shared" si="6"/>
        <v>0</v>
      </c>
      <c r="AO314" s="27">
        <f t="shared" si="7"/>
        <v>0</v>
      </c>
      <c r="AP314" s="25">
        <f t="shared" si="8"/>
        <v>0</v>
      </c>
      <c r="AQ314" s="10"/>
    </row>
    <row r="315">
      <c r="A315" s="29" t="str">
        <f>'MASTER STOCK'!F312</f>
        <v>Klem kabel  9 mm</v>
      </c>
      <c r="B315" s="30">
        <f>'AGS 25'!AJ315:AJ677</f>
        <v>2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23">
        <f t="shared" si="3"/>
        <v>0</v>
      </c>
      <c r="AI315" s="24">
        <v>0.0</v>
      </c>
      <c r="AJ315" s="32">
        <f t="shared" si="4"/>
        <v>2</v>
      </c>
      <c r="AK315" s="32">
        <f t="shared" si="5"/>
        <v>2</v>
      </c>
      <c r="AL315" s="25">
        <f>'MASTER STOCK'!I312</f>
        <v>14000</v>
      </c>
      <c r="AM315" s="27">
        <f>'MASTER STOCK'!L312</f>
        <v>14000</v>
      </c>
      <c r="AN315" s="27">
        <f t="shared" si="6"/>
        <v>0</v>
      </c>
      <c r="AO315" s="27">
        <f t="shared" si="7"/>
        <v>0</v>
      </c>
      <c r="AP315" s="25">
        <f t="shared" si="8"/>
        <v>0</v>
      </c>
      <c r="AQ315" s="10"/>
    </row>
    <row r="316">
      <c r="A316" s="29" t="str">
        <f>'MASTER STOCK'!F313</f>
        <v>Fishcer 8 mm</v>
      </c>
      <c r="B316" s="30">
        <f>'AGS 25'!AJ316:AJ678</f>
        <v>4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23">
        <f t="shared" si="3"/>
        <v>0</v>
      </c>
      <c r="AI316" s="24">
        <v>0.0</v>
      </c>
      <c r="AJ316" s="32">
        <f t="shared" si="4"/>
        <v>4</v>
      </c>
      <c r="AK316" s="32">
        <f t="shared" si="5"/>
        <v>4</v>
      </c>
      <c r="AL316" s="25">
        <f>'MASTER STOCK'!I313</f>
        <v>15000</v>
      </c>
      <c r="AM316" s="27">
        <f>'MASTER STOCK'!L313</f>
        <v>15000</v>
      </c>
      <c r="AN316" s="27">
        <f t="shared" si="6"/>
        <v>0</v>
      </c>
      <c r="AO316" s="27">
        <f t="shared" si="7"/>
        <v>0</v>
      </c>
      <c r="AP316" s="25">
        <f t="shared" si="8"/>
        <v>0</v>
      </c>
      <c r="AQ316" s="10"/>
    </row>
    <row r="317">
      <c r="A317" s="29" t="str">
        <f>'MASTER STOCK'!F314</f>
        <v>Fishcer 5 mm</v>
      </c>
      <c r="B317" s="30">
        <f>'AGS 25'!AJ317:AJ679</f>
        <v>3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23">
        <f t="shared" si="3"/>
        <v>0</v>
      </c>
      <c r="AI317" s="24">
        <v>0.0</v>
      </c>
      <c r="AJ317" s="32">
        <f t="shared" si="4"/>
        <v>3</v>
      </c>
      <c r="AK317" s="32">
        <f t="shared" si="5"/>
        <v>3</v>
      </c>
      <c r="AL317" s="25">
        <f>'MASTER STOCK'!I314</f>
        <v>10000</v>
      </c>
      <c r="AM317" s="27">
        <f>'MASTER STOCK'!L314</f>
        <v>10000</v>
      </c>
      <c r="AN317" s="27">
        <f t="shared" si="6"/>
        <v>0</v>
      </c>
      <c r="AO317" s="27">
        <f t="shared" si="7"/>
        <v>0</v>
      </c>
      <c r="AP317" s="25">
        <f t="shared" si="8"/>
        <v>0</v>
      </c>
      <c r="AQ317" s="10"/>
    </row>
    <row r="318">
      <c r="A318" s="29" t="str">
        <f>'MASTER STOCK'!F315</f>
        <v>Kran besi 3/4</v>
      </c>
      <c r="B318" s="30">
        <f>'AGS 25'!AJ318:AJ680</f>
        <v>2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23">
        <f t="shared" si="3"/>
        <v>0</v>
      </c>
      <c r="AI318" s="24">
        <v>0.0</v>
      </c>
      <c r="AJ318" s="32">
        <f t="shared" si="4"/>
        <v>2</v>
      </c>
      <c r="AK318" s="32">
        <f t="shared" si="5"/>
        <v>2</v>
      </c>
      <c r="AL318" s="25">
        <f>'MASTER STOCK'!I315</f>
        <v>27500</v>
      </c>
      <c r="AM318" s="27">
        <f>'MASTER STOCK'!L315</f>
        <v>27500</v>
      </c>
      <c r="AN318" s="27">
        <f t="shared" si="6"/>
        <v>0</v>
      </c>
      <c r="AO318" s="27">
        <f t="shared" si="7"/>
        <v>0</v>
      </c>
      <c r="AP318" s="25">
        <f t="shared" si="8"/>
        <v>0</v>
      </c>
      <c r="AQ318" s="10"/>
    </row>
    <row r="319">
      <c r="A319" s="29" t="str">
        <f>'MASTER STOCK'!F316</f>
        <v>Gunting tanggung</v>
      </c>
      <c r="B319" s="30">
        <f>'AGS 25'!AJ319:AJ681</f>
        <v>2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23">
        <f t="shared" si="3"/>
        <v>0</v>
      </c>
      <c r="AI319" s="24">
        <v>0.0</v>
      </c>
      <c r="AJ319" s="32">
        <f t="shared" si="4"/>
        <v>2</v>
      </c>
      <c r="AK319" s="32">
        <f t="shared" si="5"/>
        <v>2</v>
      </c>
      <c r="AL319" s="25">
        <f>'MASTER STOCK'!I316</f>
        <v>10000</v>
      </c>
      <c r="AM319" s="27">
        <f>'MASTER STOCK'!L316</f>
        <v>10000</v>
      </c>
      <c r="AN319" s="27">
        <f t="shared" si="6"/>
        <v>0</v>
      </c>
      <c r="AO319" s="27">
        <f t="shared" si="7"/>
        <v>0</v>
      </c>
      <c r="AP319" s="25">
        <f t="shared" si="8"/>
        <v>0</v>
      </c>
      <c r="AQ319" s="10"/>
    </row>
    <row r="320">
      <c r="A320" s="29" t="str">
        <f>'MASTER STOCK'!F317</f>
        <v>Stop kran PVC onda 3/4</v>
      </c>
      <c r="B320" s="30">
        <f>'AGS 25'!AJ320:AJ682</f>
        <v>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22">
        <v>1.0</v>
      </c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23">
        <f t="shared" si="3"/>
        <v>1</v>
      </c>
      <c r="AI320" s="24">
        <v>0.0</v>
      </c>
      <c r="AJ320" s="32">
        <f t="shared" si="4"/>
        <v>0</v>
      </c>
      <c r="AK320" s="32">
        <f t="shared" si="5"/>
        <v>0</v>
      </c>
      <c r="AL320" s="25">
        <f>'MASTER STOCK'!I317</f>
        <v>31000</v>
      </c>
      <c r="AM320" s="27">
        <f>'MASTER STOCK'!L317</f>
        <v>31000</v>
      </c>
      <c r="AN320" s="27">
        <f t="shared" si="6"/>
        <v>31000</v>
      </c>
      <c r="AO320" s="27">
        <f t="shared" si="7"/>
        <v>0</v>
      </c>
      <c r="AP320" s="25">
        <f t="shared" si="8"/>
        <v>31000</v>
      </c>
      <c r="AQ320" s="10"/>
    </row>
    <row r="321">
      <c r="A321" s="29" t="str">
        <f>'MASTER STOCK'!F318</f>
        <v>Stop kran PVC move 1/2</v>
      </c>
      <c r="B321" s="30">
        <f>'AGS 25'!AJ321:AJ683</f>
        <v>3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22">
        <v>1.0</v>
      </c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23">
        <f t="shared" si="3"/>
        <v>1</v>
      </c>
      <c r="AI321" s="24">
        <v>0.0</v>
      </c>
      <c r="AJ321" s="32">
        <f t="shared" si="4"/>
        <v>2</v>
      </c>
      <c r="AK321" s="32">
        <f t="shared" si="5"/>
        <v>2</v>
      </c>
      <c r="AL321" s="25">
        <f>'MASTER STOCK'!I318</f>
        <v>21000</v>
      </c>
      <c r="AM321" s="27">
        <f>'MASTER STOCK'!L318</f>
        <v>21000</v>
      </c>
      <c r="AN321" s="27">
        <f t="shared" si="6"/>
        <v>21000</v>
      </c>
      <c r="AO321" s="27">
        <f t="shared" si="7"/>
        <v>0</v>
      </c>
      <c r="AP321" s="25">
        <f t="shared" si="8"/>
        <v>21000</v>
      </c>
      <c r="AQ321" s="10"/>
    </row>
    <row r="322">
      <c r="A322" s="29" t="str">
        <f>'MASTER STOCK'!F319</f>
        <v>Ungkal</v>
      </c>
      <c r="B322" s="30">
        <f>'AGS 25'!AJ322:AJ684</f>
        <v>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23">
        <f t="shared" si="3"/>
        <v>0</v>
      </c>
      <c r="AI322" s="24">
        <v>0.0</v>
      </c>
      <c r="AJ322" s="32">
        <f t="shared" si="4"/>
        <v>1</v>
      </c>
      <c r="AK322" s="32">
        <f t="shared" si="5"/>
        <v>1</v>
      </c>
      <c r="AL322" s="25">
        <f>'MASTER STOCK'!I319</f>
        <v>22500</v>
      </c>
      <c r="AM322" s="27">
        <f>'MASTER STOCK'!L319</f>
        <v>22500</v>
      </c>
      <c r="AN322" s="27">
        <f t="shared" si="6"/>
        <v>0</v>
      </c>
      <c r="AO322" s="27">
        <f t="shared" si="7"/>
        <v>0</v>
      </c>
      <c r="AP322" s="25">
        <f t="shared" si="8"/>
        <v>0</v>
      </c>
      <c r="AQ322" s="10"/>
    </row>
    <row r="323">
      <c r="A323" s="29" t="str">
        <f>'MASTER STOCK'!F320</f>
        <v>Stop kran PVC jia rong 1</v>
      </c>
      <c r="B323" s="30">
        <f>'AGS 25'!AJ323:AJ685</f>
        <v>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23">
        <f t="shared" si="3"/>
        <v>0</v>
      </c>
      <c r="AI323" s="24">
        <v>0.0</v>
      </c>
      <c r="AJ323" s="32">
        <f t="shared" si="4"/>
        <v>1</v>
      </c>
      <c r="AK323" s="32">
        <f t="shared" si="5"/>
        <v>1</v>
      </c>
      <c r="AL323" s="25">
        <f>'MASTER STOCK'!I320</f>
        <v>28500</v>
      </c>
      <c r="AM323" s="27">
        <f>'MASTER STOCK'!L320</f>
        <v>28500</v>
      </c>
      <c r="AN323" s="27">
        <f t="shared" si="6"/>
        <v>0</v>
      </c>
      <c r="AO323" s="27">
        <f t="shared" si="7"/>
        <v>0</v>
      </c>
      <c r="AP323" s="25">
        <f t="shared" si="8"/>
        <v>0</v>
      </c>
      <c r="AQ323" s="10"/>
    </row>
    <row r="324">
      <c r="A324" s="29" t="str">
        <f>'MASTER STOCK'!F321</f>
        <v>Stop kran move 1</v>
      </c>
      <c r="B324" s="30">
        <f>'AGS 25'!AJ324:AJ686</f>
        <v>2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23">
        <f t="shared" si="3"/>
        <v>0</v>
      </c>
      <c r="AI324" s="24">
        <v>0.0</v>
      </c>
      <c r="AJ324" s="32">
        <f t="shared" si="4"/>
        <v>2</v>
      </c>
      <c r="AK324" s="32">
        <f t="shared" si="5"/>
        <v>2</v>
      </c>
      <c r="AL324" s="25">
        <f>'MASTER STOCK'!I321</f>
        <v>21000</v>
      </c>
      <c r="AM324" s="27">
        <f>'MASTER STOCK'!L321</f>
        <v>21000</v>
      </c>
      <c r="AN324" s="27">
        <f t="shared" si="6"/>
        <v>0</v>
      </c>
      <c r="AO324" s="27">
        <f t="shared" si="7"/>
        <v>0</v>
      </c>
      <c r="AP324" s="25">
        <f t="shared" si="8"/>
        <v>0</v>
      </c>
      <c r="AQ324" s="10"/>
    </row>
    <row r="325">
      <c r="A325" s="29" t="str">
        <f>'MASTER STOCK'!F322</f>
        <v>Pegangan laci/ lemari  3</v>
      </c>
      <c r="B325" s="30">
        <f>'AGS 25'!AJ325:AJ687</f>
        <v>21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23">
        <f t="shared" si="3"/>
        <v>0</v>
      </c>
      <c r="AI325" s="24">
        <v>0.0</v>
      </c>
      <c r="AJ325" s="32">
        <f t="shared" si="4"/>
        <v>21</v>
      </c>
      <c r="AK325" s="32">
        <f t="shared" si="5"/>
        <v>21</v>
      </c>
      <c r="AL325" s="25">
        <f>'MASTER STOCK'!I322</f>
        <v>1500</v>
      </c>
      <c r="AM325" s="27">
        <f>'MASTER STOCK'!L322</f>
        <v>1500</v>
      </c>
      <c r="AN325" s="27">
        <f t="shared" si="6"/>
        <v>0</v>
      </c>
      <c r="AO325" s="27">
        <f t="shared" si="7"/>
        <v>0</v>
      </c>
      <c r="AP325" s="25">
        <f t="shared" si="8"/>
        <v>0</v>
      </c>
      <c r="AQ325" s="10"/>
    </row>
    <row r="326">
      <c r="A326" s="29" t="str">
        <f>'MASTER STOCK'!F323</f>
        <v>Pegangan laci/ lemari  4</v>
      </c>
      <c r="B326" s="30">
        <f>'AGS 25'!AJ326:AJ688</f>
        <v>5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23">
        <f t="shared" si="3"/>
        <v>0</v>
      </c>
      <c r="AI326" s="24">
        <v>0.0</v>
      </c>
      <c r="AJ326" s="32">
        <f t="shared" si="4"/>
        <v>5</v>
      </c>
      <c r="AK326" s="32">
        <f t="shared" si="5"/>
        <v>5</v>
      </c>
      <c r="AL326" s="25">
        <f>'MASTER STOCK'!I323</f>
        <v>2000</v>
      </c>
      <c r="AM326" s="27">
        <f>'MASTER STOCK'!L323</f>
        <v>2000</v>
      </c>
      <c r="AN326" s="27">
        <f t="shared" si="6"/>
        <v>0</v>
      </c>
      <c r="AO326" s="27">
        <f t="shared" si="7"/>
        <v>0</v>
      </c>
      <c r="AP326" s="25">
        <f t="shared" si="8"/>
        <v>0</v>
      </c>
      <c r="AQ326" s="10"/>
    </row>
    <row r="327">
      <c r="A327" s="29" t="str">
        <f>'MASTER STOCK'!F324</f>
        <v>cutter besar</v>
      </c>
      <c r="B327" s="30">
        <f>'AGS 25'!AJ327:AJ689</f>
        <v>3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23">
        <f t="shared" si="3"/>
        <v>0</v>
      </c>
      <c r="AI327" s="24">
        <v>0.0</v>
      </c>
      <c r="AJ327" s="32">
        <f t="shared" si="4"/>
        <v>3</v>
      </c>
      <c r="AK327" s="32">
        <f t="shared" si="5"/>
        <v>3</v>
      </c>
      <c r="AL327" s="25">
        <f>'MASTER STOCK'!I324</f>
        <v>5000</v>
      </c>
      <c r="AM327" s="27">
        <f>'MASTER STOCK'!L324</f>
        <v>5000</v>
      </c>
      <c r="AN327" s="27">
        <f t="shared" si="6"/>
        <v>0</v>
      </c>
      <c r="AO327" s="27">
        <f t="shared" si="7"/>
        <v>0</v>
      </c>
      <c r="AP327" s="25">
        <f t="shared" si="8"/>
        <v>0</v>
      </c>
      <c r="AQ327" s="10"/>
    </row>
    <row r="328">
      <c r="A328" s="29" t="str">
        <f>'MASTER STOCK'!F325</f>
        <v>Paku beton 1</v>
      </c>
      <c r="B328" s="30">
        <f>'AGS 25'!AJ328:AJ690</f>
        <v>2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23">
        <f t="shared" si="3"/>
        <v>0</v>
      </c>
      <c r="AI328" s="24">
        <v>0.0</v>
      </c>
      <c r="AJ328" s="32">
        <f t="shared" si="4"/>
        <v>2</v>
      </c>
      <c r="AK328" s="32">
        <f t="shared" si="5"/>
        <v>2</v>
      </c>
      <c r="AL328" s="25">
        <f>'MASTER STOCK'!I325</f>
        <v>14000</v>
      </c>
      <c r="AM328" s="27">
        <f>'MASTER STOCK'!L325</f>
        <v>14000</v>
      </c>
      <c r="AN328" s="27">
        <f t="shared" si="6"/>
        <v>0</v>
      </c>
      <c r="AO328" s="27">
        <f t="shared" si="7"/>
        <v>0</v>
      </c>
      <c r="AP328" s="25">
        <f t="shared" si="8"/>
        <v>0</v>
      </c>
      <c r="AQ328" s="10"/>
    </row>
    <row r="329">
      <c r="A329" s="29" t="str">
        <f>'MASTER STOCK'!F326</f>
        <v>Footklem PVC 1 royal 3/4</v>
      </c>
      <c r="B329" s="30">
        <f>'AGS 25'!AJ329:AJ691</f>
        <v>2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23">
        <f t="shared" si="3"/>
        <v>0</v>
      </c>
      <c r="AI329" s="24">
        <v>0.0</v>
      </c>
      <c r="AJ329" s="32">
        <f t="shared" si="4"/>
        <v>2</v>
      </c>
      <c r="AK329" s="32">
        <f t="shared" si="5"/>
        <v>2</v>
      </c>
      <c r="AL329" s="25">
        <f>'MASTER STOCK'!I326</f>
        <v>16500</v>
      </c>
      <c r="AM329" s="27">
        <f>'MASTER STOCK'!L326</f>
        <v>16500</v>
      </c>
      <c r="AN329" s="27">
        <f t="shared" si="6"/>
        <v>0</v>
      </c>
      <c r="AO329" s="27">
        <f t="shared" si="7"/>
        <v>0</v>
      </c>
      <c r="AP329" s="25">
        <f t="shared" si="8"/>
        <v>0</v>
      </c>
      <c r="AQ329" s="10"/>
    </row>
    <row r="330">
      <c r="A330" s="29" t="str">
        <f>'MASTER STOCK'!F327</f>
        <v>Footklem PVC 1 royal 1</v>
      </c>
      <c r="B330" s="30">
        <f>'AGS 25'!AJ330:AJ692</f>
        <v>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23">
        <f t="shared" si="3"/>
        <v>0</v>
      </c>
      <c r="AI330" s="24">
        <v>0.0</v>
      </c>
      <c r="AJ330" s="32">
        <f t="shared" si="4"/>
        <v>1</v>
      </c>
      <c r="AK330" s="32">
        <f t="shared" si="5"/>
        <v>1</v>
      </c>
      <c r="AL330" s="25">
        <f>'MASTER STOCK'!I327</f>
        <v>17000</v>
      </c>
      <c r="AM330" s="27">
        <f>'MASTER STOCK'!L327</f>
        <v>17000</v>
      </c>
      <c r="AN330" s="27">
        <f t="shared" si="6"/>
        <v>0</v>
      </c>
      <c r="AO330" s="27">
        <f t="shared" si="7"/>
        <v>0</v>
      </c>
      <c r="AP330" s="25">
        <f t="shared" si="8"/>
        <v>0</v>
      </c>
      <c r="AQ330" s="10"/>
    </row>
    <row r="331">
      <c r="A331" s="29" t="str">
        <f>'MASTER STOCK'!F328</f>
        <v>Tinner 1/2liter</v>
      </c>
      <c r="B331" s="30">
        <f>'AGS 25'!AJ331:AJ693</f>
        <v>3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23">
        <f t="shared" si="3"/>
        <v>0</v>
      </c>
      <c r="AI331" s="24">
        <v>0.0</v>
      </c>
      <c r="AJ331" s="32">
        <f t="shared" si="4"/>
        <v>3</v>
      </c>
      <c r="AK331" s="32">
        <f t="shared" si="5"/>
        <v>3</v>
      </c>
      <c r="AL331" s="25">
        <f>'MASTER STOCK'!I328</f>
        <v>20000</v>
      </c>
      <c r="AM331" s="27">
        <f>'MASTER STOCK'!L328</f>
        <v>20000</v>
      </c>
      <c r="AN331" s="27">
        <f t="shared" si="6"/>
        <v>0</v>
      </c>
      <c r="AO331" s="27">
        <f t="shared" si="7"/>
        <v>0</v>
      </c>
      <c r="AP331" s="25">
        <f t="shared" si="8"/>
        <v>0</v>
      </c>
      <c r="AQ331" s="10"/>
    </row>
    <row r="332">
      <c r="A332" s="29" t="str">
        <f>'MASTER STOCK'!F329</f>
        <v>Cat emco</v>
      </c>
      <c r="B332" s="30">
        <f>'AGS 25'!AJ332:AJ694</f>
        <v>3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23">
        <f t="shared" si="3"/>
        <v>0</v>
      </c>
      <c r="AI332" s="24">
        <v>0.0</v>
      </c>
      <c r="AJ332" s="32">
        <f t="shared" si="4"/>
        <v>3</v>
      </c>
      <c r="AK332" s="32">
        <f t="shared" si="5"/>
        <v>3</v>
      </c>
      <c r="AL332" s="25">
        <f>'MASTER STOCK'!I329</f>
        <v>22000</v>
      </c>
      <c r="AM332" s="27">
        <f>'MASTER STOCK'!L329</f>
        <v>22000</v>
      </c>
      <c r="AN332" s="27">
        <f t="shared" si="6"/>
        <v>0</v>
      </c>
      <c r="AO332" s="27">
        <f t="shared" si="7"/>
        <v>0</v>
      </c>
      <c r="AP332" s="25">
        <f t="shared" si="8"/>
        <v>0</v>
      </c>
      <c r="AQ332" s="10"/>
    </row>
    <row r="333">
      <c r="A333" s="29" t="str">
        <f>'MASTER STOCK'!F330</f>
        <v>Cat kayu avian 25cc</v>
      </c>
      <c r="B333" s="30">
        <f>'AGS 25'!AJ333:AJ695</f>
        <v>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23">
        <f t="shared" si="3"/>
        <v>0</v>
      </c>
      <c r="AI333" s="24">
        <v>0.0</v>
      </c>
      <c r="AJ333" s="32">
        <f t="shared" si="4"/>
        <v>1</v>
      </c>
      <c r="AK333" s="32">
        <f t="shared" si="5"/>
        <v>1</v>
      </c>
      <c r="AL333" s="25">
        <f>'MASTER STOCK'!I330</f>
        <v>5500</v>
      </c>
      <c r="AM333" s="27">
        <f>'MASTER STOCK'!L330</f>
        <v>5500</v>
      </c>
      <c r="AN333" s="27">
        <f t="shared" si="6"/>
        <v>0</v>
      </c>
      <c r="AO333" s="27">
        <f t="shared" si="7"/>
        <v>0</v>
      </c>
      <c r="AP333" s="25">
        <f t="shared" si="8"/>
        <v>0</v>
      </c>
      <c r="AQ333" s="10"/>
    </row>
    <row r="334">
      <c r="A334" s="29" t="str">
        <f>'MASTER STOCK'!F331</f>
        <v>Engsel Pintu</v>
      </c>
      <c r="B334" s="30">
        <f>'AGS 25'!AJ334:AJ696</f>
        <v>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23">
        <f t="shared" si="3"/>
        <v>0</v>
      </c>
      <c r="AI334" s="24">
        <v>0.0</v>
      </c>
      <c r="AJ334" s="32">
        <f t="shared" si="4"/>
        <v>1</v>
      </c>
      <c r="AK334" s="32">
        <f t="shared" si="5"/>
        <v>1</v>
      </c>
      <c r="AL334" s="25">
        <f>'MASTER STOCK'!I331</f>
        <v>23000</v>
      </c>
      <c r="AM334" s="27">
        <f>'MASTER STOCK'!L331</f>
        <v>23000</v>
      </c>
      <c r="AN334" s="27">
        <f t="shared" si="6"/>
        <v>0</v>
      </c>
      <c r="AO334" s="27">
        <f t="shared" si="7"/>
        <v>0</v>
      </c>
      <c r="AP334" s="25">
        <f t="shared" si="8"/>
        <v>0</v>
      </c>
      <c r="AQ334" s="10"/>
    </row>
    <row r="335">
      <c r="A335" s="29" t="str">
        <f>'MASTER STOCK'!F332</f>
        <v>Lem tikus</v>
      </c>
      <c r="B335" s="30">
        <f>'AGS 25'!AJ335:AJ697</f>
        <v>2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23">
        <f t="shared" si="3"/>
        <v>0</v>
      </c>
      <c r="AI335" s="24">
        <v>0.0</v>
      </c>
      <c r="AJ335" s="32">
        <f t="shared" si="4"/>
        <v>2</v>
      </c>
      <c r="AK335" s="32">
        <f t="shared" si="5"/>
        <v>2</v>
      </c>
      <c r="AL335" s="25">
        <f>'MASTER STOCK'!I332</f>
        <v>21000</v>
      </c>
      <c r="AM335" s="27">
        <f>'MASTER STOCK'!L332</f>
        <v>21000</v>
      </c>
      <c r="AN335" s="27">
        <f t="shared" si="6"/>
        <v>0</v>
      </c>
      <c r="AO335" s="27">
        <f t="shared" si="7"/>
        <v>0</v>
      </c>
      <c r="AP335" s="25">
        <f t="shared" si="8"/>
        <v>0</v>
      </c>
      <c r="AQ335" s="10"/>
    </row>
    <row r="336">
      <c r="A336" s="29" t="str">
        <f>'MASTER STOCK'!F333</f>
        <v>Catut 6"</v>
      </c>
      <c r="B336" s="30">
        <f>'AGS 25'!AJ336:AJ698</f>
        <v>6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23">
        <f t="shared" si="3"/>
        <v>0</v>
      </c>
      <c r="AI336" s="24">
        <v>0.0</v>
      </c>
      <c r="AJ336" s="32">
        <f t="shared" si="4"/>
        <v>6</v>
      </c>
      <c r="AK336" s="32">
        <f t="shared" si="5"/>
        <v>6</v>
      </c>
      <c r="AL336" s="25">
        <f>'MASTER STOCK'!I333</f>
        <v>15000</v>
      </c>
      <c r="AM336" s="27">
        <f>'MASTER STOCK'!L333</f>
        <v>15000</v>
      </c>
      <c r="AN336" s="27">
        <f t="shared" si="6"/>
        <v>0</v>
      </c>
      <c r="AO336" s="27">
        <f t="shared" si="7"/>
        <v>0</v>
      </c>
      <c r="AP336" s="25">
        <f t="shared" si="8"/>
        <v>0</v>
      </c>
      <c r="AQ336" s="10"/>
    </row>
    <row r="337">
      <c r="A337" s="29" t="str">
        <f>'MASTER STOCK'!F334</f>
        <v>Catut 9"</v>
      </c>
      <c r="B337" s="30">
        <f>'AGS 25'!AJ337:AJ699</f>
        <v>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23">
        <f t="shared" si="3"/>
        <v>0</v>
      </c>
      <c r="AI337" s="24">
        <v>0.0</v>
      </c>
      <c r="AJ337" s="32">
        <f t="shared" si="4"/>
        <v>1</v>
      </c>
      <c r="AK337" s="32">
        <f t="shared" si="5"/>
        <v>1</v>
      </c>
      <c r="AL337" s="25">
        <f>'MASTER STOCK'!I334</f>
        <v>17000</v>
      </c>
      <c r="AM337" s="27">
        <f>'MASTER STOCK'!L334</f>
        <v>17000</v>
      </c>
      <c r="AN337" s="27">
        <f t="shared" si="6"/>
        <v>0</v>
      </c>
      <c r="AO337" s="27">
        <f t="shared" si="7"/>
        <v>0</v>
      </c>
      <c r="AP337" s="25">
        <f t="shared" si="8"/>
        <v>0</v>
      </c>
      <c r="AQ337" s="10"/>
    </row>
    <row r="338">
      <c r="A338" s="29" t="str">
        <f>'MASTER STOCK'!F335</f>
        <v>Kunci  lemari/laci</v>
      </c>
      <c r="B338" s="30">
        <f>'AGS 25'!AJ338:AJ700</f>
        <v>10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23">
        <f t="shared" si="3"/>
        <v>0</v>
      </c>
      <c r="AI338" s="24">
        <v>0.0</v>
      </c>
      <c r="AJ338" s="32">
        <f t="shared" si="4"/>
        <v>10</v>
      </c>
      <c r="AK338" s="32">
        <f t="shared" si="5"/>
        <v>10</v>
      </c>
      <c r="AL338" s="25">
        <f>'MASTER STOCK'!I335</f>
        <v>20000</v>
      </c>
      <c r="AM338" s="27">
        <f>'MASTER STOCK'!L335</f>
        <v>20000</v>
      </c>
      <c r="AN338" s="27">
        <f t="shared" si="6"/>
        <v>0</v>
      </c>
      <c r="AO338" s="27">
        <f t="shared" si="7"/>
        <v>0</v>
      </c>
      <c r="AP338" s="25">
        <f t="shared" si="8"/>
        <v>0</v>
      </c>
      <c r="AQ338" s="10"/>
    </row>
    <row r="339">
      <c r="A339" s="29" t="str">
        <f>'MASTER STOCK'!F336</f>
        <v>Microphone</v>
      </c>
      <c r="B339" s="30">
        <f>'AGS 25'!AJ339:AJ701</f>
        <v>3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23">
        <f t="shared" si="3"/>
        <v>0</v>
      </c>
      <c r="AI339" s="24">
        <v>0.0</v>
      </c>
      <c r="AJ339" s="32">
        <f t="shared" si="4"/>
        <v>3</v>
      </c>
      <c r="AK339" s="32">
        <f t="shared" si="5"/>
        <v>3</v>
      </c>
      <c r="AL339" s="25">
        <f>'MASTER STOCK'!I336</f>
        <v>75000</v>
      </c>
      <c r="AM339" s="27">
        <f>'MASTER STOCK'!L336</f>
        <v>75000</v>
      </c>
      <c r="AN339" s="27">
        <f t="shared" si="6"/>
        <v>0</v>
      </c>
      <c r="AO339" s="27">
        <f t="shared" si="7"/>
        <v>0</v>
      </c>
      <c r="AP339" s="25">
        <f t="shared" si="8"/>
        <v>0</v>
      </c>
      <c r="AQ339" s="10"/>
    </row>
    <row r="340">
      <c r="A340" s="29" t="str">
        <f>'MASTER STOCK'!F337</f>
        <v>Isolasi kecil</v>
      </c>
      <c r="B340" s="30">
        <f>'AGS 25'!AJ340:AJ702</f>
        <v>2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23">
        <f t="shared" si="3"/>
        <v>0</v>
      </c>
      <c r="AI340" s="24">
        <v>0.0</v>
      </c>
      <c r="AJ340" s="32">
        <f t="shared" si="4"/>
        <v>2</v>
      </c>
      <c r="AK340" s="32">
        <f t="shared" si="5"/>
        <v>2</v>
      </c>
      <c r="AL340" s="25">
        <f>'MASTER STOCK'!I337</f>
        <v>3000</v>
      </c>
      <c r="AM340" s="27">
        <f>'MASTER STOCK'!L337</f>
        <v>3000</v>
      </c>
      <c r="AN340" s="27">
        <f t="shared" si="6"/>
        <v>0</v>
      </c>
      <c r="AO340" s="27">
        <f t="shared" si="7"/>
        <v>0</v>
      </c>
      <c r="AP340" s="25">
        <f t="shared" si="8"/>
        <v>0</v>
      </c>
      <c r="AQ340" s="10"/>
    </row>
    <row r="341">
      <c r="A341" s="29" t="str">
        <f>'MASTER STOCK'!F338</f>
        <v>Lakban coklat</v>
      </c>
      <c r="B341" s="30">
        <f>'AGS 25'!AJ341:AJ703</f>
        <v>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23">
        <f t="shared" si="3"/>
        <v>0</v>
      </c>
      <c r="AI341" s="24">
        <v>0.0</v>
      </c>
      <c r="AJ341" s="32">
        <f t="shared" si="4"/>
        <v>1</v>
      </c>
      <c r="AK341" s="32">
        <f t="shared" si="5"/>
        <v>1</v>
      </c>
      <c r="AL341" s="25">
        <f>'MASTER STOCK'!I338</f>
        <v>15000</v>
      </c>
      <c r="AM341" s="27">
        <f>'MASTER STOCK'!L338</f>
        <v>15000</v>
      </c>
      <c r="AN341" s="27">
        <f t="shared" si="6"/>
        <v>0</v>
      </c>
      <c r="AO341" s="27">
        <f t="shared" si="7"/>
        <v>0</v>
      </c>
      <c r="AP341" s="25">
        <f t="shared" si="8"/>
        <v>0</v>
      </c>
      <c r="AQ341" s="10"/>
    </row>
    <row r="342">
      <c r="A342" s="29" t="str">
        <f>'MASTER STOCK'!F339</f>
        <v>Fiberglass tape</v>
      </c>
      <c r="B342" s="30">
        <f>'AGS 25'!AJ342:AJ704</f>
        <v>5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23">
        <f t="shared" si="3"/>
        <v>0</v>
      </c>
      <c r="AI342" s="24">
        <v>0.0</v>
      </c>
      <c r="AJ342" s="32">
        <f t="shared" si="4"/>
        <v>5</v>
      </c>
      <c r="AK342" s="32">
        <f t="shared" si="5"/>
        <v>5</v>
      </c>
      <c r="AL342" s="25">
        <f>'MASTER STOCK'!I339</f>
        <v>10000</v>
      </c>
      <c r="AM342" s="27">
        <f>'MASTER STOCK'!L339</f>
        <v>10000</v>
      </c>
      <c r="AN342" s="27">
        <f t="shared" si="6"/>
        <v>0</v>
      </c>
      <c r="AO342" s="27">
        <f t="shared" si="7"/>
        <v>0</v>
      </c>
      <c r="AP342" s="25">
        <f t="shared" si="8"/>
        <v>0</v>
      </c>
      <c r="AQ342" s="10"/>
    </row>
    <row r="343">
      <c r="A343" s="29" t="str">
        <f>'MASTER STOCK'!F340</f>
        <v>Gembok 40m</v>
      </c>
      <c r="B343" s="30">
        <f>'AGS 25'!AJ343:AJ705</f>
        <v>4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23">
        <f t="shared" si="3"/>
        <v>0</v>
      </c>
      <c r="AI343" s="24">
        <v>0.0</v>
      </c>
      <c r="AJ343" s="32">
        <f t="shared" si="4"/>
        <v>4</v>
      </c>
      <c r="AK343" s="32">
        <f t="shared" si="5"/>
        <v>4</v>
      </c>
      <c r="AL343" s="25">
        <f>'MASTER STOCK'!I340</f>
        <v>18000</v>
      </c>
      <c r="AM343" s="27">
        <f>'MASTER STOCK'!L340</f>
        <v>18000</v>
      </c>
      <c r="AN343" s="27">
        <f t="shared" si="6"/>
        <v>0</v>
      </c>
      <c r="AO343" s="27">
        <f t="shared" si="7"/>
        <v>0</v>
      </c>
      <c r="AP343" s="25">
        <f t="shared" si="8"/>
        <v>0</v>
      </c>
      <c r="AQ343" s="10"/>
    </row>
    <row r="344">
      <c r="A344" s="29" t="str">
        <f>'MASTER STOCK'!F341</f>
        <v>Gembok 35 m</v>
      </c>
      <c r="B344" s="30">
        <f>'AGS 25'!AJ344:AJ706</f>
        <v>2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23">
        <f t="shared" si="3"/>
        <v>0</v>
      </c>
      <c r="AI344" s="24">
        <v>0.0</v>
      </c>
      <c r="AJ344" s="32">
        <f t="shared" si="4"/>
        <v>2</v>
      </c>
      <c r="AK344" s="32">
        <f t="shared" si="5"/>
        <v>2</v>
      </c>
      <c r="AL344" s="25">
        <f>'MASTER STOCK'!I341</f>
        <v>15000</v>
      </c>
      <c r="AM344" s="27">
        <f>'MASTER STOCK'!L341</f>
        <v>15000</v>
      </c>
      <c r="AN344" s="27">
        <f t="shared" si="6"/>
        <v>0</v>
      </c>
      <c r="AO344" s="27">
        <f t="shared" si="7"/>
        <v>0</v>
      </c>
      <c r="AP344" s="25">
        <f t="shared" si="8"/>
        <v>0</v>
      </c>
      <c r="AQ344" s="10"/>
    </row>
    <row r="345">
      <c r="A345" s="29" t="str">
        <f>'MASTER STOCK'!F342</f>
        <v>Gembok 25mm</v>
      </c>
      <c r="B345" s="30">
        <f>'AGS 25'!AJ345:AJ707</f>
        <v>3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23">
        <f t="shared" si="3"/>
        <v>0</v>
      </c>
      <c r="AI345" s="24">
        <v>0.0</v>
      </c>
      <c r="AJ345" s="32">
        <f t="shared" si="4"/>
        <v>3</v>
      </c>
      <c r="AK345" s="32">
        <f t="shared" si="5"/>
        <v>3</v>
      </c>
      <c r="AL345" s="25">
        <f>'MASTER STOCK'!I342</f>
        <v>13000</v>
      </c>
      <c r="AM345" s="27">
        <f>'MASTER STOCK'!L342</f>
        <v>13000</v>
      </c>
      <c r="AN345" s="27">
        <f t="shared" si="6"/>
        <v>0</v>
      </c>
      <c r="AO345" s="27">
        <f t="shared" si="7"/>
        <v>0</v>
      </c>
      <c r="AP345" s="25">
        <f t="shared" si="8"/>
        <v>0</v>
      </c>
      <c r="AQ345" s="10"/>
    </row>
    <row r="346">
      <c r="A346" s="29" t="str">
        <f>'MASTER STOCK'!F343</f>
        <v>Microphone mini clip</v>
      </c>
      <c r="B346" s="30">
        <f>'AGS 25'!AJ346:AJ708</f>
        <v>2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23">
        <f t="shared" si="3"/>
        <v>0</v>
      </c>
      <c r="AI346" s="24">
        <v>0.0</v>
      </c>
      <c r="AJ346" s="32">
        <f t="shared" si="4"/>
        <v>2</v>
      </c>
      <c r="AK346" s="32">
        <f t="shared" si="5"/>
        <v>2</v>
      </c>
      <c r="AL346" s="25">
        <f>'MASTER STOCK'!I343</f>
        <v>135000</v>
      </c>
      <c r="AM346" s="27">
        <f>'MASTER STOCK'!L343</f>
        <v>135000</v>
      </c>
      <c r="AN346" s="27">
        <f t="shared" si="6"/>
        <v>0</v>
      </c>
      <c r="AO346" s="27">
        <f t="shared" si="7"/>
        <v>0</v>
      </c>
      <c r="AP346" s="25">
        <f t="shared" si="8"/>
        <v>0</v>
      </c>
      <c r="AQ346" s="10"/>
    </row>
    <row r="347">
      <c r="A347" s="29" t="str">
        <f>'MASTER STOCK'!F344</f>
        <v>Double tip foam hitam</v>
      </c>
      <c r="B347" s="30">
        <f>'AGS 25'!AJ347:AJ709</f>
        <v>3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23">
        <f t="shared" si="3"/>
        <v>0</v>
      </c>
      <c r="AI347" s="24">
        <v>0.0</v>
      </c>
      <c r="AJ347" s="32">
        <f t="shared" si="4"/>
        <v>3</v>
      </c>
      <c r="AK347" s="32">
        <f t="shared" si="5"/>
        <v>3</v>
      </c>
      <c r="AL347" s="25">
        <f>'MASTER STOCK'!I344</f>
        <v>6000</v>
      </c>
      <c r="AM347" s="27">
        <f>'MASTER STOCK'!L344</f>
        <v>6000</v>
      </c>
      <c r="AN347" s="27">
        <f t="shared" si="6"/>
        <v>0</v>
      </c>
      <c r="AO347" s="27">
        <f t="shared" si="7"/>
        <v>0</v>
      </c>
      <c r="AP347" s="25">
        <f t="shared" si="8"/>
        <v>0</v>
      </c>
      <c r="AQ347" s="10"/>
    </row>
    <row r="348">
      <c r="A348" s="29" t="str">
        <f>'MASTER STOCK'!F345</f>
        <v>amplass</v>
      </c>
      <c r="B348" s="30">
        <f>'AGS 25'!AJ348:AJ710</f>
        <v>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23">
        <f t="shared" si="3"/>
        <v>0</v>
      </c>
      <c r="AI348" s="24">
        <v>0.0</v>
      </c>
      <c r="AJ348" s="32">
        <f t="shared" si="4"/>
        <v>1</v>
      </c>
      <c r="AK348" s="32">
        <f t="shared" si="5"/>
        <v>1</v>
      </c>
      <c r="AL348" s="25">
        <f>'MASTER STOCK'!I345</f>
        <v>7000</v>
      </c>
      <c r="AM348" s="27">
        <f>'MASTER STOCK'!L345</f>
        <v>7000</v>
      </c>
      <c r="AN348" s="27">
        <f t="shared" si="6"/>
        <v>0</v>
      </c>
      <c r="AO348" s="27">
        <f t="shared" si="7"/>
        <v>0</v>
      </c>
      <c r="AP348" s="25">
        <f t="shared" si="8"/>
        <v>0</v>
      </c>
      <c r="AQ348" s="10"/>
    </row>
    <row r="349">
      <c r="A349" s="29" t="str">
        <f>'MASTER STOCK'!F346</f>
        <v>Tie clip microphone</v>
      </c>
      <c r="B349" s="30">
        <f>'AGS 25'!AJ349:AJ711</f>
        <v>2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23">
        <f t="shared" si="3"/>
        <v>0</v>
      </c>
      <c r="AI349" s="24">
        <v>0.0</v>
      </c>
      <c r="AJ349" s="32">
        <f t="shared" si="4"/>
        <v>2</v>
      </c>
      <c r="AK349" s="32">
        <f t="shared" si="5"/>
        <v>2</v>
      </c>
      <c r="AL349" s="25">
        <f>'MASTER STOCK'!I346</f>
        <v>125000</v>
      </c>
      <c r="AM349" s="27">
        <f>'MASTER STOCK'!L346</f>
        <v>125000</v>
      </c>
      <c r="AN349" s="27">
        <f t="shared" si="6"/>
        <v>0</v>
      </c>
      <c r="AO349" s="27">
        <f t="shared" si="7"/>
        <v>0</v>
      </c>
      <c r="AP349" s="25">
        <f t="shared" si="8"/>
        <v>0</v>
      </c>
      <c r="AQ349" s="10"/>
    </row>
    <row r="350">
      <c r="A350" s="29" t="str">
        <f>'MASTER STOCK'!F347</f>
        <v>Selot besar / grendel 3"</v>
      </c>
      <c r="B350" s="30">
        <f>'AGS 25'!AJ350:AJ712</f>
        <v>3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23">
        <f t="shared" si="3"/>
        <v>0</v>
      </c>
      <c r="AI350" s="24">
        <v>0.0</v>
      </c>
      <c r="AJ350" s="32">
        <f t="shared" si="4"/>
        <v>3</v>
      </c>
      <c r="AK350" s="32">
        <f t="shared" si="5"/>
        <v>3</v>
      </c>
      <c r="AL350" s="25">
        <f>'MASTER STOCK'!I347</f>
        <v>11000</v>
      </c>
      <c r="AM350" s="27">
        <f>'MASTER STOCK'!L347</f>
        <v>11000</v>
      </c>
      <c r="AN350" s="27">
        <f t="shared" si="6"/>
        <v>0</v>
      </c>
      <c r="AO350" s="27">
        <f t="shared" si="7"/>
        <v>0</v>
      </c>
      <c r="AP350" s="25">
        <f t="shared" si="8"/>
        <v>0</v>
      </c>
      <c r="AQ350" s="10"/>
    </row>
    <row r="351">
      <c r="A351" s="29" t="str">
        <f>'MASTER STOCK'!F348</f>
        <v>Tee dos</v>
      </c>
      <c r="B351" s="30">
        <f>'AGS 25'!AJ351:AJ713</f>
        <v>8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23">
        <f t="shared" si="3"/>
        <v>0</v>
      </c>
      <c r="AI351" s="24">
        <v>0.0</v>
      </c>
      <c r="AJ351" s="32">
        <f t="shared" si="4"/>
        <v>8</v>
      </c>
      <c r="AK351" s="32">
        <f t="shared" si="5"/>
        <v>8</v>
      </c>
      <c r="AL351" s="25">
        <f>'MASTER STOCK'!I348</f>
        <v>3000</v>
      </c>
      <c r="AM351" s="27">
        <f>'MASTER STOCK'!L348</f>
        <v>3000</v>
      </c>
      <c r="AN351" s="27">
        <f t="shared" si="6"/>
        <v>0</v>
      </c>
      <c r="AO351" s="27">
        <f t="shared" si="7"/>
        <v>0</v>
      </c>
      <c r="AP351" s="25">
        <f t="shared" si="8"/>
        <v>0</v>
      </c>
      <c r="AQ351" s="10"/>
    </row>
    <row r="352">
      <c r="A352" s="29" t="str">
        <f>'MASTER STOCK'!F349</f>
        <v>Double tip foam putih</v>
      </c>
      <c r="B352" s="30">
        <f>'AGS 25'!AJ352:AJ714</f>
        <v>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23">
        <f t="shared" si="3"/>
        <v>0</v>
      </c>
      <c r="AI352" s="24">
        <v>0.0</v>
      </c>
      <c r="AJ352" s="32">
        <f t="shared" si="4"/>
        <v>1</v>
      </c>
      <c r="AK352" s="32">
        <f t="shared" si="5"/>
        <v>1</v>
      </c>
      <c r="AL352" s="25">
        <f>'MASTER STOCK'!I349</f>
        <v>2500</v>
      </c>
      <c r="AM352" s="27">
        <f>'MASTER STOCK'!L349</f>
        <v>2500</v>
      </c>
      <c r="AN352" s="27">
        <f t="shared" si="6"/>
        <v>0</v>
      </c>
      <c r="AO352" s="27">
        <f t="shared" si="7"/>
        <v>0</v>
      </c>
      <c r="AP352" s="25">
        <f t="shared" si="8"/>
        <v>0</v>
      </c>
      <c r="AQ352" s="10"/>
    </row>
    <row r="353">
      <c r="A353" s="29" t="str">
        <f>'MASTER STOCK'!F350</f>
        <v>pegangan pintu putih </v>
      </c>
      <c r="B353" s="30">
        <f>'AGS 25'!AJ353:AJ715</f>
        <v>2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23">
        <f t="shared" si="3"/>
        <v>0</v>
      </c>
      <c r="AI353" s="24">
        <v>0.0</v>
      </c>
      <c r="AJ353" s="32">
        <f t="shared" si="4"/>
        <v>2</v>
      </c>
      <c r="AK353" s="32">
        <f t="shared" si="5"/>
        <v>2</v>
      </c>
      <c r="AL353" s="25">
        <f>'MASTER STOCK'!I350</f>
        <v>16000</v>
      </c>
      <c r="AM353" s="27">
        <f>'MASTER STOCK'!L350</f>
        <v>16000</v>
      </c>
      <c r="AN353" s="27">
        <f t="shared" si="6"/>
        <v>0</v>
      </c>
      <c r="AO353" s="27">
        <f t="shared" si="7"/>
        <v>0</v>
      </c>
      <c r="AP353" s="25">
        <f t="shared" si="8"/>
        <v>0</v>
      </c>
      <c r="AQ353" s="10"/>
    </row>
    <row r="354">
      <c r="A354" s="20" t="str">
        <f>'MASTER STOCK'!F351</f>
        <v>INBOW DUS</v>
      </c>
      <c r="B354" s="21">
        <f>'AGS 25'!AJ354:AJ716</f>
        <v>20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23">
        <f t="shared" si="3"/>
        <v>0</v>
      </c>
      <c r="AI354" s="24">
        <v>0.0</v>
      </c>
      <c r="AJ354" s="23">
        <f t="shared" si="4"/>
        <v>20</v>
      </c>
      <c r="AK354" s="23">
        <f t="shared" si="5"/>
        <v>20</v>
      </c>
      <c r="AL354" s="25">
        <f>'MASTER STOCK'!I351</f>
        <v>500</v>
      </c>
      <c r="AM354" s="27">
        <f>'MASTER STOCK'!L351</f>
        <v>1000</v>
      </c>
      <c r="AN354" s="27">
        <f t="shared" si="6"/>
        <v>0</v>
      </c>
      <c r="AO354" s="27">
        <f t="shared" si="7"/>
        <v>0</v>
      </c>
      <c r="AP354" s="25">
        <f t="shared" si="8"/>
        <v>0</v>
      </c>
      <c r="AQ354" s="10"/>
    </row>
    <row r="355">
      <c r="A355" s="20" t="str">
        <f>'MASTER STOCK'!F352</f>
        <v>TEE DOS</v>
      </c>
      <c r="B355" s="21">
        <f>'AGS 25'!AJ355:AJ717</f>
        <v>20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23">
        <f t="shared" si="3"/>
        <v>0</v>
      </c>
      <c r="AI355" s="24">
        <v>0.0</v>
      </c>
      <c r="AJ355" s="23">
        <f t="shared" si="4"/>
        <v>20</v>
      </c>
      <c r="AK355" s="23">
        <f t="shared" si="5"/>
        <v>20</v>
      </c>
      <c r="AL355" s="25">
        <f>'MASTER STOCK'!I352</f>
        <v>500</v>
      </c>
      <c r="AM355" s="27">
        <f>'MASTER STOCK'!L352</f>
        <v>1500</v>
      </c>
      <c r="AN355" s="27">
        <f t="shared" si="6"/>
        <v>0</v>
      </c>
      <c r="AO355" s="27">
        <f t="shared" si="7"/>
        <v>0</v>
      </c>
      <c r="AP355" s="25">
        <f t="shared" si="8"/>
        <v>0</v>
      </c>
      <c r="AQ355" s="10"/>
    </row>
    <row r="356">
      <c r="A356" s="20" t="str">
        <f>'MASTER STOCK'!F353</f>
        <v>LEM TEMBAK</v>
      </c>
      <c r="B356" s="21">
        <f>'AGS 25'!AJ356:AJ718</f>
        <v>74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23">
        <f t="shared" si="3"/>
        <v>0</v>
      </c>
      <c r="AI356" s="24">
        <v>0.0</v>
      </c>
      <c r="AJ356" s="23">
        <f t="shared" si="4"/>
        <v>74</v>
      </c>
      <c r="AK356" s="23">
        <f t="shared" si="5"/>
        <v>74</v>
      </c>
      <c r="AL356" s="25">
        <f>'MASTER STOCK'!I353</f>
        <v>700</v>
      </c>
      <c r="AM356" s="27">
        <f>'MASTER STOCK'!L353</f>
        <v>1500</v>
      </c>
      <c r="AN356" s="27">
        <f t="shared" si="6"/>
        <v>0</v>
      </c>
      <c r="AO356" s="27">
        <f t="shared" si="7"/>
        <v>0</v>
      </c>
      <c r="AP356" s="25">
        <f t="shared" si="8"/>
        <v>0</v>
      </c>
      <c r="AQ356" s="10"/>
    </row>
    <row r="357">
      <c r="A357" s="20" t="str">
        <f>'MASTER STOCK'!F354</f>
        <v>STOP KONTAK BROCO TANAM</v>
      </c>
      <c r="B357" s="21">
        <f>'AGS 25'!AJ357:AJ719</f>
        <v>3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23">
        <f t="shared" si="3"/>
        <v>0</v>
      </c>
      <c r="AI357" s="24">
        <v>0.0</v>
      </c>
      <c r="AJ357" s="23">
        <f t="shared" si="4"/>
        <v>3</v>
      </c>
      <c r="AK357" s="23">
        <f t="shared" si="5"/>
        <v>3</v>
      </c>
      <c r="AL357" s="25">
        <f>'MASTER STOCK'!I354</f>
        <v>13500</v>
      </c>
      <c r="AM357" s="27">
        <f>'MASTER STOCK'!L354</f>
        <v>16000</v>
      </c>
      <c r="AN357" s="27">
        <f t="shared" si="6"/>
        <v>0</v>
      </c>
      <c r="AO357" s="27">
        <f t="shared" si="7"/>
        <v>0</v>
      </c>
      <c r="AP357" s="25">
        <f t="shared" si="8"/>
        <v>0</v>
      </c>
      <c r="AQ357" s="10"/>
    </row>
    <row r="358">
      <c r="A358" s="20" t="str">
        <f>'MASTER STOCK'!F355</f>
        <v>STOP KONTAK TANAM PANASONIC</v>
      </c>
      <c r="B358" s="21">
        <f>'AGS 25'!AJ358:AJ720</f>
        <v>3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23">
        <f t="shared" si="3"/>
        <v>0</v>
      </c>
      <c r="AI358" s="24">
        <v>0.0</v>
      </c>
      <c r="AJ358" s="23">
        <f t="shared" si="4"/>
        <v>3</v>
      </c>
      <c r="AK358" s="23">
        <f t="shared" si="5"/>
        <v>3</v>
      </c>
      <c r="AL358" s="25">
        <f>'MASTER STOCK'!I355</f>
        <v>15000</v>
      </c>
      <c r="AM358" s="27">
        <f>'MASTER STOCK'!L355</f>
        <v>18000</v>
      </c>
      <c r="AN358" s="27">
        <f t="shared" si="6"/>
        <v>0</v>
      </c>
      <c r="AO358" s="27">
        <f t="shared" si="7"/>
        <v>0</v>
      </c>
      <c r="AP358" s="25">
        <f t="shared" si="8"/>
        <v>0</v>
      </c>
      <c r="AQ358" s="10"/>
    </row>
    <row r="359">
      <c r="A359" s="20" t="str">
        <f>'MASTER STOCK'!F356</f>
        <v>STOP KONTAK INBOW TANAM</v>
      </c>
      <c r="B359" s="21">
        <f>'AGS 25'!AJ359:AJ721</f>
        <v>5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23">
        <f t="shared" si="3"/>
        <v>0</v>
      </c>
      <c r="AI359" s="24">
        <v>0.0</v>
      </c>
      <c r="AJ359" s="23">
        <f t="shared" si="4"/>
        <v>5</v>
      </c>
      <c r="AK359" s="23">
        <f t="shared" si="5"/>
        <v>5</v>
      </c>
      <c r="AL359" s="25">
        <f>'MASTER STOCK'!I356</f>
        <v>6400</v>
      </c>
      <c r="AM359" s="27">
        <f>'MASTER STOCK'!L356</f>
        <v>11000</v>
      </c>
      <c r="AN359" s="27">
        <f t="shared" si="6"/>
        <v>0</v>
      </c>
      <c r="AO359" s="27">
        <f t="shared" si="7"/>
        <v>0</v>
      </c>
      <c r="AP359" s="25">
        <f t="shared" si="8"/>
        <v>0</v>
      </c>
      <c r="AQ359" s="10"/>
    </row>
    <row r="360">
      <c r="A360" s="20" t="str">
        <f>'MASTER STOCK'!F357</f>
        <v>SAKLAR3 CABANG (TEE)</v>
      </c>
      <c r="B360" s="21">
        <f>'AGS 25'!AJ360:AJ722</f>
        <v>2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23">
        <f t="shared" si="3"/>
        <v>0</v>
      </c>
      <c r="AI360" s="24">
        <v>0.0</v>
      </c>
      <c r="AJ360" s="23">
        <f t="shared" si="4"/>
        <v>2</v>
      </c>
      <c r="AK360" s="23">
        <f t="shared" si="5"/>
        <v>2</v>
      </c>
      <c r="AL360" s="25">
        <f>'MASTER STOCK'!I357</f>
        <v>17500</v>
      </c>
      <c r="AM360" s="27">
        <f>'MASTER STOCK'!L357</f>
        <v>18000</v>
      </c>
      <c r="AN360" s="27">
        <f t="shared" si="6"/>
        <v>0</v>
      </c>
      <c r="AO360" s="27">
        <f t="shared" si="7"/>
        <v>0</v>
      </c>
      <c r="AP360" s="25">
        <f t="shared" si="8"/>
        <v>0</v>
      </c>
      <c r="AQ360" s="10"/>
    </row>
    <row r="361">
      <c r="A361" s="20" t="str">
        <f>'MASTER STOCK'!F358</f>
        <v>SAKLAR HOKSUN 3 LUBANG</v>
      </c>
      <c r="B361" s="21">
        <f>'AGS 25'!AJ361:AJ723</f>
        <v>2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23">
        <f t="shared" si="3"/>
        <v>0</v>
      </c>
      <c r="AI361" s="24">
        <v>0.0</v>
      </c>
      <c r="AJ361" s="23">
        <f t="shared" si="4"/>
        <v>2</v>
      </c>
      <c r="AK361" s="23">
        <f t="shared" si="5"/>
        <v>2</v>
      </c>
      <c r="AL361" s="25">
        <f>'MASTER STOCK'!I358</f>
        <v>15750</v>
      </c>
      <c r="AM361" s="27">
        <f>'MASTER STOCK'!L358</f>
        <v>22000</v>
      </c>
      <c r="AN361" s="27">
        <f t="shared" si="6"/>
        <v>0</v>
      </c>
      <c r="AO361" s="27">
        <f t="shared" si="7"/>
        <v>0</v>
      </c>
      <c r="AP361" s="25">
        <f t="shared" si="8"/>
        <v>0</v>
      </c>
      <c r="AQ361" s="10"/>
    </row>
    <row r="362">
      <c r="A362" s="20" t="str">
        <f>'MASTER STOCK'!F359</f>
        <v>SAKLAR TRM 4 LUBANG</v>
      </c>
      <c r="B362" s="21">
        <f>'AGS 25'!AJ362:AJ724</f>
        <v>2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23">
        <f t="shared" si="3"/>
        <v>0</v>
      </c>
      <c r="AI362" s="24">
        <v>0.0</v>
      </c>
      <c r="AJ362" s="23">
        <f t="shared" si="4"/>
        <v>2</v>
      </c>
      <c r="AK362" s="23">
        <f t="shared" si="5"/>
        <v>2</v>
      </c>
      <c r="AL362" s="25">
        <f>'MASTER STOCK'!I359</f>
        <v>19750</v>
      </c>
      <c r="AM362" s="27">
        <f>'MASTER STOCK'!L359</f>
        <v>26000</v>
      </c>
      <c r="AN362" s="27">
        <f t="shared" si="6"/>
        <v>0</v>
      </c>
      <c r="AO362" s="27">
        <f t="shared" si="7"/>
        <v>0</v>
      </c>
      <c r="AP362" s="25">
        <f t="shared" si="8"/>
        <v>0</v>
      </c>
      <c r="AQ362" s="10"/>
    </row>
    <row r="363">
      <c r="A363" s="20" t="str">
        <f>'MASTER STOCK'!F360</f>
        <v>SEMEN MERAH PUTIH</v>
      </c>
      <c r="B363" s="21">
        <f>'AGS 25'!AJ363:AJ725</f>
        <v>5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23">
        <f t="shared" si="3"/>
        <v>0</v>
      </c>
      <c r="AI363" s="24">
        <v>0.0</v>
      </c>
      <c r="AJ363" s="23">
        <f t="shared" si="4"/>
        <v>5</v>
      </c>
      <c r="AK363" s="23">
        <f t="shared" si="5"/>
        <v>5</v>
      </c>
      <c r="AL363" s="25">
        <f>'MASTER STOCK'!I360</f>
        <v>41000</v>
      </c>
      <c r="AM363" s="27">
        <f>'MASTER STOCK'!L360</f>
        <v>42000</v>
      </c>
      <c r="AN363" s="27">
        <f t="shared" si="6"/>
        <v>0</v>
      </c>
      <c r="AO363" s="27">
        <f t="shared" si="7"/>
        <v>0</v>
      </c>
      <c r="AP363" s="25">
        <f t="shared" si="8"/>
        <v>0</v>
      </c>
      <c r="AQ363" s="10"/>
    </row>
    <row r="364">
      <c r="A364" s="20" t="str">
        <f>'MASTER STOCK'!F361</f>
        <v>SEMEN SINGA MERAH</v>
      </c>
      <c r="B364" s="21">
        <f>'AGS 25'!AJ364:AJ726</f>
        <v>5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23">
        <f t="shared" si="3"/>
        <v>0</v>
      </c>
      <c r="AI364" s="24">
        <v>0.0</v>
      </c>
      <c r="AJ364" s="23">
        <f t="shared" si="4"/>
        <v>5</v>
      </c>
      <c r="AK364" s="23">
        <f t="shared" si="5"/>
        <v>5</v>
      </c>
      <c r="AL364" s="25">
        <f>'MASTER STOCK'!I361</f>
        <v>43000</v>
      </c>
      <c r="AM364" s="27">
        <f>'MASTER STOCK'!L361</f>
        <v>44000</v>
      </c>
      <c r="AN364" s="27">
        <f t="shared" si="6"/>
        <v>0</v>
      </c>
      <c r="AO364" s="27">
        <f t="shared" si="7"/>
        <v>0</v>
      </c>
      <c r="AP364" s="25">
        <f t="shared" si="8"/>
        <v>0</v>
      </c>
      <c r="AQ364" s="10"/>
    </row>
    <row r="365">
      <c r="A365" s="20" t="str">
        <f>'MASTER STOCK'!F362</f>
        <v>WATERMUR 3/4</v>
      </c>
      <c r="B365" s="21">
        <f>'AGS 25'!AJ365:AJ727</f>
        <v>5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23">
        <f t="shared" si="3"/>
        <v>0</v>
      </c>
      <c r="AI365" s="24">
        <v>0.0</v>
      </c>
      <c r="AJ365" s="23">
        <f t="shared" si="4"/>
        <v>5</v>
      </c>
      <c r="AK365" s="23">
        <f t="shared" si="5"/>
        <v>5</v>
      </c>
      <c r="AL365" s="25">
        <f>'MASTER STOCK'!I362</f>
        <v>4700</v>
      </c>
      <c r="AM365" s="27">
        <f>'MASTER STOCK'!L362</f>
        <v>7000</v>
      </c>
      <c r="AN365" s="27">
        <f t="shared" si="6"/>
        <v>0</v>
      </c>
      <c r="AO365" s="27">
        <f t="shared" si="7"/>
        <v>0</v>
      </c>
      <c r="AP365" s="25">
        <f t="shared" si="8"/>
        <v>0</v>
      </c>
      <c r="AQ365" s="10"/>
    </row>
    <row r="366">
      <c r="A366" s="20" t="str">
        <f>'MASTER STOCK'!F363</f>
        <v>SOLDER GAGANG KAYU 40W</v>
      </c>
      <c r="B366" s="21">
        <f>'AGS 25'!AJ366:AJ728</f>
        <v>5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23">
        <f t="shared" si="3"/>
        <v>0</v>
      </c>
      <c r="AI366" s="24">
        <v>0.0</v>
      </c>
      <c r="AJ366" s="23">
        <f t="shared" si="4"/>
        <v>5</v>
      </c>
      <c r="AK366" s="23">
        <f t="shared" si="5"/>
        <v>5</v>
      </c>
      <c r="AL366" s="25">
        <f>'MASTER STOCK'!I363</f>
        <v>9000</v>
      </c>
      <c r="AM366" s="27">
        <f>'MASTER STOCK'!L363</f>
        <v>12000</v>
      </c>
      <c r="AN366" s="27">
        <f t="shared" si="6"/>
        <v>0</v>
      </c>
      <c r="AO366" s="27">
        <f t="shared" si="7"/>
        <v>0</v>
      </c>
      <c r="AP366" s="25">
        <f t="shared" si="8"/>
        <v>0</v>
      </c>
      <c r="AQ366" s="10"/>
    </row>
    <row r="367">
      <c r="A367" s="20" t="str">
        <f>'MASTER STOCK'!F364</f>
        <v>KUAS GRT 3"</v>
      </c>
      <c r="B367" s="21">
        <f>'AGS 25'!AJ367:AJ729</f>
        <v>12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23">
        <f t="shared" si="3"/>
        <v>0</v>
      </c>
      <c r="AI367" s="24">
        <v>0.0</v>
      </c>
      <c r="AJ367" s="23">
        <f t="shared" si="4"/>
        <v>12</v>
      </c>
      <c r="AK367" s="23">
        <f t="shared" si="5"/>
        <v>12</v>
      </c>
      <c r="AL367" s="25">
        <f>'MASTER STOCK'!I364</f>
        <v>4000</v>
      </c>
      <c r="AM367" s="27">
        <f>'MASTER STOCK'!L364</f>
        <v>7500</v>
      </c>
      <c r="AN367" s="27">
        <f t="shared" si="6"/>
        <v>0</v>
      </c>
      <c r="AO367" s="27">
        <f t="shared" si="7"/>
        <v>0</v>
      </c>
      <c r="AP367" s="25">
        <f t="shared" si="8"/>
        <v>0</v>
      </c>
      <c r="AQ367" s="10"/>
    </row>
    <row r="368">
      <c r="A368" s="20" t="str">
        <f>'MASTER STOCK'!F365</f>
        <v>PENGAMAN REGULATOR</v>
      </c>
      <c r="B368" s="21">
        <f>'AGS 25'!AJ368:AJ730</f>
        <v>3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23">
        <f t="shared" si="3"/>
        <v>0</v>
      </c>
      <c r="AI368" s="24">
        <v>0.0</v>
      </c>
      <c r="AJ368" s="23">
        <f t="shared" si="4"/>
        <v>3</v>
      </c>
      <c r="AK368" s="23">
        <f t="shared" si="5"/>
        <v>3</v>
      </c>
      <c r="AL368" s="25">
        <f>'MASTER STOCK'!I365</f>
        <v>7500</v>
      </c>
      <c r="AM368" s="27">
        <f>'MASTER STOCK'!L365</f>
        <v>12000</v>
      </c>
      <c r="AN368" s="27">
        <f t="shared" si="6"/>
        <v>0</v>
      </c>
      <c r="AO368" s="27">
        <f t="shared" si="7"/>
        <v>0</v>
      </c>
      <c r="AP368" s="25">
        <f t="shared" si="8"/>
        <v>0</v>
      </c>
      <c r="AQ368" s="10"/>
    </row>
    <row r="369">
      <c r="A369" s="20" t="str">
        <f>'MASTER STOCK'!F366</f>
        <v>KLEM REGULATOR</v>
      </c>
      <c r="B369" s="21">
        <f>'AGS 25'!AJ369:AJ731</f>
        <v>20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23">
        <f t="shared" si="3"/>
        <v>0</v>
      </c>
      <c r="AI369" s="24">
        <v>0.0</v>
      </c>
      <c r="AJ369" s="23">
        <f t="shared" si="4"/>
        <v>20</v>
      </c>
      <c r="AK369" s="23">
        <f t="shared" si="5"/>
        <v>20</v>
      </c>
      <c r="AL369" s="25">
        <f>'MASTER STOCK'!I366</f>
        <v>1200</v>
      </c>
      <c r="AM369" s="27">
        <f>'MASTER STOCK'!L366</f>
        <v>2500</v>
      </c>
      <c r="AN369" s="27">
        <f t="shared" si="6"/>
        <v>0</v>
      </c>
      <c r="AO369" s="27">
        <f t="shared" si="7"/>
        <v>0</v>
      </c>
      <c r="AP369" s="25">
        <f t="shared" si="8"/>
        <v>0</v>
      </c>
      <c r="AQ369" s="10"/>
    </row>
    <row r="370">
      <c r="A370" s="20" t="str">
        <f>'MASTER STOCK'!F367</f>
        <v>TIMBA STANDART</v>
      </c>
      <c r="B370" s="21">
        <f>'AGS 25'!AJ370:AJ732</f>
        <v>10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23">
        <f t="shared" si="3"/>
        <v>0</v>
      </c>
      <c r="AI370" s="24">
        <v>0.0</v>
      </c>
      <c r="AJ370" s="23">
        <f t="shared" si="4"/>
        <v>10</v>
      </c>
      <c r="AK370" s="23">
        <f t="shared" si="5"/>
        <v>10</v>
      </c>
      <c r="AL370" s="25">
        <f>'MASTER STOCK'!I367</f>
        <v>5000</v>
      </c>
      <c r="AM370" s="27">
        <f>'MASTER STOCK'!L367</f>
        <v>8000</v>
      </c>
      <c r="AN370" s="27">
        <f t="shared" si="6"/>
        <v>0</v>
      </c>
      <c r="AO370" s="27">
        <f t="shared" si="7"/>
        <v>0</v>
      </c>
      <c r="AP370" s="25">
        <f t="shared" si="8"/>
        <v>0</v>
      </c>
      <c r="AQ370" s="10"/>
    </row>
    <row r="371">
      <c r="A371" s="20" t="str">
        <f>'MASTER STOCK'!F368</f>
        <v>KNEE DRAT DALAM 1/2 DIM</v>
      </c>
      <c r="B371" s="21">
        <f>'AGS 25'!AJ371:AJ733</f>
        <v>15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23">
        <f t="shared" si="3"/>
        <v>0</v>
      </c>
      <c r="AI371" s="24">
        <v>0.0</v>
      </c>
      <c r="AJ371" s="23">
        <f t="shared" si="4"/>
        <v>15</v>
      </c>
      <c r="AK371" s="23">
        <f t="shared" si="5"/>
        <v>15</v>
      </c>
      <c r="AL371" s="25">
        <f>'MASTER STOCK'!I368</f>
        <v>1400</v>
      </c>
      <c r="AM371" s="27">
        <f>'MASTER STOCK'!L368</f>
        <v>3500</v>
      </c>
      <c r="AN371" s="27">
        <f t="shared" si="6"/>
        <v>0</v>
      </c>
      <c r="AO371" s="27">
        <f t="shared" si="7"/>
        <v>0</v>
      </c>
      <c r="AP371" s="25">
        <f t="shared" si="8"/>
        <v>0</v>
      </c>
      <c r="AQ371" s="10"/>
    </row>
    <row r="372">
      <c r="A372" s="20" t="str">
        <f>'MASTER STOCK'!F369</f>
        <v>AMPLAS UK 60 </v>
      </c>
      <c r="B372" s="21">
        <f>'AGS 25'!AJ372:AJ734</f>
        <v>10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23">
        <f t="shared" si="3"/>
        <v>0</v>
      </c>
      <c r="AI372" s="24">
        <v>0.0</v>
      </c>
      <c r="AJ372" s="23">
        <f t="shared" si="4"/>
        <v>10</v>
      </c>
      <c r="AK372" s="23">
        <f t="shared" si="5"/>
        <v>10</v>
      </c>
      <c r="AL372" s="25">
        <f>'MASTER STOCK'!I369</f>
        <v>4500</v>
      </c>
      <c r="AM372" s="27">
        <f>'MASTER STOCK'!L369</f>
        <v>7000</v>
      </c>
      <c r="AN372" s="27">
        <f t="shared" si="6"/>
        <v>0</v>
      </c>
      <c r="AO372" s="27">
        <f t="shared" si="7"/>
        <v>0</v>
      </c>
      <c r="AP372" s="25">
        <f t="shared" si="8"/>
        <v>0</v>
      </c>
      <c r="AQ372" s="10"/>
    </row>
    <row r="373">
      <c r="A373" s="20" t="str">
        <f>'MASTER STOCK'!F370</f>
        <v>AMPLAS UK 150</v>
      </c>
      <c r="B373" s="21">
        <f>'AGS 25'!AJ373:AJ735</f>
        <v>10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23">
        <f t="shared" si="3"/>
        <v>0</v>
      </c>
      <c r="AI373" s="24">
        <v>0.0</v>
      </c>
      <c r="AJ373" s="23">
        <f t="shared" si="4"/>
        <v>10</v>
      </c>
      <c r="AK373" s="23">
        <f t="shared" si="5"/>
        <v>10</v>
      </c>
      <c r="AL373" s="25">
        <f>'MASTER STOCK'!I370</f>
        <v>4500</v>
      </c>
      <c r="AM373" s="27">
        <f>'MASTER STOCK'!L370</f>
        <v>7000</v>
      </c>
      <c r="AN373" s="27">
        <f t="shared" si="6"/>
        <v>0</v>
      </c>
      <c r="AO373" s="27">
        <f t="shared" si="7"/>
        <v>0</v>
      </c>
      <c r="AP373" s="25">
        <f t="shared" si="8"/>
        <v>0</v>
      </c>
      <c r="AQ373" s="10"/>
    </row>
    <row r="374">
      <c r="A374" s="20" t="str">
        <f>'MASTER STOCK'!F371</f>
        <v>AMPLAS UK 240</v>
      </c>
      <c r="B374" s="21">
        <f>'AGS 25'!AJ374:AJ736</f>
        <v>10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23">
        <f t="shared" si="3"/>
        <v>0</v>
      </c>
      <c r="AI374" s="24">
        <v>0.0</v>
      </c>
      <c r="AJ374" s="23">
        <f t="shared" si="4"/>
        <v>10</v>
      </c>
      <c r="AK374" s="23">
        <f t="shared" si="5"/>
        <v>10</v>
      </c>
      <c r="AL374" s="25">
        <f>'MASTER STOCK'!I371</f>
        <v>4500</v>
      </c>
      <c r="AM374" s="27">
        <f>'MASTER STOCK'!L371</f>
        <v>7000</v>
      </c>
      <c r="AN374" s="27">
        <f t="shared" si="6"/>
        <v>0</v>
      </c>
      <c r="AO374" s="27">
        <f t="shared" si="7"/>
        <v>0</v>
      </c>
      <c r="AP374" s="25">
        <f t="shared" si="8"/>
        <v>0</v>
      </c>
      <c r="AQ374" s="10"/>
    </row>
    <row r="375">
      <c r="A375" s="20" t="str">
        <f>'MASTER STOCK'!F372</f>
        <v>WATERMUR DD 3/4</v>
      </c>
      <c r="B375" s="21">
        <f>'AGS 25'!AJ375:AJ737</f>
        <v>5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23">
        <f t="shared" si="3"/>
        <v>0</v>
      </c>
      <c r="AI375" s="24">
        <v>0.0</v>
      </c>
      <c r="AJ375" s="23">
        <f t="shared" si="4"/>
        <v>5</v>
      </c>
      <c r="AK375" s="23">
        <f t="shared" si="5"/>
        <v>5</v>
      </c>
      <c r="AL375" s="25">
        <f>'MASTER STOCK'!I372</f>
        <v>6000</v>
      </c>
      <c r="AM375" s="27">
        <f>'MASTER STOCK'!L372</f>
        <v>8000</v>
      </c>
      <c r="AN375" s="27">
        <f t="shared" si="6"/>
        <v>0</v>
      </c>
      <c r="AO375" s="27">
        <f t="shared" si="7"/>
        <v>0</v>
      </c>
      <c r="AP375" s="25">
        <f t="shared" si="8"/>
        <v>0</v>
      </c>
      <c r="AQ375" s="10"/>
    </row>
    <row r="376">
      <c r="A376" s="20" t="str">
        <f>'MASTER STOCK'!F373</f>
        <v>BENDRAT 5KG</v>
      </c>
      <c r="B376" s="21">
        <f>'AGS 25'!AJ376:AJ738</f>
        <v>5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23">
        <f t="shared" si="3"/>
        <v>0</v>
      </c>
      <c r="AI376" s="24">
        <v>0.0</v>
      </c>
      <c r="AJ376" s="23">
        <f t="shared" si="4"/>
        <v>5</v>
      </c>
      <c r="AK376" s="23">
        <f t="shared" si="5"/>
        <v>5</v>
      </c>
      <c r="AL376" s="25">
        <f>'MASTER STOCK'!I373</f>
        <v>19000</v>
      </c>
      <c r="AM376" s="27">
        <f>'MASTER STOCK'!L373</f>
        <v>25000</v>
      </c>
      <c r="AN376" s="27">
        <f t="shared" si="6"/>
        <v>0</v>
      </c>
      <c r="AO376" s="27">
        <f t="shared" si="7"/>
        <v>0</v>
      </c>
      <c r="AP376" s="25">
        <f t="shared" si="8"/>
        <v>0</v>
      </c>
      <c r="AQ376" s="10"/>
    </row>
    <row r="377">
      <c r="A377" s="20" t="str">
        <f>'MASTER STOCK'!F374</f>
        <v>S MERDEKA 5</v>
      </c>
      <c r="B377" s="21">
        <f>'AGS 25'!AJ377:AJ739</f>
        <v>5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23">
        <f t="shared" si="3"/>
        <v>0</v>
      </c>
      <c r="AI377" s="24">
        <v>0.0</v>
      </c>
      <c r="AJ377" s="23">
        <f t="shared" si="4"/>
        <v>5</v>
      </c>
      <c r="AK377" s="23">
        <f t="shared" si="5"/>
        <v>5</v>
      </c>
      <c r="AL377" s="25">
        <f>'MASTER STOCK'!I374</f>
        <v>41500</v>
      </c>
      <c r="AM377" s="27">
        <f>'MASTER STOCK'!L374</f>
        <v>4300</v>
      </c>
      <c r="AN377" s="27">
        <f t="shared" si="6"/>
        <v>0</v>
      </c>
      <c r="AO377" s="27">
        <f t="shared" si="7"/>
        <v>0</v>
      </c>
      <c r="AP377" s="25">
        <f t="shared" si="8"/>
        <v>0</v>
      </c>
      <c r="AQ377" s="10"/>
    </row>
    <row r="378">
      <c r="A378" s="38" t="str">
        <f>'MASTER STOCK'!F375</f>
        <v/>
      </c>
      <c r="B378" s="21" t="str">
        <f>'AGS 25'!AJ378:AJ740</f>
        <v/>
      </c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25" t="str">
        <f>'MASTER STOCK'!I375</f>
        <v/>
      </c>
      <c r="AM378" s="41"/>
      <c r="AN378" s="41"/>
      <c r="AO378" s="41"/>
      <c r="AP378" s="41"/>
      <c r="AQ378" s="40"/>
    </row>
    <row r="379">
      <c r="A379" s="38" t="str">
        <f>'MASTER STOCK'!F376</f>
        <v/>
      </c>
      <c r="B379" s="21" t="str">
        <f>'AGS 25'!AJ379:AJ741</f>
        <v/>
      </c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25" t="str">
        <f>'MASTER STOCK'!I376</f>
        <v/>
      </c>
      <c r="AM379" s="41"/>
      <c r="AN379" s="41"/>
      <c r="AO379" s="41"/>
      <c r="AP379" s="41"/>
      <c r="AQ379" s="40"/>
    </row>
    <row r="380">
      <c r="A380" s="38" t="str">
        <f>'MASTER STOCK'!F377</f>
        <v/>
      </c>
      <c r="B380" s="21" t="str">
        <f>'AGS 25'!AJ380:AJ742</f>
        <v/>
      </c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25" t="str">
        <f>'MASTER STOCK'!I377</f>
        <v/>
      </c>
      <c r="AM380" s="41"/>
      <c r="AN380" s="41"/>
      <c r="AO380" s="41"/>
      <c r="AP380" s="41"/>
      <c r="AQ380" s="40"/>
    </row>
    <row r="381">
      <c r="A381" s="38" t="str">
        <f>'MASTER STOCK'!F378</f>
        <v/>
      </c>
      <c r="B381" s="21" t="str">
        <f>'AGS 25'!AJ381:AJ743</f>
        <v/>
      </c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25" t="str">
        <f>'MASTER STOCK'!I378</f>
        <v/>
      </c>
      <c r="AM381" s="41"/>
      <c r="AN381" s="41"/>
      <c r="AO381" s="41"/>
      <c r="AP381" s="41"/>
      <c r="AQ381" s="40"/>
    </row>
    <row r="382">
      <c r="A382" s="38" t="str">
        <f>'MASTER STOCK'!F379</f>
        <v/>
      </c>
      <c r="B382" s="21" t="str">
        <f>'AGS 25'!AJ382:AJ744</f>
        <v/>
      </c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25" t="str">
        <f>'MASTER STOCK'!I379</f>
        <v/>
      </c>
      <c r="AM382" s="41"/>
      <c r="AN382" s="41"/>
      <c r="AO382" s="41"/>
      <c r="AP382" s="41"/>
      <c r="AQ382" s="40"/>
    </row>
    <row r="383">
      <c r="A383" s="38" t="str">
        <f>'MASTER STOCK'!F380</f>
        <v/>
      </c>
      <c r="B383" s="42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25" t="str">
        <f>'MASTER STOCK'!I380</f>
        <v/>
      </c>
      <c r="AM383" s="41"/>
      <c r="AN383" s="41"/>
      <c r="AO383" s="41"/>
      <c r="AP383" s="41"/>
      <c r="AQ383" s="40"/>
    </row>
    <row r="384">
      <c r="A384" s="38" t="str">
        <f>'MASTER STOCK'!F381</f>
        <v/>
      </c>
      <c r="B384" s="42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25" t="str">
        <f>'MASTER STOCK'!I381</f>
        <v/>
      </c>
      <c r="AM384" s="41"/>
      <c r="AN384" s="41"/>
      <c r="AO384" s="41"/>
      <c r="AP384" s="41"/>
      <c r="AQ384" s="40"/>
    </row>
    <row r="385">
      <c r="A385" s="38" t="str">
        <f>'MASTER STOCK'!F382</f>
        <v/>
      </c>
      <c r="B385" s="42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25" t="str">
        <f>'MASTER STOCK'!I382</f>
        <v/>
      </c>
      <c r="AM385" s="41"/>
      <c r="AN385" s="41"/>
      <c r="AO385" s="41"/>
      <c r="AP385" s="41"/>
      <c r="AQ385" s="40"/>
    </row>
    <row r="386">
      <c r="A386" s="38" t="str">
        <f>'MASTER STOCK'!F383</f>
        <v/>
      </c>
      <c r="B386" s="42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25" t="str">
        <f>'MASTER STOCK'!I383</f>
        <v/>
      </c>
      <c r="AM386" s="41"/>
      <c r="AN386" s="41"/>
      <c r="AO386" s="41"/>
      <c r="AP386" s="41"/>
      <c r="AQ386" s="40"/>
    </row>
    <row r="387">
      <c r="A387" s="38" t="str">
        <f>'MASTER STOCK'!F384</f>
        <v/>
      </c>
      <c r="B387" s="42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25" t="str">
        <f>'MASTER STOCK'!I384</f>
        <v/>
      </c>
      <c r="AM387" s="41"/>
      <c r="AN387" s="41"/>
      <c r="AO387" s="41"/>
      <c r="AP387" s="41"/>
      <c r="AQ387" s="40"/>
    </row>
    <row r="388">
      <c r="A388" s="38" t="str">
        <f>'MASTER STOCK'!F385</f>
        <v/>
      </c>
      <c r="B388" s="42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25" t="str">
        <f>'MASTER STOCK'!I385</f>
        <v/>
      </c>
      <c r="AM388" s="41"/>
      <c r="AN388" s="41"/>
      <c r="AO388" s="41"/>
      <c r="AP388" s="41"/>
      <c r="AQ388" s="40"/>
    </row>
    <row r="389">
      <c r="A389" s="38" t="str">
        <f>'MASTER STOCK'!F386</f>
        <v/>
      </c>
      <c r="B389" s="42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25" t="str">
        <f>'MASTER STOCK'!I386</f>
        <v/>
      </c>
      <c r="AM389" s="41"/>
      <c r="AN389" s="41"/>
      <c r="AO389" s="41"/>
      <c r="AP389" s="41"/>
      <c r="AQ389" s="40"/>
    </row>
    <row r="390">
      <c r="A390" s="38" t="str">
        <f>'MASTER STOCK'!F387</f>
        <v/>
      </c>
      <c r="B390" s="42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1"/>
      <c r="AM390" s="41"/>
      <c r="AN390" s="41"/>
      <c r="AO390" s="41"/>
      <c r="AP390" s="41"/>
      <c r="AQ390" s="40"/>
    </row>
    <row r="391">
      <c r="A391" s="38" t="str">
        <f>'MASTER STOCK'!F388</f>
        <v/>
      </c>
      <c r="B391" s="42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1"/>
      <c r="AM391" s="41"/>
      <c r="AN391" s="41"/>
      <c r="AO391" s="41"/>
      <c r="AP391" s="41"/>
      <c r="AQ391" s="40"/>
    </row>
    <row r="392">
      <c r="A392" s="38" t="str">
        <f>'MASTER STOCK'!F389</f>
        <v/>
      </c>
      <c r="B392" s="42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1"/>
      <c r="AM392" s="41"/>
      <c r="AN392" s="41"/>
      <c r="AO392" s="41"/>
      <c r="AP392" s="41"/>
      <c r="AQ392" s="40"/>
    </row>
    <row r="393">
      <c r="A393" s="38" t="str">
        <f>'MASTER STOCK'!F390</f>
        <v/>
      </c>
      <c r="B393" s="42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1"/>
      <c r="AM393" s="41"/>
      <c r="AN393" s="41"/>
      <c r="AO393" s="41"/>
      <c r="AP393" s="41"/>
      <c r="AQ393" s="40"/>
    </row>
    <row r="394">
      <c r="A394" s="38" t="str">
        <f>'MASTER STOCK'!F391</f>
        <v/>
      </c>
      <c r="B394" s="42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1"/>
      <c r="AM394" s="41"/>
      <c r="AN394" s="41"/>
      <c r="AO394" s="41"/>
      <c r="AP394" s="41"/>
      <c r="AQ394" s="40"/>
    </row>
    <row r="395">
      <c r="A395" s="38" t="str">
        <f>'MASTER STOCK'!F392</f>
        <v/>
      </c>
      <c r="B395" s="42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1"/>
      <c r="AM395" s="41"/>
      <c r="AN395" s="41"/>
      <c r="AO395" s="41"/>
      <c r="AP395" s="41"/>
      <c r="AQ395" s="40"/>
    </row>
    <row r="396">
      <c r="A396" s="38" t="str">
        <f>'MASTER STOCK'!F393</f>
        <v/>
      </c>
      <c r="B396" s="42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1"/>
      <c r="AM396" s="41"/>
      <c r="AN396" s="41"/>
      <c r="AO396" s="41"/>
      <c r="AP396" s="41"/>
      <c r="AQ396" s="40"/>
    </row>
    <row r="397">
      <c r="A397" s="38" t="str">
        <f>'MASTER STOCK'!F394</f>
        <v/>
      </c>
      <c r="B397" s="42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1"/>
      <c r="AM397" s="41"/>
      <c r="AN397" s="41"/>
      <c r="AO397" s="41"/>
      <c r="AP397" s="41"/>
      <c r="AQ397" s="40"/>
    </row>
    <row r="398">
      <c r="A398" s="38" t="str">
        <f>'MASTER STOCK'!F395</f>
        <v/>
      </c>
      <c r="B398" s="42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1"/>
      <c r="AM398" s="41"/>
      <c r="AN398" s="41"/>
      <c r="AO398" s="41"/>
      <c r="AP398" s="41"/>
      <c r="AQ398" s="40"/>
    </row>
    <row r="399">
      <c r="A399" s="38" t="str">
        <f>'MASTER STOCK'!F396</f>
        <v/>
      </c>
      <c r="B399" s="42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1"/>
      <c r="AM399" s="41"/>
      <c r="AN399" s="41"/>
      <c r="AO399" s="41"/>
      <c r="AP399" s="41"/>
      <c r="AQ399" s="40"/>
    </row>
    <row r="400">
      <c r="A400" s="40"/>
      <c r="B400" s="42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1"/>
      <c r="AM400" s="41"/>
      <c r="AN400" s="41"/>
      <c r="AO400" s="41"/>
      <c r="AP400" s="41"/>
      <c r="AQ400" s="40"/>
    </row>
    <row r="401">
      <c r="A401" s="40"/>
      <c r="B401" s="42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1"/>
      <c r="AM401" s="41"/>
      <c r="AN401" s="41"/>
      <c r="AO401" s="41"/>
      <c r="AP401" s="41"/>
      <c r="AQ401" s="40"/>
    </row>
    <row r="402">
      <c r="A402" s="40"/>
      <c r="B402" s="42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1"/>
      <c r="AM402" s="41"/>
      <c r="AN402" s="41"/>
      <c r="AO402" s="41"/>
      <c r="AP402" s="41"/>
      <c r="AQ402" s="40"/>
    </row>
    <row r="403">
      <c r="A403" s="40"/>
      <c r="B403" s="42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1"/>
      <c r="AM403" s="41"/>
      <c r="AN403" s="41"/>
      <c r="AO403" s="41"/>
      <c r="AP403" s="41"/>
      <c r="AQ403" s="40"/>
    </row>
    <row r="404">
      <c r="A404" s="40"/>
      <c r="B404" s="42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1"/>
      <c r="AM404" s="41"/>
      <c r="AN404" s="41"/>
      <c r="AO404" s="41"/>
      <c r="AP404" s="41"/>
      <c r="AQ404" s="40"/>
    </row>
    <row r="405">
      <c r="A405" s="40"/>
      <c r="B405" s="42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1"/>
      <c r="AM405" s="41"/>
      <c r="AN405" s="41"/>
      <c r="AO405" s="41"/>
      <c r="AP405" s="41"/>
      <c r="AQ405" s="40"/>
    </row>
    <row r="406">
      <c r="A406" s="40"/>
      <c r="B406" s="42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1"/>
      <c r="AM406" s="41"/>
      <c r="AN406" s="41"/>
      <c r="AO406" s="41"/>
      <c r="AP406" s="41"/>
      <c r="AQ406" s="40"/>
    </row>
    <row r="407">
      <c r="A407" s="40"/>
      <c r="B407" s="42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1"/>
      <c r="AM407" s="41"/>
      <c r="AN407" s="41"/>
      <c r="AO407" s="41"/>
      <c r="AP407" s="41"/>
      <c r="AQ407" s="40"/>
    </row>
    <row r="408">
      <c r="A408" s="40"/>
      <c r="B408" s="42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1"/>
      <c r="AM408" s="41"/>
      <c r="AN408" s="41"/>
      <c r="AO408" s="41"/>
      <c r="AP408" s="41"/>
      <c r="AQ408" s="40"/>
    </row>
    <row r="409">
      <c r="A409" s="40"/>
      <c r="B409" s="42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1"/>
      <c r="AM409" s="41"/>
      <c r="AN409" s="41"/>
      <c r="AO409" s="41"/>
      <c r="AP409" s="41"/>
      <c r="AQ409" s="40"/>
    </row>
    <row r="410">
      <c r="A410" s="40"/>
      <c r="B410" s="42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1"/>
      <c r="AM410" s="41"/>
      <c r="AN410" s="41"/>
      <c r="AO410" s="41"/>
      <c r="AP410" s="41"/>
      <c r="AQ410" s="40"/>
    </row>
    <row r="411">
      <c r="A411" s="40"/>
      <c r="B411" s="42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1"/>
      <c r="AM411" s="41"/>
      <c r="AN411" s="41"/>
      <c r="AO411" s="41"/>
      <c r="AP411" s="41"/>
      <c r="AQ411" s="40"/>
    </row>
    <row r="412">
      <c r="A412" s="40"/>
      <c r="B412" s="42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1"/>
      <c r="AM412" s="41"/>
      <c r="AN412" s="41"/>
      <c r="AO412" s="41"/>
      <c r="AP412" s="41"/>
      <c r="AQ412" s="40"/>
    </row>
    <row r="413">
      <c r="A413" s="40"/>
      <c r="B413" s="42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1"/>
      <c r="AM413" s="41"/>
      <c r="AN413" s="41"/>
      <c r="AO413" s="41"/>
      <c r="AP413" s="41"/>
      <c r="AQ413" s="40"/>
    </row>
    <row r="414">
      <c r="A414" s="40"/>
      <c r="B414" s="42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1"/>
      <c r="AM414" s="41"/>
      <c r="AN414" s="41"/>
      <c r="AO414" s="41"/>
      <c r="AP414" s="41"/>
      <c r="AQ414" s="40"/>
    </row>
    <row r="415">
      <c r="A415" s="40"/>
      <c r="B415" s="42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1"/>
      <c r="AM415" s="41"/>
      <c r="AN415" s="41"/>
      <c r="AO415" s="41"/>
      <c r="AP415" s="41"/>
      <c r="AQ415" s="40"/>
    </row>
    <row r="416">
      <c r="A416" s="40"/>
      <c r="B416" s="42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1"/>
      <c r="AM416" s="41"/>
      <c r="AN416" s="41"/>
      <c r="AO416" s="41"/>
      <c r="AP416" s="41"/>
      <c r="AQ416" s="40"/>
    </row>
    <row r="417">
      <c r="A417" s="40"/>
      <c r="B417" s="42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1"/>
      <c r="AM417" s="41"/>
      <c r="AN417" s="41"/>
      <c r="AO417" s="41"/>
      <c r="AP417" s="41"/>
      <c r="AQ417" s="40"/>
    </row>
    <row r="418">
      <c r="A418" s="40"/>
      <c r="B418" s="42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1"/>
      <c r="AM418" s="41"/>
      <c r="AN418" s="41"/>
      <c r="AO418" s="41"/>
      <c r="AP418" s="41"/>
      <c r="AQ418" s="40"/>
    </row>
    <row r="419">
      <c r="A419" s="40"/>
      <c r="B419" s="42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1"/>
      <c r="AM419" s="41"/>
      <c r="AN419" s="41"/>
      <c r="AO419" s="41"/>
      <c r="AP419" s="41"/>
      <c r="AQ419" s="40"/>
    </row>
    <row r="420">
      <c r="A420" s="40"/>
      <c r="B420" s="42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1"/>
      <c r="AM420" s="41"/>
      <c r="AN420" s="41"/>
      <c r="AO420" s="41"/>
      <c r="AP420" s="41"/>
      <c r="AQ420" s="40"/>
    </row>
    <row r="421">
      <c r="A421" s="40"/>
      <c r="B421" s="42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1"/>
      <c r="AM421" s="41"/>
      <c r="AN421" s="41"/>
      <c r="AO421" s="41"/>
      <c r="AP421" s="41"/>
      <c r="AQ421" s="40"/>
    </row>
    <row r="422">
      <c r="A422" s="40"/>
      <c r="B422" s="42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1"/>
      <c r="AM422" s="41"/>
      <c r="AN422" s="41"/>
      <c r="AO422" s="41"/>
      <c r="AP422" s="41"/>
      <c r="AQ422" s="40"/>
    </row>
    <row r="423">
      <c r="A423" s="40"/>
      <c r="B423" s="42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1"/>
      <c r="AM423" s="41"/>
      <c r="AN423" s="41"/>
      <c r="AO423" s="41"/>
      <c r="AP423" s="41"/>
      <c r="AQ423" s="40"/>
    </row>
    <row r="424">
      <c r="A424" s="40"/>
      <c r="B424" s="42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1"/>
      <c r="AM424" s="41"/>
      <c r="AN424" s="41"/>
      <c r="AO424" s="41"/>
      <c r="AP424" s="41"/>
      <c r="AQ424" s="40"/>
    </row>
    <row r="425">
      <c r="A425" s="40"/>
      <c r="B425" s="42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1"/>
      <c r="AM425" s="41"/>
      <c r="AN425" s="41"/>
      <c r="AO425" s="41"/>
      <c r="AP425" s="41"/>
      <c r="AQ425" s="40"/>
    </row>
    <row r="426">
      <c r="A426" s="40"/>
      <c r="B426" s="42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1"/>
      <c r="AM426" s="41"/>
      <c r="AN426" s="41"/>
      <c r="AO426" s="41"/>
      <c r="AP426" s="41"/>
      <c r="AQ426" s="40"/>
    </row>
    <row r="427">
      <c r="A427" s="40"/>
      <c r="B427" s="42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1"/>
      <c r="AM427" s="41"/>
      <c r="AN427" s="41"/>
      <c r="AO427" s="41"/>
      <c r="AP427" s="41"/>
      <c r="AQ427" s="40"/>
    </row>
    <row r="428">
      <c r="A428" s="40"/>
      <c r="B428" s="42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1"/>
      <c r="AM428" s="41"/>
      <c r="AN428" s="41"/>
      <c r="AO428" s="41"/>
      <c r="AP428" s="41"/>
      <c r="AQ428" s="40"/>
    </row>
    <row r="429">
      <c r="A429" s="40"/>
      <c r="B429" s="42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1"/>
      <c r="AM429" s="41"/>
      <c r="AN429" s="41"/>
      <c r="AO429" s="41"/>
      <c r="AP429" s="41"/>
      <c r="AQ429" s="40"/>
    </row>
    <row r="430">
      <c r="A430" s="40"/>
      <c r="B430" s="42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1"/>
      <c r="AM430" s="41"/>
      <c r="AN430" s="41"/>
      <c r="AO430" s="41"/>
      <c r="AP430" s="41"/>
      <c r="AQ430" s="40"/>
    </row>
    <row r="431">
      <c r="A431" s="40"/>
      <c r="B431" s="42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1"/>
      <c r="AM431" s="41"/>
      <c r="AN431" s="41"/>
      <c r="AO431" s="41"/>
      <c r="AP431" s="41"/>
      <c r="AQ431" s="40"/>
    </row>
    <row r="432">
      <c r="A432" s="40"/>
      <c r="B432" s="42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1"/>
      <c r="AM432" s="41"/>
      <c r="AN432" s="41"/>
      <c r="AO432" s="41"/>
      <c r="AP432" s="41"/>
      <c r="AQ432" s="40"/>
    </row>
    <row r="433">
      <c r="A433" s="40"/>
      <c r="B433" s="42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1"/>
      <c r="AM433" s="41"/>
      <c r="AN433" s="41"/>
      <c r="AO433" s="41"/>
      <c r="AP433" s="41"/>
      <c r="AQ433" s="40"/>
    </row>
    <row r="434">
      <c r="A434" s="40"/>
      <c r="B434" s="42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1"/>
      <c r="AM434" s="41"/>
      <c r="AN434" s="41"/>
      <c r="AO434" s="41"/>
      <c r="AP434" s="41"/>
      <c r="AQ434" s="40"/>
    </row>
    <row r="435">
      <c r="A435" s="40"/>
      <c r="B435" s="42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1"/>
      <c r="AM435" s="41"/>
      <c r="AN435" s="41"/>
      <c r="AO435" s="41"/>
      <c r="AP435" s="41"/>
      <c r="AQ435" s="40"/>
    </row>
    <row r="436">
      <c r="A436" s="40"/>
      <c r="B436" s="42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1"/>
      <c r="AM436" s="41"/>
      <c r="AN436" s="41"/>
      <c r="AO436" s="41"/>
      <c r="AP436" s="41"/>
      <c r="AQ436" s="40"/>
    </row>
    <row r="437">
      <c r="A437" s="40"/>
      <c r="B437" s="42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1"/>
      <c r="AM437" s="41"/>
      <c r="AN437" s="41"/>
      <c r="AO437" s="41"/>
      <c r="AP437" s="41"/>
      <c r="AQ437" s="40"/>
    </row>
    <row r="438">
      <c r="A438" s="40"/>
      <c r="B438" s="42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1"/>
      <c r="AM438" s="41"/>
      <c r="AN438" s="41"/>
      <c r="AO438" s="41"/>
      <c r="AP438" s="41"/>
      <c r="AQ438" s="40"/>
    </row>
    <row r="439">
      <c r="A439" s="40"/>
      <c r="B439" s="42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1"/>
      <c r="AM439" s="41"/>
      <c r="AN439" s="41"/>
      <c r="AO439" s="41"/>
      <c r="AP439" s="41"/>
      <c r="AQ439" s="40"/>
    </row>
    <row r="440">
      <c r="A440" s="40"/>
      <c r="B440" s="42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1"/>
      <c r="AM440" s="41"/>
      <c r="AN440" s="41"/>
      <c r="AO440" s="41"/>
      <c r="AP440" s="41"/>
      <c r="AQ440" s="40"/>
    </row>
    <row r="441">
      <c r="A441" s="40"/>
      <c r="B441" s="42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1"/>
      <c r="AM441" s="41"/>
      <c r="AN441" s="41"/>
      <c r="AO441" s="41"/>
      <c r="AP441" s="41"/>
      <c r="AQ441" s="40"/>
    </row>
    <row r="442">
      <c r="A442" s="40"/>
      <c r="B442" s="42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1"/>
      <c r="AM442" s="41"/>
      <c r="AN442" s="41"/>
      <c r="AO442" s="41"/>
      <c r="AP442" s="41"/>
      <c r="AQ442" s="40"/>
    </row>
    <row r="443">
      <c r="A443" s="40"/>
      <c r="B443" s="42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1"/>
      <c r="AM443" s="41"/>
      <c r="AN443" s="41"/>
      <c r="AO443" s="41"/>
      <c r="AP443" s="41"/>
      <c r="AQ443" s="40"/>
    </row>
    <row r="444">
      <c r="A444" s="40"/>
      <c r="B444" s="42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1"/>
      <c r="AM444" s="41"/>
      <c r="AN444" s="41"/>
      <c r="AO444" s="41"/>
      <c r="AP444" s="41"/>
      <c r="AQ444" s="40"/>
    </row>
    <row r="445">
      <c r="A445" s="40"/>
      <c r="B445" s="42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1"/>
      <c r="AM445" s="41"/>
      <c r="AN445" s="41"/>
      <c r="AO445" s="41"/>
      <c r="AP445" s="41"/>
      <c r="AQ445" s="40"/>
    </row>
    <row r="446">
      <c r="A446" s="40"/>
      <c r="B446" s="42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1"/>
      <c r="AM446" s="41"/>
      <c r="AN446" s="41"/>
      <c r="AO446" s="41"/>
      <c r="AP446" s="41"/>
      <c r="AQ446" s="40"/>
    </row>
    <row r="447">
      <c r="A447" s="40"/>
      <c r="B447" s="42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1"/>
      <c r="AM447" s="41"/>
      <c r="AN447" s="41"/>
      <c r="AO447" s="41"/>
      <c r="AP447" s="41"/>
      <c r="AQ447" s="40"/>
    </row>
    <row r="448">
      <c r="A448" s="40"/>
      <c r="B448" s="42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1"/>
      <c r="AM448" s="41"/>
      <c r="AN448" s="41"/>
      <c r="AO448" s="41"/>
      <c r="AP448" s="41"/>
      <c r="AQ448" s="40"/>
    </row>
    <row r="449">
      <c r="A449" s="40"/>
      <c r="B449" s="42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1"/>
      <c r="AM449" s="41"/>
      <c r="AN449" s="41"/>
      <c r="AO449" s="41"/>
      <c r="AP449" s="41"/>
      <c r="AQ449" s="40"/>
    </row>
    <row r="450">
      <c r="A450" s="40"/>
      <c r="B450" s="42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1"/>
      <c r="AM450" s="41"/>
      <c r="AN450" s="41"/>
      <c r="AO450" s="41"/>
      <c r="AP450" s="41"/>
      <c r="AQ450" s="40"/>
    </row>
    <row r="451">
      <c r="A451" s="40"/>
      <c r="B451" s="42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1"/>
      <c r="AM451" s="41"/>
      <c r="AN451" s="41"/>
      <c r="AO451" s="41"/>
      <c r="AP451" s="41"/>
      <c r="AQ451" s="40"/>
    </row>
    <row r="452">
      <c r="A452" s="40"/>
      <c r="B452" s="42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1"/>
      <c r="AM452" s="41"/>
      <c r="AN452" s="41"/>
      <c r="AO452" s="41"/>
      <c r="AP452" s="41"/>
      <c r="AQ452" s="40"/>
    </row>
    <row r="453">
      <c r="A453" s="40"/>
      <c r="B453" s="42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1"/>
      <c r="AM453" s="41"/>
      <c r="AN453" s="41"/>
      <c r="AO453" s="41"/>
      <c r="AP453" s="41"/>
      <c r="AQ453" s="40"/>
    </row>
    <row r="454">
      <c r="A454" s="40"/>
      <c r="B454" s="42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1"/>
      <c r="AM454" s="41"/>
      <c r="AN454" s="41"/>
      <c r="AO454" s="41"/>
      <c r="AP454" s="41"/>
      <c r="AQ454" s="40"/>
    </row>
    <row r="455">
      <c r="A455" s="40"/>
      <c r="B455" s="42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1"/>
      <c r="AM455" s="41"/>
      <c r="AN455" s="41"/>
      <c r="AO455" s="41"/>
      <c r="AP455" s="41"/>
      <c r="AQ455" s="40"/>
    </row>
    <row r="456">
      <c r="A456" s="40"/>
      <c r="B456" s="42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1"/>
      <c r="AM456" s="41"/>
      <c r="AN456" s="41"/>
      <c r="AO456" s="41"/>
      <c r="AP456" s="41"/>
      <c r="AQ456" s="40"/>
    </row>
    <row r="457">
      <c r="A457" s="40"/>
      <c r="B457" s="42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1"/>
      <c r="AM457" s="41"/>
      <c r="AN457" s="41"/>
      <c r="AO457" s="41"/>
      <c r="AP457" s="41"/>
      <c r="AQ457" s="40"/>
    </row>
    <row r="458">
      <c r="A458" s="40"/>
      <c r="B458" s="42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1"/>
      <c r="AM458" s="41"/>
      <c r="AN458" s="41"/>
      <c r="AO458" s="41"/>
      <c r="AP458" s="41"/>
      <c r="AQ458" s="40"/>
    </row>
    <row r="459">
      <c r="A459" s="40"/>
      <c r="B459" s="42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1"/>
      <c r="AM459" s="41"/>
      <c r="AN459" s="41"/>
      <c r="AO459" s="41"/>
      <c r="AP459" s="41"/>
      <c r="AQ459" s="40"/>
    </row>
    <row r="460">
      <c r="A460" s="40"/>
      <c r="B460" s="42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1"/>
      <c r="AM460" s="41"/>
      <c r="AN460" s="41"/>
      <c r="AO460" s="41"/>
      <c r="AP460" s="41"/>
      <c r="AQ460" s="40"/>
    </row>
    <row r="461">
      <c r="A461" s="40"/>
      <c r="B461" s="42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1"/>
      <c r="AM461" s="41"/>
      <c r="AN461" s="41"/>
      <c r="AO461" s="41"/>
      <c r="AP461" s="41"/>
      <c r="AQ461" s="40"/>
    </row>
    <row r="462">
      <c r="A462" s="40"/>
      <c r="B462" s="42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1"/>
      <c r="AM462" s="41"/>
      <c r="AN462" s="41"/>
      <c r="AO462" s="41"/>
      <c r="AP462" s="41"/>
      <c r="AQ462" s="40"/>
    </row>
    <row r="463">
      <c r="A463" s="40"/>
      <c r="B463" s="42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1"/>
      <c r="AM463" s="41"/>
      <c r="AN463" s="41"/>
      <c r="AO463" s="41"/>
      <c r="AP463" s="41"/>
      <c r="AQ463" s="40"/>
    </row>
    <row r="464">
      <c r="A464" s="40"/>
      <c r="B464" s="42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1"/>
      <c r="AM464" s="41"/>
      <c r="AN464" s="41"/>
      <c r="AO464" s="41"/>
      <c r="AP464" s="41"/>
      <c r="AQ464" s="40"/>
    </row>
    <row r="465">
      <c r="A465" s="40"/>
      <c r="B465" s="42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1"/>
      <c r="AM465" s="41"/>
      <c r="AN465" s="41"/>
      <c r="AO465" s="41"/>
      <c r="AP465" s="41"/>
      <c r="AQ465" s="40"/>
    </row>
    <row r="466">
      <c r="A466" s="40"/>
      <c r="B466" s="42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1"/>
      <c r="AM466" s="41"/>
      <c r="AN466" s="41"/>
      <c r="AO466" s="41"/>
      <c r="AP466" s="41"/>
      <c r="AQ466" s="40"/>
    </row>
    <row r="467">
      <c r="A467" s="40"/>
      <c r="B467" s="42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1"/>
      <c r="AM467" s="41"/>
      <c r="AN467" s="41"/>
      <c r="AO467" s="41"/>
      <c r="AP467" s="41"/>
      <c r="AQ467" s="40"/>
    </row>
    <row r="468">
      <c r="A468" s="40"/>
      <c r="B468" s="42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1"/>
      <c r="AM468" s="41"/>
      <c r="AN468" s="41"/>
      <c r="AO468" s="41"/>
      <c r="AP468" s="41"/>
      <c r="AQ468" s="40"/>
    </row>
    <row r="469">
      <c r="A469" s="40"/>
      <c r="B469" s="42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1"/>
      <c r="AM469" s="41"/>
      <c r="AN469" s="41"/>
      <c r="AO469" s="41"/>
      <c r="AP469" s="41"/>
      <c r="AQ469" s="40"/>
    </row>
    <row r="470">
      <c r="A470" s="40"/>
      <c r="B470" s="42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1"/>
      <c r="AM470" s="41"/>
      <c r="AN470" s="41"/>
      <c r="AO470" s="41"/>
      <c r="AP470" s="41"/>
      <c r="AQ470" s="40"/>
    </row>
    <row r="471">
      <c r="A471" s="40"/>
      <c r="B471" s="42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1"/>
      <c r="AM471" s="41"/>
      <c r="AN471" s="41"/>
      <c r="AO471" s="41"/>
      <c r="AP471" s="41"/>
      <c r="AQ471" s="40"/>
    </row>
    <row r="472">
      <c r="A472" s="40"/>
      <c r="B472" s="42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1"/>
      <c r="AM472" s="41"/>
      <c r="AN472" s="41"/>
      <c r="AO472" s="41"/>
      <c r="AP472" s="41"/>
      <c r="AQ472" s="40"/>
    </row>
    <row r="473">
      <c r="A473" s="40"/>
      <c r="B473" s="42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1"/>
      <c r="AM473" s="41"/>
      <c r="AN473" s="41"/>
      <c r="AO473" s="41"/>
      <c r="AP473" s="41"/>
      <c r="AQ473" s="40"/>
    </row>
    <row r="474">
      <c r="A474" s="40"/>
      <c r="B474" s="42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1"/>
      <c r="AM474" s="41"/>
      <c r="AN474" s="41"/>
      <c r="AO474" s="41"/>
      <c r="AP474" s="41"/>
      <c r="AQ474" s="40"/>
    </row>
    <row r="475">
      <c r="A475" s="40"/>
      <c r="B475" s="42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1"/>
      <c r="AM475" s="41"/>
      <c r="AN475" s="41"/>
      <c r="AO475" s="41"/>
      <c r="AP475" s="41"/>
      <c r="AQ475" s="40"/>
    </row>
    <row r="476">
      <c r="A476" s="40"/>
      <c r="B476" s="42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1"/>
      <c r="AM476" s="41"/>
      <c r="AN476" s="41"/>
      <c r="AO476" s="41"/>
      <c r="AP476" s="41"/>
      <c r="AQ476" s="40"/>
    </row>
    <row r="477">
      <c r="A477" s="40"/>
      <c r="B477" s="42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1"/>
      <c r="AM477" s="41"/>
      <c r="AN477" s="41"/>
      <c r="AO477" s="41"/>
      <c r="AP477" s="41"/>
      <c r="AQ477" s="40"/>
    </row>
    <row r="478">
      <c r="A478" s="40"/>
      <c r="B478" s="42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1"/>
      <c r="AM478" s="41"/>
      <c r="AN478" s="41"/>
      <c r="AO478" s="41"/>
      <c r="AP478" s="41"/>
      <c r="AQ478" s="40"/>
    </row>
    <row r="479">
      <c r="A479" s="40"/>
      <c r="B479" s="42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1"/>
      <c r="AM479" s="41"/>
      <c r="AN479" s="41"/>
      <c r="AO479" s="41"/>
      <c r="AP479" s="41"/>
      <c r="AQ479" s="40"/>
    </row>
    <row r="480">
      <c r="A480" s="40"/>
      <c r="B480" s="42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1"/>
      <c r="AM480" s="41"/>
      <c r="AN480" s="41"/>
      <c r="AO480" s="41"/>
      <c r="AP480" s="41"/>
      <c r="AQ480" s="40"/>
    </row>
    <row r="481">
      <c r="A481" s="40"/>
      <c r="B481" s="42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1"/>
      <c r="AM481" s="41"/>
      <c r="AN481" s="41"/>
      <c r="AO481" s="41"/>
      <c r="AP481" s="41"/>
      <c r="AQ481" s="40"/>
    </row>
    <row r="482">
      <c r="A482" s="40"/>
      <c r="B482" s="42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1"/>
      <c r="AM482" s="41"/>
      <c r="AN482" s="41"/>
      <c r="AO482" s="41"/>
      <c r="AP482" s="41"/>
      <c r="AQ482" s="40"/>
    </row>
    <row r="483">
      <c r="A483" s="40"/>
      <c r="B483" s="42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1"/>
      <c r="AM483" s="41"/>
      <c r="AN483" s="41"/>
      <c r="AO483" s="41"/>
      <c r="AP483" s="41"/>
      <c r="AQ483" s="40"/>
    </row>
    <row r="484">
      <c r="A484" s="40"/>
      <c r="B484" s="42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1"/>
      <c r="AM484" s="41"/>
      <c r="AN484" s="41"/>
      <c r="AO484" s="41"/>
      <c r="AP484" s="41"/>
      <c r="AQ484" s="40"/>
    </row>
    <row r="485">
      <c r="A485" s="40"/>
      <c r="B485" s="42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1"/>
      <c r="AM485" s="41"/>
      <c r="AN485" s="41"/>
      <c r="AO485" s="41"/>
      <c r="AP485" s="41"/>
      <c r="AQ485" s="40"/>
    </row>
    <row r="486">
      <c r="A486" s="40"/>
      <c r="B486" s="42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1"/>
      <c r="AM486" s="41"/>
      <c r="AN486" s="41"/>
      <c r="AO486" s="41"/>
      <c r="AP486" s="41"/>
      <c r="AQ486" s="40"/>
    </row>
    <row r="487">
      <c r="A487" s="40"/>
      <c r="B487" s="42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1"/>
      <c r="AM487" s="41"/>
      <c r="AN487" s="41"/>
      <c r="AO487" s="41"/>
      <c r="AP487" s="41"/>
      <c r="AQ487" s="40"/>
    </row>
    <row r="488">
      <c r="A488" s="40"/>
      <c r="B488" s="42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1"/>
      <c r="AM488" s="41"/>
      <c r="AN488" s="41"/>
      <c r="AO488" s="41"/>
      <c r="AP488" s="41"/>
      <c r="AQ488" s="40"/>
    </row>
    <row r="489">
      <c r="A489" s="40"/>
      <c r="B489" s="42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1"/>
      <c r="AM489" s="41"/>
      <c r="AN489" s="41"/>
      <c r="AO489" s="41"/>
      <c r="AP489" s="41"/>
      <c r="AQ489" s="40"/>
    </row>
    <row r="490">
      <c r="A490" s="40"/>
      <c r="B490" s="42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1"/>
      <c r="AM490" s="41"/>
      <c r="AN490" s="41"/>
      <c r="AO490" s="41"/>
      <c r="AP490" s="41"/>
      <c r="AQ490" s="40"/>
    </row>
    <row r="491">
      <c r="A491" s="40"/>
      <c r="B491" s="42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1"/>
      <c r="AM491" s="41"/>
      <c r="AN491" s="41"/>
      <c r="AO491" s="41"/>
      <c r="AP491" s="41"/>
      <c r="AQ491" s="40"/>
    </row>
    <row r="492">
      <c r="A492" s="40"/>
      <c r="B492" s="42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1"/>
      <c r="AM492" s="41"/>
      <c r="AN492" s="41"/>
      <c r="AO492" s="41"/>
      <c r="AP492" s="41"/>
      <c r="AQ492" s="40"/>
    </row>
    <row r="493">
      <c r="A493" s="40"/>
      <c r="B493" s="42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1"/>
      <c r="AM493" s="41"/>
      <c r="AN493" s="41"/>
      <c r="AO493" s="41"/>
      <c r="AP493" s="41"/>
      <c r="AQ493" s="40"/>
    </row>
    <row r="494">
      <c r="A494" s="40"/>
      <c r="B494" s="42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1"/>
      <c r="AM494" s="41"/>
      <c r="AN494" s="41"/>
      <c r="AO494" s="41"/>
      <c r="AP494" s="41"/>
      <c r="AQ494" s="40"/>
    </row>
    <row r="495">
      <c r="A495" s="40"/>
      <c r="B495" s="42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1"/>
      <c r="AM495" s="41"/>
      <c r="AN495" s="41"/>
      <c r="AO495" s="41"/>
      <c r="AP495" s="41"/>
      <c r="AQ495" s="40"/>
    </row>
    <row r="496">
      <c r="A496" s="40"/>
      <c r="B496" s="42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1"/>
      <c r="AM496" s="41"/>
      <c r="AN496" s="41"/>
      <c r="AO496" s="41"/>
      <c r="AP496" s="41"/>
      <c r="AQ496" s="40"/>
    </row>
    <row r="497">
      <c r="A497" s="40"/>
      <c r="B497" s="42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1"/>
      <c r="AM497" s="41"/>
      <c r="AN497" s="41"/>
      <c r="AO497" s="41"/>
      <c r="AP497" s="41"/>
      <c r="AQ497" s="40"/>
    </row>
    <row r="498">
      <c r="A498" s="40"/>
      <c r="B498" s="42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1"/>
      <c r="AM498" s="41"/>
      <c r="AN498" s="41"/>
      <c r="AO498" s="41"/>
      <c r="AP498" s="41"/>
      <c r="AQ498" s="40"/>
    </row>
    <row r="499">
      <c r="A499" s="40"/>
      <c r="B499" s="42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1"/>
      <c r="AM499" s="41"/>
      <c r="AN499" s="41"/>
      <c r="AO499" s="41"/>
      <c r="AP499" s="41"/>
      <c r="AQ499" s="40"/>
    </row>
    <row r="500">
      <c r="A500" s="40"/>
      <c r="B500" s="42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1"/>
      <c r="AM500" s="41"/>
      <c r="AN500" s="41"/>
      <c r="AO500" s="41"/>
      <c r="AP500" s="41"/>
      <c r="AQ500" s="40"/>
    </row>
    <row r="501">
      <c r="A501" s="40"/>
      <c r="B501" s="42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1"/>
      <c r="AM501" s="41"/>
      <c r="AN501" s="41"/>
      <c r="AO501" s="41"/>
      <c r="AP501" s="41"/>
      <c r="AQ501" s="40"/>
    </row>
    <row r="502">
      <c r="A502" s="40"/>
      <c r="B502" s="42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1"/>
      <c r="AM502" s="41"/>
      <c r="AN502" s="41"/>
      <c r="AO502" s="41"/>
      <c r="AP502" s="41"/>
      <c r="AQ502" s="40"/>
    </row>
    <row r="503">
      <c r="A503" s="40"/>
      <c r="B503" s="42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1"/>
      <c r="AM503" s="41"/>
      <c r="AN503" s="41"/>
      <c r="AO503" s="41"/>
      <c r="AP503" s="41"/>
      <c r="AQ503" s="40"/>
    </row>
    <row r="504">
      <c r="A504" s="40"/>
      <c r="B504" s="42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1"/>
      <c r="AM504" s="41"/>
      <c r="AN504" s="41"/>
      <c r="AO504" s="41"/>
      <c r="AP504" s="41"/>
      <c r="AQ504" s="40"/>
    </row>
    <row r="505">
      <c r="A505" s="40"/>
      <c r="B505" s="42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1"/>
      <c r="AM505" s="41"/>
      <c r="AN505" s="41"/>
      <c r="AO505" s="41"/>
      <c r="AP505" s="41"/>
      <c r="AQ505" s="40"/>
    </row>
    <row r="506">
      <c r="A506" s="40"/>
      <c r="B506" s="42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1"/>
      <c r="AM506" s="41"/>
      <c r="AN506" s="41"/>
      <c r="AO506" s="41"/>
      <c r="AP506" s="41"/>
      <c r="AQ506" s="40"/>
    </row>
    <row r="507">
      <c r="A507" s="40"/>
      <c r="B507" s="42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1"/>
      <c r="AM507" s="41"/>
      <c r="AN507" s="41"/>
      <c r="AO507" s="41"/>
      <c r="AP507" s="41"/>
      <c r="AQ507" s="40"/>
    </row>
    <row r="508">
      <c r="A508" s="40"/>
      <c r="B508" s="42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1"/>
      <c r="AM508" s="41"/>
      <c r="AN508" s="41"/>
      <c r="AO508" s="41"/>
      <c r="AP508" s="41"/>
      <c r="AQ508" s="40"/>
    </row>
    <row r="509">
      <c r="A509" s="40"/>
      <c r="B509" s="42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1"/>
      <c r="AM509" s="41"/>
      <c r="AN509" s="41"/>
      <c r="AO509" s="41"/>
      <c r="AP509" s="41"/>
      <c r="AQ509" s="40"/>
    </row>
    <row r="510">
      <c r="A510" s="40"/>
      <c r="B510" s="42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1"/>
      <c r="AM510" s="41"/>
      <c r="AN510" s="41"/>
      <c r="AO510" s="41"/>
      <c r="AP510" s="41"/>
      <c r="AQ510" s="40"/>
    </row>
    <row r="511">
      <c r="A511" s="40"/>
      <c r="B511" s="42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1"/>
      <c r="AM511" s="41"/>
      <c r="AN511" s="41"/>
      <c r="AO511" s="41"/>
      <c r="AP511" s="41"/>
      <c r="AQ511" s="40"/>
    </row>
    <row r="512">
      <c r="A512" s="40"/>
      <c r="B512" s="42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1"/>
      <c r="AM512" s="41"/>
      <c r="AN512" s="41"/>
      <c r="AO512" s="41"/>
      <c r="AP512" s="41"/>
      <c r="AQ512" s="40"/>
    </row>
    <row r="513">
      <c r="A513" s="40"/>
      <c r="B513" s="42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1"/>
      <c r="AM513" s="41"/>
      <c r="AN513" s="41"/>
      <c r="AO513" s="41"/>
      <c r="AP513" s="41"/>
      <c r="AQ513" s="40"/>
    </row>
    <row r="514">
      <c r="A514" s="40"/>
      <c r="B514" s="42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1"/>
      <c r="AM514" s="41"/>
      <c r="AN514" s="41"/>
      <c r="AO514" s="41"/>
      <c r="AP514" s="41"/>
      <c r="AQ514" s="40"/>
    </row>
    <row r="515">
      <c r="A515" s="40"/>
      <c r="B515" s="42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1"/>
      <c r="AM515" s="41"/>
      <c r="AN515" s="41"/>
      <c r="AO515" s="41"/>
      <c r="AP515" s="41"/>
      <c r="AQ515" s="40"/>
    </row>
    <row r="516">
      <c r="A516" s="40"/>
      <c r="B516" s="42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1"/>
      <c r="AM516" s="41"/>
      <c r="AN516" s="41"/>
      <c r="AO516" s="41"/>
      <c r="AP516" s="41"/>
      <c r="AQ516" s="40"/>
    </row>
    <row r="517">
      <c r="A517" s="40"/>
      <c r="B517" s="42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1"/>
      <c r="AM517" s="41"/>
      <c r="AN517" s="41"/>
      <c r="AO517" s="41"/>
      <c r="AP517" s="41"/>
      <c r="AQ517" s="40"/>
    </row>
    <row r="518">
      <c r="A518" s="40"/>
      <c r="B518" s="42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1"/>
      <c r="AM518" s="41"/>
      <c r="AN518" s="41"/>
      <c r="AO518" s="41"/>
      <c r="AP518" s="41"/>
      <c r="AQ518" s="40"/>
    </row>
    <row r="519">
      <c r="A519" s="40"/>
      <c r="B519" s="42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1"/>
      <c r="AM519" s="41"/>
      <c r="AN519" s="41"/>
      <c r="AO519" s="41"/>
      <c r="AP519" s="41"/>
      <c r="AQ519" s="40"/>
    </row>
    <row r="520">
      <c r="A520" s="40"/>
      <c r="B520" s="42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1"/>
      <c r="AM520" s="41"/>
      <c r="AN520" s="41"/>
      <c r="AO520" s="41"/>
      <c r="AP520" s="41"/>
      <c r="AQ520" s="40"/>
    </row>
    <row r="521">
      <c r="A521" s="40"/>
      <c r="B521" s="42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1"/>
      <c r="AM521" s="41"/>
      <c r="AN521" s="41"/>
      <c r="AO521" s="41"/>
      <c r="AP521" s="41"/>
      <c r="AQ521" s="40"/>
    </row>
    <row r="522">
      <c r="A522" s="40"/>
      <c r="B522" s="42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1"/>
      <c r="AM522" s="41"/>
      <c r="AN522" s="41"/>
      <c r="AO522" s="41"/>
      <c r="AP522" s="41"/>
      <c r="AQ522" s="40"/>
    </row>
    <row r="523">
      <c r="A523" s="40"/>
      <c r="B523" s="42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1"/>
      <c r="AM523" s="41"/>
      <c r="AN523" s="41"/>
      <c r="AO523" s="41"/>
      <c r="AP523" s="41"/>
      <c r="AQ523" s="40"/>
    </row>
    <row r="524">
      <c r="A524" s="40"/>
      <c r="B524" s="42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1"/>
      <c r="AM524" s="41"/>
      <c r="AN524" s="41"/>
      <c r="AO524" s="41"/>
      <c r="AP524" s="41"/>
      <c r="AQ524" s="40"/>
    </row>
    <row r="525">
      <c r="A525" s="40"/>
      <c r="B525" s="42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1"/>
      <c r="AM525" s="41"/>
      <c r="AN525" s="41"/>
      <c r="AO525" s="41"/>
      <c r="AP525" s="41"/>
      <c r="AQ525" s="40"/>
    </row>
    <row r="526">
      <c r="A526" s="40"/>
      <c r="B526" s="42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1"/>
      <c r="AM526" s="41"/>
      <c r="AN526" s="41"/>
      <c r="AO526" s="41"/>
      <c r="AP526" s="41"/>
      <c r="AQ526" s="40"/>
    </row>
    <row r="527">
      <c r="A527" s="40"/>
      <c r="B527" s="42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1"/>
      <c r="AM527" s="41"/>
      <c r="AN527" s="41"/>
      <c r="AO527" s="41"/>
      <c r="AP527" s="41"/>
      <c r="AQ527" s="40"/>
    </row>
    <row r="528">
      <c r="A528" s="40"/>
      <c r="B528" s="42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1"/>
      <c r="AM528" s="41"/>
      <c r="AN528" s="41"/>
      <c r="AO528" s="41"/>
      <c r="AP528" s="41"/>
      <c r="AQ528" s="40"/>
    </row>
    <row r="529">
      <c r="A529" s="40"/>
      <c r="B529" s="42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1"/>
      <c r="AM529" s="41"/>
      <c r="AN529" s="41"/>
      <c r="AO529" s="41"/>
      <c r="AP529" s="41"/>
      <c r="AQ529" s="40"/>
    </row>
    <row r="530">
      <c r="A530" s="40"/>
      <c r="B530" s="42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1"/>
      <c r="AM530" s="41"/>
      <c r="AN530" s="41"/>
      <c r="AO530" s="41"/>
      <c r="AP530" s="41"/>
      <c r="AQ530" s="40"/>
    </row>
    <row r="531">
      <c r="A531" s="40"/>
      <c r="B531" s="42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1"/>
      <c r="AM531" s="41"/>
      <c r="AN531" s="41"/>
      <c r="AO531" s="41"/>
      <c r="AP531" s="41"/>
      <c r="AQ531" s="40"/>
    </row>
    <row r="532">
      <c r="A532" s="40"/>
      <c r="B532" s="42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1"/>
      <c r="AM532" s="41"/>
      <c r="AN532" s="41"/>
      <c r="AO532" s="41"/>
      <c r="AP532" s="41"/>
      <c r="AQ532" s="40"/>
    </row>
    <row r="533">
      <c r="A533" s="40"/>
      <c r="B533" s="42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1"/>
      <c r="AM533" s="41"/>
      <c r="AN533" s="41"/>
      <c r="AO533" s="41"/>
      <c r="AP533" s="41"/>
      <c r="AQ533" s="40"/>
    </row>
    <row r="534">
      <c r="A534" s="40"/>
      <c r="B534" s="42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1"/>
      <c r="AM534" s="41"/>
      <c r="AN534" s="41"/>
      <c r="AO534" s="41"/>
      <c r="AP534" s="41"/>
      <c r="AQ534" s="40"/>
    </row>
    <row r="535">
      <c r="A535" s="40"/>
      <c r="B535" s="42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1"/>
      <c r="AM535" s="41"/>
      <c r="AN535" s="41"/>
      <c r="AO535" s="41"/>
      <c r="AP535" s="41"/>
      <c r="AQ535" s="40"/>
    </row>
    <row r="536">
      <c r="A536" s="40"/>
      <c r="B536" s="42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1"/>
      <c r="AM536" s="41"/>
      <c r="AN536" s="41"/>
      <c r="AO536" s="41"/>
      <c r="AP536" s="41"/>
      <c r="AQ536" s="40"/>
    </row>
    <row r="537">
      <c r="A537" s="40"/>
      <c r="B537" s="42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1"/>
      <c r="AM537" s="41"/>
      <c r="AN537" s="41"/>
      <c r="AO537" s="41"/>
      <c r="AP537" s="41"/>
      <c r="AQ537" s="40"/>
    </row>
    <row r="538">
      <c r="A538" s="40"/>
      <c r="B538" s="42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1"/>
      <c r="AM538" s="41"/>
      <c r="AN538" s="41"/>
      <c r="AO538" s="41"/>
      <c r="AP538" s="41"/>
      <c r="AQ538" s="40"/>
    </row>
    <row r="539">
      <c r="A539" s="40"/>
      <c r="B539" s="42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1"/>
      <c r="AM539" s="41"/>
      <c r="AN539" s="41"/>
      <c r="AO539" s="41"/>
      <c r="AP539" s="41"/>
      <c r="AQ539" s="40"/>
    </row>
    <row r="540">
      <c r="A540" s="40"/>
      <c r="B540" s="42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1"/>
      <c r="AM540" s="41"/>
      <c r="AN540" s="41"/>
      <c r="AO540" s="41"/>
      <c r="AP540" s="41"/>
      <c r="AQ540" s="40"/>
    </row>
    <row r="541">
      <c r="A541" s="40"/>
      <c r="B541" s="42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1"/>
      <c r="AM541" s="41"/>
      <c r="AN541" s="41"/>
      <c r="AO541" s="41"/>
      <c r="AP541" s="41"/>
      <c r="AQ541" s="40"/>
    </row>
    <row r="542">
      <c r="A542" s="40"/>
      <c r="B542" s="42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1"/>
      <c r="AM542" s="41"/>
      <c r="AN542" s="41"/>
      <c r="AO542" s="41"/>
      <c r="AP542" s="41"/>
      <c r="AQ542" s="40"/>
    </row>
    <row r="543">
      <c r="A543" s="40"/>
      <c r="B543" s="42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1"/>
      <c r="AM543" s="41"/>
      <c r="AN543" s="41"/>
      <c r="AO543" s="41"/>
      <c r="AP543" s="41"/>
      <c r="AQ543" s="40"/>
    </row>
    <row r="544">
      <c r="A544" s="40"/>
      <c r="B544" s="42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1"/>
      <c r="AM544" s="41"/>
      <c r="AN544" s="41"/>
      <c r="AO544" s="41"/>
      <c r="AP544" s="41"/>
      <c r="AQ544" s="40"/>
    </row>
    <row r="545">
      <c r="A545" s="40"/>
      <c r="B545" s="42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1"/>
      <c r="AM545" s="41"/>
      <c r="AN545" s="41"/>
      <c r="AO545" s="41"/>
      <c r="AP545" s="41"/>
      <c r="AQ545" s="40"/>
    </row>
    <row r="546">
      <c r="A546" s="40"/>
      <c r="B546" s="42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1"/>
      <c r="AM546" s="41"/>
      <c r="AN546" s="41"/>
      <c r="AO546" s="41"/>
      <c r="AP546" s="41"/>
      <c r="AQ546" s="40"/>
    </row>
    <row r="547">
      <c r="A547" s="40"/>
      <c r="B547" s="42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1"/>
      <c r="AM547" s="41"/>
      <c r="AN547" s="41"/>
      <c r="AO547" s="41"/>
      <c r="AP547" s="41"/>
      <c r="AQ547" s="40"/>
    </row>
    <row r="548">
      <c r="A548" s="40"/>
      <c r="B548" s="42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1"/>
      <c r="AM548" s="41"/>
      <c r="AN548" s="41"/>
      <c r="AO548" s="41"/>
      <c r="AP548" s="41"/>
      <c r="AQ548" s="40"/>
    </row>
    <row r="549">
      <c r="A549" s="40"/>
      <c r="B549" s="42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1"/>
      <c r="AM549" s="41"/>
      <c r="AN549" s="41"/>
      <c r="AO549" s="41"/>
      <c r="AP549" s="41"/>
      <c r="AQ549" s="40"/>
    </row>
    <row r="550">
      <c r="A550" s="40"/>
      <c r="B550" s="42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1"/>
      <c r="AM550" s="41"/>
      <c r="AN550" s="41"/>
      <c r="AO550" s="41"/>
      <c r="AP550" s="41"/>
      <c r="AQ550" s="40"/>
    </row>
    <row r="551">
      <c r="A551" s="40"/>
      <c r="B551" s="42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1"/>
      <c r="AM551" s="41"/>
      <c r="AN551" s="41"/>
      <c r="AO551" s="41"/>
      <c r="AP551" s="41"/>
      <c r="AQ551" s="40"/>
    </row>
    <row r="552">
      <c r="A552" s="40"/>
      <c r="B552" s="42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1"/>
      <c r="AM552" s="41"/>
      <c r="AN552" s="41"/>
      <c r="AO552" s="41"/>
      <c r="AP552" s="41"/>
      <c r="AQ552" s="40"/>
    </row>
    <row r="553">
      <c r="A553" s="40"/>
      <c r="B553" s="42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1"/>
      <c r="AM553" s="41"/>
      <c r="AN553" s="41"/>
      <c r="AO553" s="41"/>
      <c r="AP553" s="41"/>
      <c r="AQ553" s="40"/>
    </row>
    <row r="554">
      <c r="A554" s="40"/>
      <c r="B554" s="42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1"/>
      <c r="AM554" s="41"/>
      <c r="AN554" s="41"/>
      <c r="AO554" s="41"/>
      <c r="AP554" s="41"/>
      <c r="AQ554" s="40"/>
    </row>
    <row r="555">
      <c r="A555" s="40"/>
      <c r="B555" s="42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1"/>
      <c r="AM555" s="41"/>
      <c r="AN555" s="41"/>
      <c r="AO555" s="41"/>
      <c r="AP555" s="41"/>
      <c r="AQ555" s="40"/>
    </row>
    <row r="556">
      <c r="A556" s="40"/>
      <c r="B556" s="42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1"/>
      <c r="AM556" s="41"/>
      <c r="AN556" s="41"/>
      <c r="AO556" s="41"/>
      <c r="AP556" s="41"/>
      <c r="AQ556" s="40"/>
    </row>
    <row r="557">
      <c r="A557" s="40"/>
      <c r="B557" s="42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1"/>
      <c r="AM557" s="41"/>
      <c r="AN557" s="41"/>
      <c r="AO557" s="41"/>
      <c r="AP557" s="41"/>
      <c r="AQ557" s="40"/>
    </row>
    <row r="558">
      <c r="A558" s="40"/>
      <c r="B558" s="42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1"/>
      <c r="AM558" s="41"/>
      <c r="AN558" s="41"/>
      <c r="AO558" s="41"/>
      <c r="AP558" s="41"/>
      <c r="AQ558" s="40"/>
    </row>
    <row r="559">
      <c r="A559" s="40"/>
      <c r="B559" s="42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1"/>
      <c r="AM559" s="41"/>
      <c r="AN559" s="41"/>
      <c r="AO559" s="41"/>
      <c r="AP559" s="41"/>
      <c r="AQ559" s="40"/>
    </row>
    <row r="560">
      <c r="A560" s="40"/>
      <c r="B560" s="42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1"/>
      <c r="AM560" s="41"/>
      <c r="AN560" s="41"/>
      <c r="AO560" s="41"/>
      <c r="AP560" s="41"/>
      <c r="AQ560" s="40"/>
    </row>
    <row r="561">
      <c r="A561" s="40"/>
      <c r="B561" s="42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1"/>
      <c r="AM561" s="41"/>
      <c r="AN561" s="41"/>
      <c r="AO561" s="41"/>
      <c r="AP561" s="41"/>
      <c r="AQ561" s="40"/>
    </row>
    <row r="562">
      <c r="A562" s="40"/>
      <c r="B562" s="42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1"/>
      <c r="AM562" s="41"/>
      <c r="AN562" s="41"/>
      <c r="AO562" s="41"/>
      <c r="AP562" s="41"/>
      <c r="AQ562" s="40"/>
    </row>
    <row r="563">
      <c r="A563" s="40"/>
      <c r="B563" s="42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1"/>
      <c r="AM563" s="41"/>
      <c r="AN563" s="41"/>
      <c r="AO563" s="41"/>
      <c r="AP563" s="41"/>
      <c r="AQ563" s="40"/>
    </row>
    <row r="564">
      <c r="A564" s="40"/>
      <c r="B564" s="42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1"/>
      <c r="AM564" s="41"/>
      <c r="AN564" s="41"/>
      <c r="AO564" s="41"/>
      <c r="AP564" s="41"/>
      <c r="AQ564" s="40"/>
    </row>
    <row r="565">
      <c r="A565" s="40"/>
      <c r="B565" s="42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1"/>
      <c r="AM565" s="41"/>
      <c r="AN565" s="41"/>
      <c r="AO565" s="41"/>
      <c r="AP565" s="41"/>
      <c r="AQ565" s="40"/>
    </row>
    <row r="566">
      <c r="A566" s="40"/>
      <c r="B566" s="42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1"/>
      <c r="AM566" s="41"/>
      <c r="AN566" s="41"/>
      <c r="AO566" s="41"/>
      <c r="AP566" s="41"/>
      <c r="AQ566" s="40"/>
    </row>
    <row r="567">
      <c r="A567" s="40"/>
      <c r="B567" s="42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1"/>
      <c r="AM567" s="41"/>
      <c r="AN567" s="41"/>
      <c r="AO567" s="41"/>
      <c r="AP567" s="41"/>
      <c r="AQ567" s="40"/>
    </row>
    <row r="568">
      <c r="A568" s="40"/>
      <c r="B568" s="42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1"/>
      <c r="AM568" s="41"/>
      <c r="AN568" s="41"/>
      <c r="AO568" s="41"/>
      <c r="AP568" s="41"/>
      <c r="AQ568" s="40"/>
    </row>
    <row r="569">
      <c r="A569" s="40"/>
      <c r="B569" s="42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1"/>
      <c r="AM569" s="41"/>
      <c r="AN569" s="41"/>
      <c r="AO569" s="41"/>
      <c r="AP569" s="41"/>
      <c r="AQ569" s="40"/>
    </row>
    <row r="570">
      <c r="A570" s="40"/>
      <c r="B570" s="42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1"/>
      <c r="AM570" s="41"/>
      <c r="AN570" s="41"/>
      <c r="AO570" s="41"/>
      <c r="AP570" s="41"/>
      <c r="AQ570" s="40"/>
    </row>
    <row r="571">
      <c r="A571" s="40"/>
      <c r="B571" s="42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1"/>
      <c r="AM571" s="41"/>
      <c r="AN571" s="41"/>
      <c r="AO571" s="41"/>
      <c r="AP571" s="41"/>
      <c r="AQ571" s="40"/>
    </row>
    <row r="572">
      <c r="A572" s="40"/>
      <c r="B572" s="42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1"/>
      <c r="AM572" s="41"/>
      <c r="AN572" s="41"/>
      <c r="AO572" s="41"/>
      <c r="AP572" s="41"/>
      <c r="AQ572" s="40"/>
    </row>
    <row r="573">
      <c r="A573" s="40"/>
      <c r="B573" s="42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1"/>
      <c r="AM573" s="41"/>
      <c r="AN573" s="41"/>
      <c r="AO573" s="41"/>
      <c r="AP573" s="41"/>
      <c r="AQ573" s="40"/>
    </row>
    <row r="574">
      <c r="A574" s="40"/>
      <c r="B574" s="42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1"/>
      <c r="AM574" s="41"/>
      <c r="AN574" s="41"/>
      <c r="AO574" s="41"/>
      <c r="AP574" s="41"/>
      <c r="AQ574" s="40"/>
    </row>
    <row r="575">
      <c r="A575" s="40"/>
      <c r="B575" s="42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1"/>
      <c r="AM575" s="41"/>
      <c r="AN575" s="41"/>
      <c r="AO575" s="41"/>
      <c r="AP575" s="41"/>
      <c r="AQ575" s="40"/>
    </row>
    <row r="576">
      <c r="A576" s="40"/>
      <c r="B576" s="42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1"/>
      <c r="AM576" s="41"/>
      <c r="AN576" s="41"/>
      <c r="AO576" s="41"/>
      <c r="AP576" s="41"/>
      <c r="AQ576" s="40"/>
    </row>
    <row r="577">
      <c r="A577" s="40"/>
      <c r="B577" s="42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1"/>
      <c r="AM577" s="41"/>
      <c r="AN577" s="41"/>
      <c r="AO577" s="41"/>
      <c r="AP577" s="41"/>
      <c r="AQ577" s="40"/>
    </row>
    <row r="578">
      <c r="A578" s="40"/>
      <c r="B578" s="42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1"/>
      <c r="AM578" s="41"/>
      <c r="AN578" s="41"/>
      <c r="AO578" s="41"/>
      <c r="AP578" s="41"/>
      <c r="AQ578" s="40"/>
    </row>
    <row r="579">
      <c r="A579" s="40"/>
      <c r="B579" s="42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1"/>
      <c r="AM579" s="41"/>
      <c r="AN579" s="41"/>
      <c r="AO579" s="41"/>
      <c r="AP579" s="41"/>
      <c r="AQ579" s="40"/>
    </row>
    <row r="580">
      <c r="A580" s="40"/>
      <c r="B580" s="42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1"/>
      <c r="AM580" s="41"/>
      <c r="AN580" s="41"/>
      <c r="AO580" s="41"/>
      <c r="AP580" s="41"/>
      <c r="AQ580" s="40"/>
    </row>
    <row r="581">
      <c r="A581" s="40"/>
      <c r="B581" s="42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1"/>
      <c r="AM581" s="41"/>
      <c r="AN581" s="41"/>
      <c r="AO581" s="41"/>
      <c r="AP581" s="41"/>
      <c r="AQ581" s="40"/>
    </row>
    <row r="582">
      <c r="A582" s="40"/>
      <c r="B582" s="42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1"/>
      <c r="AM582" s="41"/>
      <c r="AN582" s="41"/>
      <c r="AO582" s="41"/>
      <c r="AP582" s="41"/>
      <c r="AQ582" s="40"/>
    </row>
    <row r="583">
      <c r="A583" s="40"/>
      <c r="B583" s="42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1"/>
      <c r="AM583" s="41"/>
      <c r="AN583" s="41"/>
      <c r="AO583" s="41"/>
      <c r="AP583" s="41"/>
      <c r="AQ583" s="40"/>
    </row>
    <row r="584">
      <c r="A584" s="40"/>
      <c r="B584" s="42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1"/>
      <c r="AM584" s="41"/>
      <c r="AN584" s="41"/>
      <c r="AO584" s="41"/>
      <c r="AP584" s="41"/>
      <c r="AQ584" s="40"/>
    </row>
    <row r="585">
      <c r="A585" s="40"/>
      <c r="B585" s="42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1"/>
      <c r="AM585" s="41"/>
      <c r="AN585" s="41"/>
      <c r="AO585" s="41"/>
      <c r="AP585" s="41"/>
      <c r="AQ585" s="40"/>
    </row>
    <row r="586">
      <c r="A586" s="40"/>
      <c r="B586" s="42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1"/>
      <c r="AM586" s="41"/>
      <c r="AN586" s="41"/>
      <c r="AO586" s="41"/>
      <c r="AP586" s="41"/>
      <c r="AQ586" s="40"/>
    </row>
    <row r="587">
      <c r="A587" s="40"/>
      <c r="B587" s="42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1"/>
      <c r="AM587" s="41"/>
      <c r="AN587" s="41"/>
      <c r="AO587" s="41"/>
      <c r="AP587" s="41"/>
      <c r="AQ587" s="40"/>
    </row>
    <row r="588">
      <c r="A588" s="40"/>
      <c r="B588" s="42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1"/>
      <c r="AM588" s="41"/>
      <c r="AN588" s="41"/>
      <c r="AO588" s="41"/>
      <c r="AP588" s="41"/>
      <c r="AQ588" s="40"/>
    </row>
    <row r="589">
      <c r="A589" s="40"/>
      <c r="B589" s="42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1"/>
      <c r="AM589" s="41"/>
      <c r="AN589" s="41"/>
      <c r="AO589" s="41"/>
      <c r="AP589" s="41"/>
      <c r="AQ589" s="40"/>
    </row>
    <row r="590">
      <c r="A590" s="40"/>
      <c r="B590" s="42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1"/>
      <c r="AM590" s="41"/>
      <c r="AN590" s="41"/>
      <c r="AO590" s="41"/>
      <c r="AP590" s="41"/>
      <c r="AQ590" s="40"/>
    </row>
    <row r="591">
      <c r="A591" s="40"/>
      <c r="B591" s="42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1"/>
      <c r="AM591" s="41"/>
      <c r="AN591" s="41"/>
      <c r="AO591" s="41"/>
      <c r="AP591" s="41"/>
      <c r="AQ591" s="40"/>
    </row>
    <row r="592">
      <c r="A592" s="40"/>
      <c r="B592" s="42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1"/>
      <c r="AM592" s="41"/>
      <c r="AN592" s="41"/>
      <c r="AO592" s="41"/>
      <c r="AP592" s="41"/>
      <c r="AQ592" s="40"/>
    </row>
    <row r="593">
      <c r="A593" s="40"/>
      <c r="B593" s="42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1"/>
      <c r="AM593" s="41"/>
      <c r="AN593" s="41"/>
      <c r="AO593" s="41"/>
      <c r="AP593" s="41"/>
      <c r="AQ593" s="40"/>
    </row>
    <row r="594">
      <c r="A594" s="40"/>
      <c r="B594" s="42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1"/>
      <c r="AM594" s="41"/>
      <c r="AN594" s="41"/>
      <c r="AO594" s="41"/>
      <c r="AP594" s="41"/>
      <c r="AQ594" s="40"/>
    </row>
    <row r="595">
      <c r="A595" s="40"/>
      <c r="B595" s="42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1"/>
      <c r="AM595" s="41"/>
      <c r="AN595" s="41"/>
      <c r="AO595" s="41"/>
      <c r="AP595" s="41"/>
      <c r="AQ595" s="40"/>
    </row>
    <row r="596">
      <c r="A596" s="40"/>
      <c r="B596" s="42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1"/>
      <c r="AM596" s="41"/>
      <c r="AN596" s="41"/>
      <c r="AO596" s="41"/>
      <c r="AP596" s="41"/>
      <c r="AQ596" s="40"/>
    </row>
    <row r="597">
      <c r="A597" s="40"/>
      <c r="B597" s="42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1"/>
      <c r="AM597" s="41"/>
      <c r="AN597" s="41"/>
      <c r="AO597" s="41"/>
      <c r="AP597" s="41"/>
      <c r="AQ597" s="40"/>
    </row>
    <row r="598">
      <c r="A598" s="40"/>
      <c r="B598" s="42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1"/>
      <c r="AM598" s="41"/>
      <c r="AN598" s="41"/>
      <c r="AO598" s="41"/>
      <c r="AP598" s="41"/>
      <c r="AQ598" s="40"/>
    </row>
    <row r="599">
      <c r="A599" s="40"/>
      <c r="B599" s="42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1"/>
      <c r="AM599" s="41"/>
      <c r="AN599" s="41"/>
      <c r="AO599" s="41"/>
      <c r="AP599" s="41"/>
      <c r="AQ599" s="40"/>
    </row>
    <row r="600">
      <c r="A600" s="40"/>
      <c r="B600" s="42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1"/>
      <c r="AM600" s="41"/>
      <c r="AN600" s="41"/>
      <c r="AO600" s="41"/>
      <c r="AP600" s="41"/>
      <c r="AQ600" s="40"/>
    </row>
    <row r="601">
      <c r="A601" s="40"/>
      <c r="B601" s="42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1"/>
      <c r="AM601" s="41"/>
      <c r="AN601" s="41"/>
      <c r="AO601" s="41"/>
      <c r="AP601" s="41"/>
      <c r="AQ601" s="40"/>
    </row>
    <row r="602">
      <c r="A602" s="40"/>
      <c r="B602" s="42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1"/>
      <c r="AM602" s="41"/>
      <c r="AN602" s="41"/>
      <c r="AO602" s="41"/>
      <c r="AP602" s="41"/>
      <c r="AQ602" s="40"/>
    </row>
    <row r="603">
      <c r="A603" s="40"/>
      <c r="B603" s="42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1"/>
      <c r="AM603" s="41"/>
      <c r="AN603" s="41"/>
      <c r="AO603" s="41"/>
      <c r="AP603" s="41"/>
      <c r="AQ603" s="40"/>
    </row>
    <row r="604">
      <c r="A604" s="40"/>
      <c r="B604" s="42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1"/>
      <c r="AM604" s="41"/>
      <c r="AN604" s="41"/>
      <c r="AO604" s="41"/>
      <c r="AP604" s="41"/>
      <c r="AQ604" s="40"/>
    </row>
    <row r="605">
      <c r="A605" s="40"/>
      <c r="B605" s="42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1"/>
      <c r="AM605" s="41"/>
      <c r="AN605" s="41"/>
      <c r="AO605" s="41"/>
      <c r="AP605" s="41"/>
      <c r="AQ605" s="40"/>
    </row>
    <row r="606">
      <c r="A606" s="40"/>
      <c r="B606" s="42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1"/>
      <c r="AM606" s="41"/>
      <c r="AN606" s="41"/>
      <c r="AO606" s="41"/>
      <c r="AP606" s="41"/>
      <c r="AQ606" s="40"/>
    </row>
    <row r="607">
      <c r="A607" s="40"/>
      <c r="B607" s="42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1"/>
      <c r="AM607" s="41"/>
      <c r="AN607" s="41"/>
      <c r="AO607" s="41"/>
      <c r="AP607" s="41"/>
      <c r="AQ607" s="40"/>
    </row>
    <row r="608">
      <c r="A608" s="40"/>
      <c r="B608" s="42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1"/>
      <c r="AM608" s="41"/>
      <c r="AN608" s="41"/>
      <c r="AO608" s="41"/>
      <c r="AP608" s="41"/>
      <c r="AQ608" s="40"/>
    </row>
    <row r="609">
      <c r="A609" s="40"/>
      <c r="B609" s="42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1"/>
      <c r="AM609" s="41"/>
      <c r="AN609" s="41"/>
      <c r="AO609" s="41"/>
      <c r="AP609" s="41"/>
      <c r="AQ609" s="40"/>
    </row>
    <row r="610">
      <c r="A610" s="40"/>
      <c r="B610" s="42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1"/>
      <c r="AM610" s="41"/>
      <c r="AN610" s="41"/>
      <c r="AO610" s="41"/>
      <c r="AP610" s="41"/>
      <c r="AQ610" s="40"/>
    </row>
    <row r="611">
      <c r="A611" s="40"/>
      <c r="B611" s="42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1"/>
      <c r="AM611" s="41"/>
      <c r="AN611" s="41"/>
      <c r="AO611" s="41"/>
      <c r="AP611" s="41"/>
      <c r="AQ611" s="40"/>
    </row>
    <row r="612">
      <c r="A612" s="40"/>
      <c r="B612" s="42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1"/>
      <c r="AM612" s="41"/>
      <c r="AN612" s="41"/>
      <c r="AO612" s="41"/>
      <c r="AP612" s="41"/>
      <c r="AQ612" s="40"/>
    </row>
    <row r="613">
      <c r="A613" s="40"/>
      <c r="B613" s="42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1"/>
      <c r="AM613" s="41"/>
      <c r="AN613" s="41"/>
      <c r="AO613" s="41"/>
      <c r="AP613" s="41"/>
      <c r="AQ613" s="40"/>
    </row>
    <row r="614">
      <c r="A614" s="40"/>
      <c r="B614" s="42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1"/>
      <c r="AM614" s="41"/>
      <c r="AN614" s="41"/>
      <c r="AO614" s="41"/>
      <c r="AP614" s="41"/>
      <c r="AQ614" s="40"/>
    </row>
    <row r="615">
      <c r="A615" s="40"/>
      <c r="B615" s="42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1"/>
      <c r="AM615" s="41"/>
      <c r="AN615" s="41"/>
      <c r="AO615" s="41"/>
      <c r="AP615" s="41"/>
      <c r="AQ615" s="40"/>
    </row>
    <row r="616">
      <c r="A616" s="40"/>
      <c r="B616" s="42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1"/>
      <c r="AM616" s="41"/>
      <c r="AN616" s="41"/>
      <c r="AO616" s="41"/>
      <c r="AP616" s="41"/>
      <c r="AQ616" s="40"/>
    </row>
    <row r="617">
      <c r="A617" s="40"/>
      <c r="B617" s="42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1"/>
      <c r="AM617" s="41"/>
      <c r="AN617" s="41"/>
      <c r="AO617" s="41"/>
      <c r="AP617" s="41"/>
      <c r="AQ617" s="40"/>
    </row>
    <row r="618">
      <c r="A618" s="40"/>
      <c r="B618" s="42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1"/>
      <c r="AM618" s="41"/>
      <c r="AN618" s="41"/>
      <c r="AO618" s="41"/>
      <c r="AP618" s="41"/>
      <c r="AQ618" s="40"/>
    </row>
    <row r="619">
      <c r="A619" s="40"/>
      <c r="B619" s="42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1"/>
      <c r="AM619" s="41"/>
      <c r="AN619" s="41"/>
      <c r="AO619" s="41"/>
      <c r="AP619" s="41"/>
      <c r="AQ619" s="40"/>
    </row>
    <row r="620">
      <c r="A620" s="40"/>
      <c r="B620" s="42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1"/>
      <c r="AM620" s="41"/>
      <c r="AN620" s="41"/>
      <c r="AO620" s="41"/>
      <c r="AP620" s="41"/>
      <c r="AQ620" s="40"/>
    </row>
    <row r="621">
      <c r="A621" s="40"/>
      <c r="B621" s="42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1"/>
      <c r="AM621" s="41"/>
      <c r="AN621" s="41"/>
      <c r="AO621" s="41"/>
      <c r="AP621" s="41"/>
      <c r="AQ621" s="40"/>
    </row>
    <row r="622">
      <c r="A622" s="40"/>
      <c r="B622" s="42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1"/>
      <c r="AM622" s="41"/>
      <c r="AN622" s="41"/>
      <c r="AO622" s="41"/>
      <c r="AP622" s="41"/>
      <c r="AQ622" s="40"/>
    </row>
    <row r="623">
      <c r="A623" s="40"/>
      <c r="B623" s="42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1"/>
      <c r="AM623" s="41"/>
      <c r="AN623" s="41"/>
      <c r="AO623" s="41"/>
      <c r="AP623" s="41"/>
      <c r="AQ623" s="40"/>
    </row>
    <row r="624">
      <c r="A624" s="40"/>
      <c r="B624" s="42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1"/>
      <c r="AM624" s="41"/>
      <c r="AN624" s="41"/>
      <c r="AO624" s="41"/>
      <c r="AP624" s="41"/>
      <c r="AQ624" s="40"/>
    </row>
    <row r="625">
      <c r="A625" s="40"/>
      <c r="B625" s="42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1"/>
      <c r="AM625" s="41"/>
      <c r="AN625" s="41"/>
      <c r="AO625" s="41"/>
      <c r="AP625" s="41"/>
      <c r="AQ625" s="40"/>
    </row>
    <row r="626">
      <c r="A626" s="40"/>
      <c r="B626" s="42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1"/>
      <c r="AM626" s="41"/>
      <c r="AN626" s="41"/>
      <c r="AO626" s="41"/>
      <c r="AP626" s="41"/>
      <c r="AQ626" s="40"/>
    </row>
    <row r="627">
      <c r="A627" s="40"/>
      <c r="B627" s="42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1"/>
      <c r="AM627" s="41"/>
      <c r="AN627" s="41"/>
      <c r="AO627" s="41"/>
      <c r="AP627" s="41"/>
      <c r="AQ627" s="40"/>
    </row>
    <row r="628">
      <c r="A628" s="40"/>
      <c r="B628" s="42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1"/>
      <c r="AM628" s="41"/>
      <c r="AN628" s="41"/>
      <c r="AO628" s="41"/>
      <c r="AP628" s="41"/>
      <c r="AQ628" s="40"/>
    </row>
    <row r="629">
      <c r="A629" s="40"/>
      <c r="B629" s="42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1"/>
      <c r="AM629" s="41"/>
      <c r="AN629" s="41"/>
      <c r="AO629" s="41"/>
      <c r="AP629" s="41"/>
      <c r="AQ629" s="40"/>
    </row>
    <row r="630">
      <c r="A630" s="40"/>
      <c r="B630" s="42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1"/>
      <c r="AM630" s="41"/>
      <c r="AN630" s="41"/>
      <c r="AO630" s="41"/>
      <c r="AP630" s="41"/>
      <c r="AQ630" s="40"/>
    </row>
    <row r="631">
      <c r="A631" s="40"/>
      <c r="B631" s="42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1"/>
      <c r="AM631" s="41"/>
      <c r="AN631" s="41"/>
      <c r="AO631" s="41"/>
      <c r="AP631" s="41"/>
      <c r="AQ631" s="40"/>
    </row>
    <row r="632">
      <c r="A632" s="40"/>
      <c r="B632" s="42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1"/>
      <c r="AM632" s="41"/>
      <c r="AN632" s="41"/>
      <c r="AO632" s="41"/>
      <c r="AP632" s="41"/>
      <c r="AQ632" s="40"/>
    </row>
    <row r="633">
      <c r="A633" s="40"/>
      <c r="B633" s="42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1"/>
      <c r="AM633" s="41"/>
      <c r="AN633" s="41"/>
      <c r="AO633" s="41"/>
      <c r="AP633" s="41"/>
      <c r="AQ633" s="40"/>
    </row>
    <row r="634">
      <c r="A634" s="40"/>
      <c r="B634" s="42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1"/>
      <c r="AM634" s="41"/>
      <c r="AN634" s="41"/>
      <c r="AO634" s="41"/>
      <c r="AP634" s="41"/>
      <c r="AQ634" s="40"/>
    </row>
    <row r="635">
      <c r="A635" s="40"/>
      <c r="B635" s="42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1"/>
      <c r="AM635" s="41"/>
      <c r="AN635" s="41"/>
      <c r="AO635" s="41"/>
      <c r="AP635" s="41"/>
      <c r="AQ635" s="40"/>
    </row>
    <row r="636">
      <c r="A636" s="40"/>
      <c r="B636" s="42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1"/>
      <c r="AM636" s="41"/>
      <c r="AN636" s="41"/>
      <c r="AO636" s="41"/>
      <c r="AP636" s="41"/>
      <c r="AQ636" s="40"/>
    </row>
    <row r="637">
      <c r="A637" s="40"/>
      <c r="B637" s="42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1"/>
      <c r="AM637" s="41"/>
      <c r="AN637" s="41"/>
      <c r="AO637" s="41"/>
      <c r="AP637" s="41"/>
      <c r="AQ637" s="40"/>
    </row>
    <row r="638">
      <c r="A638" s="40"/>
      <c r="B638" s="42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1"/>
      <c r="AM638" s="41"/>
      <c r="AN638" s="41"/>
      <c r="AO638" s="41"/>
      <c r="AP638" s="41"/>
      <c r="AQ638" s="40"/>
    </row>
    <row r="639">
      <c r="A639" s="40"/>
      <c r="B639" s="42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1"/>
      <c r="AM639" s="41"/>
      <c r="AN639" s="41"/>
      <c r="AO639" s="41"/>
      <c r="AP639" s="41"/>
      <c r="AQ639" s="40"/>
    </row>
    <row r="640">
      <c r="A640" s="40"/>
      <c r="B640" s="42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1"/>
      <c r="AM640" s="41"/>
      <c r="AN640" s="41"/>
      <c r="AO640" s="41"/>
      <c r="AP640" s="41"/>
      <c r="AQ640" s="40"/>
    </row>
    <row r="641">
      <c r="A641" s="40"/>
      <c r="B641" s="42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1"/>
      <c r="AM641" s="41"/>
      <c r="AN641" s="41"/>
      <c r="AO641" s="41"/>
      <c r="AP641" s="41"/>
      <c r="AQ641" s="40"/>
    </row>
    <row r="642">
      <c r="A642" s="40"/>
      <c r="B642" s="42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1"/>
      <c r="AM642" s="41"/>
      <c r="AN642" s="41"/>
      <c r="AO642" s="41"/>
      <c r="AP642" s="41"/>
      <c r="AQ642" s="40"/>
    </row>
    <row r="643">
      <c r="A643" s="40"/>
      <c r="B643" s="42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1"/>
      <c r="AM643" s="41"/>
      <c r="AN643" s="41"/>
      <c r="AO643" s="41"/>
      <c r="AP643" s="41"/>
      <c r="AQ643" s="40"/>
    </row>
    <row r="644">
      <c r="A644" s="40"/>
      <c r="B644" s="42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1"/>
      <c r="AM644" s="41"/>
      <c r="AN644" s="41"/>
      <c r="AO644" s="41"/>
      <c r="AP644" s="41"/>
      <c r="AQ644" s="40"/>
    </row>
    <row r="645">
      <c r="A645" s="40"/>
      <c r="B645" s="42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1"/>
      <c r="AM645" s="41"/>
      <c r="AN645" s="41"/>
      <c r="AO645" s="41"/>
      <c r="AP645" s="41"/>
      <c r="AQ645" s="40"/>
    </row>
    <row r="646">
      <c r="A646" s="40"/>
      <c r="B646" s="42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1"/>
      <c r="AM646" s="41"/>
      <c r="AN646" s="41"/>
      <c r="AO646" s="41"/>
      <c r="AP646" s="41"/>
      <c r="AQ646" s="40"/>
    </row>
    <row r="647">
      <c r="A647" s="40"/>
      <c r="B647" s="42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1"/>
      <c r="AM647" s="41"/>
      <c r="AN647" s="41"/>
      <c r="AO647" s="41"/>
      <c r="AP647" s="41"/>
      <c r="AQ647" s="40"/>
    </row>
    <row r="648">
      <c r="A648" s="40"/>
      <c r="B648" s="42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1"/>
      <c r="AM648" s="41"/>
      <c r="AN648" s="41"/>
      <c r="AO648" s="41"/>
      <c r="AP648" s="41"/>
      <c r="AQ648" s="40"/>
    </row>
    <row r="649">
      <c r="A649" s="40"/>
      <c r="B649" s="42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1"/>
      <c r="AM649" s="41"/>
      <c r="AN649" s="41"/>
      <c r="AO649" s="41"/>
      <c r="AP649" s="41"/>
      <c r="AQ649" s="40"/>
    </row>
    <row r="650">
      <c r="A650" s="40"/>
      <c r="B650" s="42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1"/>
      <c r="AM650" s="41"/>
      <c r="AN650" s="41"/>
      <c r="AO650" s="41"/>
      <c r="AP650" s="41"/>
      <c r="AQ650" s="40"/>
    </row>
    <row r="651">
      <c r="A651" s="40"/>
      <c r="B651" s="42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1"/>
      <c r="AM651" s="41"/>
      <c r="AN651" s="41"/>
      <c r="AO651" s="41"/>
      <c r="AP651" s="41"/>
      <c r="AQ651" s="40"/>
    </row>
    <row r="652">
      <c r="A652" s="40"/>
      <c r="B652" s="42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1"/>
      <c r="AM652" s="41"/>
      <c r="AN652" s="41"/>
      <c r="AO652" s="41"/>
      <c r="AP652" s="41"/>
      <c r="AQ652" s="40"/>
    </row>
    <row r="653">
      <c r="A653" s="40"/>
      <c r="B653" s="42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1"/>
      <c r="AM653" s="41"/>
      <c r="AN653" s="41"/>
      <c r="AO653" s="41"/>
      <c r="AP653" s="41"/>
      <c r="AQ653" s="40"/>
    </row>
    <row r="654">
      <c r="A654" s="40"/>
      <c r="B654" s="42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1"/>
      <c r="AM654" s="41"/>
      <c r="AN654" s="41"/>
      <c r="AO654" s="41"/>
      <c r="AP654" s="41"/>
      <c r="AQ654" s="40"/>
    </row>
    <row r="655">
      <c r="A655" s="40"/>
      <c r="B655" s="42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1"/>
      <c r="AM655" s="41"/>
      <c r="AN655" s="41"/>
      <c r="AO655" s="41"/>
      <c r="AP655" s="41"/>
      <c r="AQ655" s="40"/>
    </row>
    <row r="656">
      <c r="A656" s="40"/>
      <c r="B656" s="42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1"/>
      <c r="AM656" s="41"/>
      <c r="AN656" s="41"/>
      <c r="AO656" s="41"/>
      <c r="AP656" s="41"/>
      <c r="AQ656" s="40"/>
    </row>
    <row r="657">
      <c r="A657" s="40"/>
      <c r="B657" s="42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1"/>
      <c r="AM657" s="41"/>
      <c r="AN657" s="41"/>
      <c r="AO657" s="41"/>
      <c r="AP657" s="41"/>
      <c r="AQ657" s="40"/>
    </row>
    <row r="658">
      <c r="A658" s="40"/>
      <c r="B658" s="42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1"/>
      <c r="AM658" s="41"/>
      <c r="AN658" s="41"/>
      <c r="AO658" s="41"/>
      <c r="AP658" s="41"/>
      <c r="AQ658" s="40"/>
    </row>
    <row r="659">
      <c r="A659" s="40"/>
      <c r="B659" s="42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1"/>
      <c r="AM659" s="41"/>
      <c r="AN659" s="41"/>
      <c r="AO659" s="41"/>
      <c r="AP659" s="41"/>
      <c r="AQ659" s="40"/>
    </row>
    <row r="660">
      <c r="A660" s="40"/>
      <c r="B660" s="42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1"/>
      <c r="AM660" s="41"/>
      <c r="AN660" s="41"/>
      <c r="AO660" s="41"/>
      <c r="AP660" s="41"/>
      <c r="AQ660" s="40"/>
    </row>
    <row r="661">
      <c r="A661" s="40"/>
      <c r="B661" s="42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1"/>
      <c r="AM661" s="41"/>
      <c r="AN661" s="41"/>
      <c r="AO661" s="41"/>
      <c r="AP661" s="41"/>
      <c r="AQ661" s="40"/>
    </row>
    <row r="662">
      <c r="A662" s="40"/>
      <c r="B662" s="42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1"/>
      <c r="AM662" s="41"/>
      <c r="AN662" s="41"/>
      <c r="AO662" s="41"/>
      <c r="AP662" s="41"/>
      <c r="AQ662" s="40"/>
    </row>
    <row r="663">
      <c r="A663" s="40"/>
      <c r="B663" s="42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1"/>
      <c r="AM663" s="41"/>
      <c r="AN663" s="41"/>
      <c r="AO663" s="41"/>
      <c r="AP663" s="41"/>
      <c r="AQ663" s="40"/>
    </row>
    <row r="664">
      <c r="A664" s="40"/>
      <c r="B664" s="42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1"/>
      <c r="AM664" s="41"/>
      <c r="AN664" s="41"/>
      <c r="AO664" s="41"/>
      <c r="AP664" s="41"/>
      <c r="AQ664" s="40"/>
    </row>
    <row r="665">
      <c r="A665" s="40"/>
      <c r="B665" s="42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1"/>
      <c r="AM665" s="41"/>
      <c r="AN665" s="41"/>
      <c r="AO665" s="41"/>
      <c r="AP665" s="41"/>
      <c r="AQ665" s="40"/>
    </row>
    <row r="666">
      <c r="A666" s="40"/>
      <c r="B666" s="42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1"/>
      <c r="AM666" s="41"/>
      <c r="AN666" s="41"/>
      <c r="AO666" s="41"/>
      <c r="AP666" s="41"/>
      <c r="AQ666" s="40"/>
    </row>
    <row r="667">
      <c r="A667" s="40"/>
      <c r="B667" s="42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1"/>
      <c r="AM667" s="41"/>
      <c r="AN667" s="41"/>
      <c r="AO667" s="41"/>
      <c r="AP667" s="41"/>
      <c r="AQ667" s="40"/>
    </row>
    <row r="668">
      <c r="A668" s="40"/>
      <c r="B668" s="42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1"/>
      <c r="AM668" s="41"/>
      <c r="AN668" s="41"/>
      <c r="AO668" s="41"/>
      <c r="AP668" s="41"/>
      <c r="AQ668" s="40"/>
    </row>
    <row r="669">
      <c r="A669" s="40"/>
      <c r="B669" s="42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1"/>
      <c r="AM669" s="41"/>
      <c r="AN669" s="41"/>
      <c r="AO669" s="41"/>
      <c r="AP669" s="41"/>
      <c r="AQ669" s="40"/>
    </row>
    <row r="670">
      <c r="A670" s="40"/>
      <c r="B670" s="42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1"/>
      <c r="AM670" s="41"/>
      <c r="AN670" s="41"/>
      <c r="AO670" s="41"/>
      <c r="AP670" s="41"/>
      <c r="AQ670" s="40"/>
    </row>
    <row r="671">
      <c r="A671" s="40"/>
      <c r="B671" s="42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1"/>
      <c r="AM671" s="41"/>
      <c r="AN671" s="41"/>
      <c r="AO671" s="41"/>
      <c r="AP671" s="41"/>
      <c r="AQ671" s="40"/>
    </row>
    <row r="672">
      <c r="A672" s="40"/>
      <c r="B672" s="42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1"/>
      <c r="AM672" s="41"/>
      <c r="AN672" s="41"/>
      <c r="AO672" s="41"/>
      <c r="AP672" s="41"/>
      <c r="AQ672" s="40"/>
    </row>
    <row r="673">
      <c r="A673" s="40"/>
      <c r="B673" s="42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1"/>
      <c r="AM673" s="41"/>
      <c r="AN673" s="41"/>
      <c r="AO673" s="41"/>
      <c r="AP673" s="41"/>
      <c r="AQ673" s="40"/>
    </row>
    <row r="674">
      <c r="A674" s="40"/>
      <c r="B674" s="42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1"/>
      <c r="AM674" s="41"/>
      <c r="AN674" s="41"/>
      <c r="AO674" s="41"/>
      <c r="AP674" s="41"/>
      <c r="AQ674" s="40"/>
    </row>
    <row r="675">
      <c r="A675" s="40"/>
      <c r="B675" s="42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1"/>
      <c r="AM675" s="41"/>
      <c r="AN675" s="41"/>
      <c r="AO675" s="41"/>
      <c r="AP675" s="41"/>
      <c r="AQ675" s="40"/>
    </row>
    <row r="676">
      <c r="A676" s="40"/>
      <c r="B676" s="42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1"/>
      <c r="AM676" s="41"/>
      <c r="AN676" s="41"/>
      <c r="AO676" s="41"/>
      <c r="AP676" s="41"/>
      <c r="AQ676" s="40"/>
    </row>
    <row r="677">
      <c r="A677" s="40"/>
      <c r="B677" s="42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1"/>
      <c r="AM677" s="41"/>
      <c r="AN677" s="41"/>
      <c r="AO677" s="41"/>
      <c r="AP677" s="41"/>
      <c r="AQ677" s="40"/>
    </row>
    <row r="678">
      <c r="A678" s="40"/>
      <c r="B678" s="42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1"/>
      <c r="AM678" s="41"/>
      <c r="AN678" s="41"/>
      <c r="AO678" s="41"/>
      <c r="AP678" s="41"/>
      <c r="AQ678" s="40"/>
    </row>
    <row r="679">
      <c r="A679" s="40"/>
      <c r="B679" s="42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1"/>
      <c r="AM679" s="41"/>
      <c r="AN679" s="41"/>
      <c r="AO679" s="41"/>
      <c r="AP679" s="41"/>
      <c r="AQ679" s="40"/>
    </row>
    <row r="680">
      <c r="A680" s="40"/>
      <c r="B680" s="42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1"/>
      <c r="AM680" s="41"/>
      <c r="AN680" s="41"/>
      <c r="AO680" s="41"/>
      <c r="AP680" s="41"/>
      <c r="AQ680" s="40"/>
    </row>
    <row r="681">
      <c r="A681" s="40"/>
      <c r="B681" s="42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1"/>
      <c r="AM681" s="41"/>
      <c r="AN681" s="41"/>
      <c r="AO681" s="41"/>
      <c r="AP681" s="41"/>
      <c r="AQ681" s="40"/>
    </row>
    <row r="682">
      <c r="A682" s="40"/>
      <c r="B682" s="42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1"/>
      <c r="AM682" s="41"/>
      <c r="AN682" s="41"/>
      <c r="AO682" s="41"/>
      <c r="AP682" s="41"/>
      <c r="AQ682" s="40"/>
    </row>
    <row r="683">
      <c r="A683" s="40"/>
      <c r="B683" s="42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1"/>
      <c r="AM683" s="41"/>
      <c r="AN683" s="41"/>
      <c r="AO683" s="41"/>
      <c r="AP683" s="41"/>
      <c r="AQ683" s="40"/>
    </row>
    <row r="684">
      <c r="A684" s="40"/>
      <c r="B684" s="42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1"/>
      <c r="AM684" s="41"/>
      <c r="AN684" s="41"/>
      <c r="AO684" s="41"/>
      <c r="AP684" s="41"/>
      <c r="AQ684" s="40"/>
    </row>
    <row r="685">
      <c r="A685" s="40"/>
      <c r="B685" s="42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1"/>
      <c r="AM685" s="41"/>
      <c r="AN685" s="41"/>
      <c r="AO685" s="41"/>
      <c r="AP685" s="41"/>
      <c r="AQ685" s="40"/>
    </row>
    <row r="686">
      <c r="A686" s="40"/>
      <c r="B686" s="42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1"/>
      <c r="AM686" s="41"/>
      <c r="AN686" s="41"/>
      <c r="AO686" s="41"/>
      <c r="AP686" s="41"/>
      <c r="AQ686" s="40"/>
    </row>
    <row r="687">
      <c r="A687" s="40"/>
      <c r="B687" s="42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1"/>
      <c r="AM687" s="41"/>
      <c r="AN687" s="41"/>
      <c r="AO687" s="41"/>
      <c r="AP687" s="41"/>
      <c r="AQ687" s="40"/>
    </row>
    <row r="688">
      <c r="A688" s="40"/>
      <c r="B688" s="42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1"/>
      <c r="AM688" s="41"/>
      <c r="AN688" s="41"/>
      <c r="AO688" s="41"/>
      <c r="AP688" s="41"/>
      <c r="AQ688" s="40"/>
    </row>
    <row r="689">
      <c r="A689" s="40"/>
      <c r="B689" s="42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1"/>
      <c r="AM689" s="41"/>
      <c r="AN689" s="41"/>
      <c r="AO689" s="41"/>
      <c r="AP689" s="41"/>
      <c r="AQ689" s="40"/>
    </row>
    <row r="690">
      <c r="A690" s="40"/>
      <c r="B690" s="42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1"/>
      <c r="AM690" s="41"/>
      <c r="AN690" s="41"/>
      <c r="AO690" s="41"/>
      <c r="AP690" s="41"/>
      <c r="AQ690" s="40"/>
    </row>
    <row r="691">
      <c r="A691" s="40"/>
      <c r="B691" s="42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1"/>
      <c r="AM691" s="41"/>
      <c r="AN691" s="41"/>
      <c r="AO691" s="41"/>
      <c r="AP691" s="41"/>
      <c r="AQ691" s="40"/>
    </row>
    <row r="692">
      <c r="A692" s="40"/>
      <c r="B692" s="42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1"/>
      <c r="AM692" s="41"/>
      <c r="AN692" s="41"/>
      <c r="AO692" s="41"/>
      <c r="AP692" s="41"/>
      <c r="AQ692" s="40"/>
    </row>
    <row r="693">
      <c r="A693" s="40"/>
      <c r="B693" s="42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1"/>
      <c r="AM693" s="41"/>
      <c r="AN693" s="41"/>
      <c r="AO693" s="41"/>
      <c r="AP693" s="41"/>
      <c r="AQ693" s="40"/>
    </row>
    <row r="694">
      <c r="A694" s="40"/>
      <c r="B694" s="42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1"/>
      <c r="AM694" s="41"/>
      <c r="AN694" s="41"/>
      <c r="AO694" s="41"/>
      <c r="AP694" s="41"/>
      <c r="AQ694" s="40"/>
    </row>
    <row r="695">
      <c r="A695" s="40"/>
      <c r="B695" s="42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1"/>
      <c r="AM695" s="41"/>
      <c r="AN695" s="41"/>
      <c r="AO695" s="41"/>
      <c r="AP695" s="41"/>
      <c r="AQ695" s="40"/>
    </row>
    <row r="696">
      <c r="A696" s="40"/>
      <c r="B696" s="42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1"/>
      <c r="AM696" s="41"/>
      <c r="AN696" s="41"/>
      <c r="AO696" s="41"/>
      <c r="AP696" s="41"/>
      <c r="AQ696" s="40"/>
    </row>
    <row r="697">
      <c r="A697" s="40"/>
      <c r="B697" s="42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1"/>
      <c r="AM697" s="41"/>
      <c r="AN697" s="41"/>
      <c r="AO697" s="41"/>
      <c r="AP697" s="41"/>
      <c r="AQ697" s="40"/>
    </row>
    <row r="698">
      <c r="A698" s="40"/>
      <c r="B698" s="42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1"/>
      <c r="AM698" s="41"/>
      <c r="AN698" s="41"/>
      <c r="AO698" s="41"/>
      <c r="AP698" s="41"/>
      <c r="AQ698" s="40"/>
    </row>
    <row r="699">
      <c r="A699" s="40"/>
      <c r="B699" s="42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1"/>
      <c r="AM699" s="41"/>
      <c r="AN699" s="41"/>
      <c r="AO699" s="41"/>
      <c r="AP699" s="41"/>
      <c r="AQ699" s="40"/>
    </row>
    <row r="700">
      <c r="A700" s="40"/>
      <c r="B700" s="42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1"/>
      <c r="AM700" s="41"/>
      <c r="AN700" s="41"/>
      <c r="AO700" s="41"/>
      <c r="AP700" s="41"/>
      <c r="AQ700" s="40"/>
    </row>
    <row r="701">
      <c r="A701" s="40"/>
      <c r="B701" s="42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1"/>
      <c r="AM701" s="41"/>
      <c r="AN701" s="41"/>
      <c r="AO701" s="41"/>
      <c r="AP701" s="41"/>
      <c r="AQ701" s="40"/>
    </row>
    <row r="702">
      <c r="A702" s="40"/>
      <c r="B702" s="42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1"/>
      <c r="AM702" s="41"/>
      <c r="AN702" s="41"/>
      <c r="AO702" s="41"/>
      <c r="AP702" s="41"/>
      <c r="AQ702" s="40"/>
    </row>
    <row r="703">
      <c r="A703" s="40"/>
      <c r="B703" s="42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1"/>
      <c r="AM703" s="41"/>
      <c r="AN703" s="41"/>
      <c r="AO703" s="41"/>
      <c r="AP703" s="41"/>
      <c r="AQ703" s="40"/>
    </row>
    <row r="704">
      <c r="A704" s="40"/>
      <c r="B704" s="42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1"/>
      <c r="AM704" s="41"/>
      <c r="AN704" s="41"/>
      <c r="AO704" s="41"/>
      <c r="AP704" s="41"/>
      <c r="AQ704" s="40"/>
    </row>
    <row r="705">
      <c r="A705" s="40"/>
      <c r="B705" s="42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1"/>
      <c r="AM705" s="41"/>
      <c r="AN705" s="41"/>
      <c r="AO705" s="41"/>
      <c r="AP705" s="41"/>
      <c r="AQ705" s="40"/>
    </row>
    <row r="706">
      <c r="A706" s="40"/>
      <c r="B706" s="42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1"/>
      <c r="AM706" s="41"/>
      <c r="AN706" s="41"/>
      <c r="AO706" s="41"/>
      <c r="AP706" s="41"/>
      <c r="AQ706" s="40"/>
    </row>
    <row r="707">
      <c r="A707" s="40"/>
      <c r="B707" s="42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1"/>
      <c r="AM707" s="41"/>
      <c r="AN707" s="41"/>
      <c r="AO707" s="41"/>
      <c r="AP707" s="41"/>
      <c r="AQ707" s="40"/>
    </row>
    <row r="708">
      <c r="A708" s="40"/>
      <c r="B708" s="42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1"/>
      <c r="AM708" s="41"/>
      <c r="AN708" s="41"/>
      <c r="AO708" s="41"/>
      <c r="AP708" s="41"/>
      <c r="AQ708" s="40"/>
    </row>
    <row r="709">
      <c r="A709" s="40"/>
      <c r="B709" s="42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1"/>
      <c r="AM709" s="41"/>
      <c r="AN709" s="41"/>
      <c r="AO709" s="41"/>
      <c r="AP709" s="41"/>
      <c r="AQ709" s="40"/>
    </row>
    <row r="710">
      <c r="A710" s="40"/>
      <c r="B710" s="42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1"/>
      <c r="AM710" s="41"/>
      <c r="AN710" s="41"/>
      <c r="AO710" s="41"/>
      <c r="AP710" s="41"/>
      <c r="AQ710" s="40"/>
    </row>
    <row r="711">
      <c r="A711" s="40"/>
      <c r="B711" s="42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1"/>
      <c r="AM711" s="41"/>
      <c r="AN711" s="41"/>
      <c r="AO711" s="41"/>
      <c r="AP711" s="41"/>
      <c r="AQ711" s="40"/>
    </row>
    <row r="712">
      <c r="A712" s="40"/>
      <c r="B712" s="42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1"/>
      <c r="AM712" s="41"/>
      <c r="AN712" s="41"/>
      <c r="AO712" s="41"/>
      <c r="AP712" s="41"/>
      <c r="AQ712" s="40"/>
    </row>
    <row r="713">
      <c r="A713" s="40"/>
      <c r="B713" s="42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1"/>
      <c r="AM713" s="41"/>
      <c r="AN713" s="41"/>
      <c r="AO713" s="41"/>
      <c r="AP713" s="41"/>
      <c r="AQ713" s="40"/>
    </row>
    <row r="714">
      <c r="A714" s="40"/>
      <c r="B714" s="42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1"/>
      <c r="AM714" s="41"/>
      <c r="AN714" s="41"/>
      <c r="AO714" s="41"/>
      <c r="AP714" s="41"/>
      <c r="AQ714" s="40"/>
    </row>
    <row r="715">
      <c r="A715" s="40"/>
      <c r="B715" s="42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1"/>
      <c r="AM715" s="41"/>
      <c r="AN715" s="41"/>
      <c r="AO715" s="41"/>
      <c r="AP715" s="41"/>
      <c r="AQ715" s="40"/>
    </row>
    <row r="716">
      <c r="A716" s="40"/>
      <c r="B716" s="42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1"/>
      <c r="AM716" s="41"/>
      <c r="AN716" s="41"/>
      <c r="AO716" s="41"/>
      <c r="AP716" s="41"/>
      <c r="AQ716" s="40"/>
    </row>
    <row r="717">
      <c r="A717" s="40"/>
      <c r="B717" s="42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1"/>
      <c r="AM717" s="41"/>
      <c r="AN717" s="41"/>
      <c r="AO717" s="41"/>
      <c r="AP717" s="41"/>
      <c r="AQ717" s="40"/>
    </row>
    <row r="718">
      <c r="A718" s="40"/>
      <c r="B718" s="42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1"/>
      <c r="AM718" s="41"/>
      <c r="AN718" s="41"/>
      <c r="AO718" s="41"/>
      <c r="AP718" s="41"/>
      <c r="AQ718" s="40"/>
    </row>
    <row r="719">
      <c r="A719" s="40"/>
      <c r="B719" s="42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1"/>
      <c r="AM719" s="41"/>
      <c r="AN719" s="41"/>
      <c r="AO719" s="41"/>
      <c r="AP719" s="41"/>
      <c r="AQ719" s="40"/>
    </row>
    <row r="720">
      <c r="A720" s="40"/>
      <c r="B720" s="42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1"/>
      <c r="AM720" s="41"/>
      <c r="AN720" s="41"/>
      <c r="AO720" s="41"/>
      <c r="AP720" s="41"/>
      <c r="AQ720" s="40"/>
    </row>
    <row r="721">
      <c r="A721" s="40"/>
      <c r="B721" s="42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1"/>
      <c r="AM721" s="41"/>
      <c r="AN721" s="41"/>
      <c r="AO721" s="41"/>
      <c r="AP721" s="41"/>
      <c r="AQ721" s="40"/>
    </row>
    <row r="722">
      <c r="A722" s="40"/>
      <c r="B722" s="42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1"/>
      <c r="AM722" s="41"/>
      <c r="AN722" s="41"/>
      <c r="AO722" s="41"/>
      <c r="AP722" s="41"/>
      <c r="AQ722" s="40"/>
    </row>
    <row r="723">
      <c r="A723" s="40"/>
      <c r="B723" s="42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1"/>
      <c r="AM723" s="41"/>
      <c r="AN723" s="41"/>
      <c r="AO723" s="41"/>
      <c r="AP723" s="41"/>
      <c r="AQ723" s="40"/>
    </row>
    <row r="724">
      <c r="A724" s="40"/>
      <c r="B724" s="42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1"/>
      <c r="AM724" s="41"/>
      <c r="AN724" s="41"/>
      <c r="AO724" s="41"/>
      <c r="AP724" s="41"/>
      <c r="AQ724" s="40"/>
    </row>
    <row r="725">
      <c r="A725" s="40"/>
      <c r="B725" s="42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1"/>
      <c r="AM725" s="41"/>
      <c r="AN725" s="41"/>
      <c r="AO725" s="41"/>
      <c r="AP725" s="41"/>
      <c r="AQ725" s="40"/>
    </row>
    <row r="726">
      <c r="A726" s="40"/>
      <c r="B726" s="42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1"/>
      <c r="AM726" s="41"/>
      <c r="AN726" s="41"/>
      <c r="AO726" s="41"/>
      <c r="AP726" s="41"/>
      <c r="AQ726" s="40"/>
    </row>
    <row r="727">
      <c r="A727" s="40"/>
      <c r="B727" s="42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1"/>
      <c r="AM727" s="41"/>
      <c r="AN727" s="41"/>
      <c r="AO727" s="41"/>
      <c r="AP727" s="41"/>
      <c r="AQ727" s="40"/>
    </row>
    <row r="728">
      <c r="A728" s="40"/>
      <c r="B728" s="42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1"/>
      <c r="AM728" s="41"/>
      <c r="AN728" s="41"/>
      <c r="AO728" s="41"/>
      <c r="AP728" s="41"/>
      <c r="AQ728" s="40"/>
    </row>
    <row r="729">
      <c r="A729" s="40"/>
      <c r="B729" s="42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1"/>
      <c r="AM729" s="41"/>
      <c r="AN729" s="41"/>
      <c r="AO729" s="41"/>
      <c r="AP729" s="41"/>
      <c r="AQ729" s="40"/>
    </row>
    <row r="730">
      <c r="A730" s="40"/>
      <c r="B730" s="42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1"/>
      <c r="AM730" s="41"/>
      <c r="AN730" s="41"/>
      <c r="AO730" s="41"/>
      <c r="AP730" s="41"/>
      <c r="AQ730" s="40"/>
    </row>
    <row r="731">
      <c r="A731" s="40"/>
      <c r="B731" s="42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1"/>
      <c r="AM731" s="41"/>
      <c r="AN731" s="41"/>
      <c r="AO731" s="41"/>
      <c r="AP731" s="41"/>
      <c r="AQ731" s="40"/>
    </row>
    <row r="732">
      <c r="A732" s="40"/>
      <c r="B732" s="42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1"/>
      <c r="AM732" s="41"/>
      <c r="AN732" s="41"/>
      <c r="AO732" s="41"/>
      <c r="AP732" s="41"/>
      <c r="AQ732" s="40"/>
    </row>
    <row r="733">
      <c r="A733" s="40"/>
      <c r="B733" s="42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1"/>
      <c r="AM733" s="41"/>
      <c r="AN733" s="41"/>
      <c r="AO733" s="41"/>
      <c r="AP733" s="41"/>
      <c r="AQ733" s="40"/>
    </row>
    <row r="734">
      <c r="A734" s="40"/>
      <c r="B734" s="42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1"/>
      <c r="AM734" s="41"/>
      <c r="AN734" s="41"/>
      <c r="AO734" s="41"/>
      <c r="AP734" s="41"/>
      <c r="AQ734" s="40"/>
    </row>
    <row r="735">
      <c r="A735" s="40"/>
      <c r="B735" s="42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1"/>
      <c r="AM735" s="41"/>
      <c r="AN735" s="41"/>
      <c r="AO735" s="41"/>
      <c r="AP735" s="41"/>
      <c r="AQ735" s="40"/>
    </row>
    <row r="736">
      <c r="A736" s="40"/>
      <c r="B736" s="42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1"/>
      <c r="AM736" s="41"/>
      <c r="AN736" s="41"/>
      <c r="AO736" s="41"/>
      <c r="AP736" s="41"/>
      <c r="AQ736" s="40"/>
    </row>
    <row r="737">
      <c r="A737" s="40"/>
      <c r="B737" s="42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1"/>
      <c r="AM737" s="41"/>
      <c r="AN737" s="41"/>
      <c r="AO737" s="41"/>
      <c r="AP737" s="41"/>
      <c r="AQ737" s="40"/>
    </row>
    <row r="738">
      <c r="A738" s="40"/>
      <c r="B738" s="42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1"/>
      <c r="AM738" s="41"/>
      <c r="AN738" s="41"/>
      <c r="AO738" s="41"/>
      <c r="AP738" s="41"/>
      <c r="AQ738" s="40"/>
    </row>
    <row r="739">
      <c r="A739" s="40"/>
      <c r="B739" s="42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1"/>
      <c r="AM739" s="41"/>
      <c r="AN739" s="41"/>
      <c r="AO739" s="41"/>
      <c r="AP739" s="41"/>
      <c r="AQ739" s="40"/>
    </row>
    <row r="740">
      <c r="A740" s="40"/>
      <c r="B740" s="42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1"/>
      <c r="AM740" s="41"/>
      <c r="AN740" s="41"/>
      <c r="AO740" s="41"/>
      <c r="AP740" s="41"/>
      <c r="AQ740" s="40"/>
    </row>
    <row r="741">
      <c r="A741" s="40"/>
      <c r="B741" s="42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1"/>
      <c r="AM741" s="41"/>
      <c r="AN741" s="41"/>
      <c r="AO741" s="41"/>
      <c r="AP741" s="41"/>
      <c r="AQ741" s="40"/>
    </row>
    <row r="742">
      <c r="A742" s="40"/>
      <c r="B742" s="42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1"/>
      <c r="AM742" s="41"/>
      <c r="AN742" s="41"/>
      <c r="AO742" s="41"/>
      <c r="AP742" s="41"/>
      <c r="AQ742" s="40"/>
    </row>
    <row r="743">
      <c r="A743" s="40"/>
      <c r="B743" s="42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1"/>
      <c r="AM743" s="41"/>
      <c r="AN743" s="41"/>
      <c r="AO743" s="41"/>
      <c r="AP743" s="41"/>
      <c r="AQ743" s="40"/>
    </row>
    <row r="744">
      <c r="A744" s="40"/>
      <c r="B744" s="42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1"/>
      <c r="AM744" s="41"/>
      <c r="AN744" s="41"/>
      <c r="AO744" s="41"/>
      <c r="AP744" s="41"/>
      <c r="AQ744" s="40"/>
    </row>
    <row r="745">
      <c r="A745" s="40"/>
      <c r="B745" s="42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1"/>
      <c r="AM745" s="41"/>
      <c r="AN745" s="41"/>
      <c r="AO745" s="41"/>
      <c r="AP745" s="41"/>
      <c r="AQ745" s="40"/>
    </row>
    <row r="746">
      <c r="A746" s="40"/>
      <c r="B746" s="42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1"/>
      <c r="AM746" s="41"/>
      <c r="AN746" s="41"/>
      <c r="AO746" s="41"/>
      <c r="AP746" s="41"/>
      <c r="AQ746" s="40"/>
    </row>
    <row r="747">
      <c r="A747" s="40"/>
      <c r="B747" s="42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1"/>
      <c r="AM747" s="41"/>
      <c r="AN747" s="41"/>
      <c r="AO747" s="41"/>
      <c r="AP747" s="41"/>
      <c r="AQ747" s="40"/>
    </row>
    <row r="748">
      <c r="A748" s="40"/>
      <c r="B748" s="42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1"/>
      <c r="AM748" s="41"/>
      <c r="AN748" s="41"/>
      <c r="AO748" s="41"/>
      <c r="AP748" s="41"/>
      <c r="AQ748" s="40"/>
    </row>
    <row r="749">
      <c r="A749" s="40"/>
      <c r="B749" s="42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1"/>
      <c r="AM749" s="41"/>
      <c r="AN749" s="41"/>
      <c r="AO749" s="41"/>
      <c r="AP749" s="41"/>
      <c r="AQ749" s="40"/>
    </row>
    <row r="750">
      <c r="A750" s="40"/>
      <c r="B750" s="42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1"/>
      <c r="AM750" s="41"/>
      <c r="AN750" s="41"/>
      <c r="AO750" s="41"/>
      <c r="AP750" s="41"/>
      <c r="AQ750" s="40"/>
    </row>
    <row r="751">
      <c r="A751" s="40"/>
      <c r="B751" s="42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1"/>
      <c r="AM751" s="41"/>
      <c r="AN751" s="41"/>
      <c r="AO751" s="41"/>
      <c r="AP751" s="41"/>
      <c r="AQ751" s="40"/>
    </row>
    <row r="752">
      <c r="A752" s="40"/>
      <c r="B752" s="42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1"/>
      <c r="AM752" s="41"/>
      <c r="AN752" s="41"/>
      <c r="AO752" s="41"/>
      <c r="AP752" s="41"/>
      <c r="AQ752" s="40"/>
    </row>
    <row r="753">
      <c r="A753" s="40"/>
      <c r="B753" s="42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1"/>
      <c r="AM753" s="41"/>
      <c r="AN753" s="41"/>
      <c r="AO753" s="41"/>
      <c r="AP753" s="41"/>
      <c r="AQ753" s="40"/>
    </row>
    <row r="754">
      <c r="A754" s="40"/>
      <c r="B754" s="42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1"/>
      <c r="AM754" s="41"/>
      <c r="AN754" s="41"/>
      <c r="AO754" s="41"/>
      <c r="AP754" s="41"/>
      <c r="AQ754" s="40"/>
    </row>
    <row r="755">
      <c r="A755" s="40"/>
      <c r="B755" s="42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1"/>
      <c r="AM755" s="41"/>
      <c r="AN755" s="41"/>
      <c r="AO755" s="41"/>
      <c r="AP755" s="41"/>
      <c r="AQ755" s="40"/>
    </row>
    <row r="756">
      <c r="A756" s="40"/>
      <c r="B756" s="42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1"/>
      <c r="AM756" s="41"/>
      <c r="AN756" s="41"/>
      <c r="AO756" s="41"/>
      <c r="AP756" s="41"/>
      <c r="AQ756" s="40"/>
    </row>
    <row r="757">
      <c r="A757" s="40"/>
      <c r="B757" s="42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1"/>
      <c r="AM757" s="41"/>
      <c r="AN757" s="41"/>
      <c r="AO757" s="41"/>
      <c r="AP757" s="41"/>
      <c r="AQ757" s="40"/>
    </row>
    <row r="758">
      <c r="A758" s="40"/>
      <c r="B758" s="42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1"/>
      <c r="AM758" s="41"/>
      <c r="AN758" s="41"/>
      <c r="AO758" s="41"/>
      <c r="AP758" s="41"/>
      <c r="AQ758" s="40"/>
    </row>
    <row r="759">
      <c r="A759" s="40"/>
      <c r="B759" s="42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1"/>
      <c r="AM759" s="41"/>
      <c r="AN759" s="41"/>
      <c r="AO759" s="41"/>
      <c r="AP759" s="41"/>
      <c r="AQ759" s="40"/>
    </row>
    <row r="760">
      <c r="A760" s="40"/>
      <c r="B760" s="42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1"/>
      <c r="AM760" s="41"/>
      <c r="AN760" s="41"/>
      <c r="AO760" s="41"/>
      <c r="AP760" s="41"/>
      <c r="AQ760" s="40"/>
    </row>
    <row r="761">
      <c r="A761" s="40"/>
      <c r="B761" s="42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1"/>
      <c r="AM761" s="41"/>
      <c r="AN761" s="41"/>
      <c r="AO761" s="41"/>
      <c r="AP761" s="41"/>
      <c r="AQ761" s="40"/>
    </row>
    <row r="762">
      <c r="A762" s="40"/>
      <c r="B762" s="42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1"/>
      <c r="AM762" s="41"/>
      <c r="AN762" s="41"/>
      <c r="AO762" s="41"/>
      <c r="AP762" s="41"/>
      <c r="AQ762" s="40"/>
    </row>
    <row r="763">
      <c r="A763" s="40"/>
      <c r="B763" s="42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1"/>
      <c r="AM763" s="41"/>
      <c r="AN763" s="41"/>
      <c r="AO763" s="41"/>
      <c r="AP763" s="41"/>
      <c r="AQ763" s="40"/>
    </row>
    <row r="764">
      <c r="A764" s="40"/>
      <c r="B764" s="42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1"/>
      <c r="AM764" s="41"/>
      <c r="AN764" s="41"/>
      <c r="AO764" s="41"/>
      <c r="AP764" s="41"/>
      <c r="AQ764" s="40"/>
    </row>
    <row r="765">
      <c r="A765" s="40"/>
      <c r="B765" s="42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1"/>
      <c r="AM765" s="41"/>
      <c r="AN765" s="41"/>
      <c r="AO765" s="41"/>
      <c r="AP765" s="41"/>
      <c r="AQ765" s="40"/>
    </row>
    <row r="766">
      <c r="A766" s="40"/>
      <c r="B766" s="42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1"/>
      <c r="AM766" s="41"/>
      <c r="AN766" s="41"/>
      <c r="AO766" s="41"/>
      <c r="AP766" s="41"/>
      <c r="AQ766" s="40"/>
    </row>
    <row r="767">
      <c r="A767" s="40"/>
      <c r="B767" s="42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1"/>
      <c r="AM767" s="41"/>
      <c r="AN767" s="41"/>
      <c r="AO767" s="41"/>
      <c r="AP767" s="41"/>
      <c r="AQ767" s="40"/>
    </row>
    <row r="768">
      <c r="A768" s="40"/>
      <c r="B768" s="42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1"/>
      <c r="AM768" s="41"/>
      <c r="AN768" s="41"/>
      <c r="AO768" s="41"/>
      <c r="AP768" s="41"/>
      <c r="AQ768" s="40"/>
    </row>
    <row r="769">
      <c r="A769" s="40"/>
      <c r="B769" s="42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1"/>
      <c r="AM769" s="41"/>
      <c r="AN769" s="41"/>
      <c r="AO769" s="41"/>
      <c r="AP769" s="41"/>
      <c r="AQ769" s="40"/>
    </row>
    <row r="770">
      <c r="A770" s="40"/>
      <c r="B770" s="42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1"/>
      <c r="AM770" s="41"/>
      <c r="AN770" s="41"/>
      <c r="AO770" s="41"/>
      <c r="AP770" s="41"/>
      <c r="AQ770" s="40"/>
    </row>
    <row r="771">
      <c r="A771" s="40"/>
      <c r="B771" s="42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1"/>
      <c r="AM771" s="41"/>
      <c r="AN771" s="41"/>
      <c r="AO771" s="41"/>
      <c r="AP771" s="41"/>
      <c r="AQ771" s="40"/>
    </row>
    <row r="772">
      <c r="A772" s="40"/>
      <c r="B772" s="42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1"/>
      <c r="AM772" s="41"/>
      <c r="AN772" s="41"/>
      <c r="AO772" s="41"/>
      <c r="AP772" s="41"/>
      <c r="AQ772" s="40"/>
    </row>
    <row r="773">
      <c r="A773" s="40"/>
      <c r="B773" s="42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1"/>
      <c r="AM773" s="41"/>
      <c r="AN773" s="41"/>
      <c r="AO773" s="41"/>
      <c r="AP773" s="41"/>
      <c r="AQ773" s="40"/>
    </row>
    <row r="774">
      <c r="A774" s="40"/>
      <c r="B774" s="42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1"/>
      <c r="AM774" s="41"/>
      <c r="AN774" s="41"/>
      <c r="AO774" s="41"/>
      <c r="AP774" s="41"/>
      <c r="AQ774" s="40"/>
    </row>
    <row r="775">
      <c r="A775" s="40"/>
      <c r="B775" s="42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1"/>
      <c r="AM775" s="41"/>
      <c r="AN775" s="41"/>
      <c r="AO775" s="41"/>
      <c r="AP775" s="41"/>
      <c r="AQ775" s="40"/>
    </row>
    <row r="776">
      <c r="A776" s="40"/>
      <c r="B776" s="42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1"/>
      <c r="AM776" s="41"/>
      <c r="AN776" s="41"/>
      <c r="AO776" s="41"/>
      <c r="AP776" s="41"/>
      <c r="AQ776" s="40"/>
    </row>
    <row r="777">
      <c r="A777" s="40"/>
      <c r="B777" s="42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1"/>
      <c r="AM777" s="41"/>
      <c r="AN777" s="41"/>
      <c r="AO777" s="41"/>
      <c r="AP777" s="41"/>
      <c r="AQ777" s="40"/>
    </row>
    <row r="778">
      <c r="A778" s="40"/>
      <c r="B778" s="42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1"/>
      <c r="AM778" s="41"/>
      <c r="AN778" s="41"/>
      <c r="AO778" s="41"/>
      <c r="AP778" s="41"/>
      <c r="AQ778" s="40"/>
    </row>
    <row r="779">
      <c r="A779" s="40"/>
      <c r="B779" s="42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1"/>
      <c r="AM779" s="41"/>
      <c r="AN779" s="41"/>
      <c r="AO779" s="41"/>
      <c r="AP779" s="41"/>
      <c r="AQ779" s="40"/>
    </row>
    <row r="780">
      <c r="A780" s="40"/>
      <c r="B780" s="42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1"/>
      <c r="AM780" s="41"/>
      <c r="AN780" s="41"/>
      <c r="AO780" s="41"/>
      <c r="AP780" s="41"/>
      <c r="AQ780" s="40"/>
    </row>
    <row r="781">
      <c r="A781" s="40"/>
      <c r="B781" s="42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1"/>
      <c r="AM781" s="41"/>
      <c r="AN781" s="41"/>
      <c r="AO781" s="41"/>
      <c r="AP781" s="41"/>
      <c r="AQ781" s="40"/>
    </row>
    <row r="782">
      <c r="A782" s="40"/>
      <c r="B782" s="42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1"/>
      <c r="AM782" s="41"/>
      <c r="AN782" s="41"/>
      <c r="AO782" s="41"/>
      <c r="AP782" s="41"/>
      <c r="AQ782" s="40"/>
    </row>
    <row r="783">
      <c r="A783" s="40"/>
      <c r="B783" s="42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1"/>
      <c r="AM783" s="41"/>
      <c r="AN783" s="41"/>
      <c r="AO783" s="41"/>
      <c r="AP783" s="41"/>
      <c r="AQ783" s="40"/>
    </row>
    <row r="784">
      <c r="A784" s="40"/>
      <c r="B784" s="42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1"/>
      <c r="AM784" s="41"/>
      <c r="AN784" s="41"/>
      <c r="AO784" s="41"/>
      <c r="AP784" s="41"/>
      <c r="AQ784" s="40"/>
    </row>
    <row r="785">
      <c r="A785" s="40"/>
      <c r="B785" s="42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1"/>
      <c r="AM785" s="41"/>
      <c r="AN785" s="41"/>
      <c r="AO785" s="41"/>
      <c r="AP785" s="41"/>
      <c r="AQ785" s="40"/>
    </row>
    <row r="786">
      <c r="A786" s="40"/>
      <c r="B786" s="42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1"/>
      <c r="AM786" s="41"/>
      <c r="AN786" s="41"/>
      <c r="AO786" s="41"/>
      <c r="AP786" s="41"/>
      <c r="AQ786" s="40"/>
    </row>
    <row r="787">
      <c r="A787" s="40"/>
      <c r="B787" s="42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1"/>
      <c r="AM787" s="41"/>
      <c r="AN787" s="41"/>
      <c r="AO787" s="41"/>
      <c r="AP787" s="41"/>
      <c r="AQ787" s="40"/>
    </row>
    <row r="788">
      <c r="A788" s="40"/>
      <c r="B788" s="42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1"/>
      <c r="AM788" s="41"/>
      <c r="AN788" s="41"/>
      <c r="AO788" s="41"/>
      <c r="AP788" s="41"/>
      <c r="AQ788" s="40"/>
    </row>
    <row r="789">
      <c r="A789" s="40"/>
      <c r="B789" s="42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1"/>
      <c r="AM789" s="41"/>
      <c r="AN789" s="41"/>
      <c r="AO789" s="41"/>
      <c r="AP789" s="41"/>
      <c r="AQ789" s="40"/>
    </row>
    <row r="790">
      <c r="A790" s="40"/>
      <c r="B790" s="42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1"/>
      <c r="AM790" s="41"/>
      <c r="AN790" s="41"/>
      <c r="AO790" s="41"/>
      <c r="AP790" s="41"/>
      <c r="AQ790" s="40"/>
    </row>
    <row r="791">
      <c r="A791" s="40"/>
      <c r="B791" s="42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1"/>
      <c r="AM791" s="41"/>
      <c r="AN791" s="41"/>
      <c r="AO791" s="41"/>
      <c r="AP791" s="41"/>
      <c r="AQ791" s="40"/>
    </row>
    <row r="792">
      <c r="A792" s="40"/>
      <c r="B792" s="42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1"/>
      <c r="AM792" s="41"/>
      <c r="AN792" s="41"/>
      <c r="AO792" s="41"/>
      <c r="AP792" s="41"/>
      <c r="AQ792" s="40"/>
    </row>
    <row r="793">
      <c r="A793" s="40"/>
      <c r="B793" s="42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1"/>
      <c r="AM793" s="41"/>
      <c r="AN793" s="41"/>
      <c r="AO793" s="41"/>
      <c r="AP793" s="41"/>
      <c r="AQ793" s="40"/>
    </row>
    <row r="794">
      <c r="A794" s="40"/>
      <c r="B794" s="42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1"/>
      <c r="AM794" s="41"/>
      <c r="AN794" s="41"/>
      <c r="AO794" s="41"/>
      <c r="AP794" s="41"/>
      <c r="AQ794" s="40"/>
    </row>
    <row r="795">
      <c r="A795" s="40"/>
      <c r="B795" s="42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1"/>
      <c r="AM795" s="41"/>
      <c r="AN795" s="41"/>
      <c r="AO795" s="41"/>
      <c r="AP795" s="41"/>
      <c r="AQ795" s="40"/>
    </row>
    <row r="796">
      <c r="A796" s="40"/>
      <c r="B796" s="42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1"/>
      <c r="AM796" s="41"/>
      <c r="AN796" s="41"/>
      <c r="AO796" s="41"/>
      <c r="AP796" s="41"/>
      <c r="AQ796" s="40"/>
    </row>
    <row r="797">
      <c r="A797" s="40"/>
      <c r="B797" s="42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1"/>
      <c r="AM797" s="41"/>
      <c r="AN797" s="41"/>
      <c r="AO797" s="41"/>
      <c r="AP797" s="41"/>
      <c r="AQ797" s="40"/>
    </row>
    <row r="798">
      <c r="A798" s="40"/>
      <c r="B798" s="42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1"/>
      <c r="AM798" s="41"/>
      <c r="AN798" s="41"/>
      <c r="AO798" s="41"/>
      <c r="AP798" s="41"/>
      <c r="AQ798" s="40"/>
    </row>
    <row r="799">
      <c r="A799" s="40"/>
      <c r="B799" s="42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1"/>
      <c r="AM799" s="41"/>
      <c r="AN799" s="41"/>
      <c r="AO799" s="41"/>
      <c r="AP799" s="41"/>
      <c r="AQ799" s="40"/>
    </row>
    <row r="800">
      <c r="A800" s="40"/>
      <c r="B800" s="42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1"/>
      <c r="AM800" s="41"/>
      <c r="AN800" s="41"/>
      <c r="AO800" s="41"/>
      <c r="AP800" s="41"/>
      <c r="AQ800" s="40"/>
    </row>
    <row r="801">
      <c r="A801" s="40"/>
      <c r="B801" s="42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1"/>
      <c r="AM801" s="41"/>
      <c r="AN801" s="41"/>
      <c r="AO801" s="41"/>
      <c r="AP801" s="41"/>
      <c r="AQ801" s="40"/>
    </row>
    <row r="802">
      <c r="A802" s="40"/>
      <c r="B802" s="42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1"/>
      <c r="AM802" s="41"/>
      <c r="AN802" s="41"/>
      <c r="AO802" s="41"/>
      <c r="AP802" s="41"/>
      <c r="AQ802" s="40"/>
    </row>
    <row r="803">
      <c r="A803" s="40"/>
      <c r="B803" s="42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1"/>
      <c r="AM803" s="41"/>
      <c r="AN803" s="41"/>
      <c r="AO803" s="41"/>
      <c r="AP803" s="41"/>
      <c r="AQ803" s="40"/>
    </row>
    <row r="804">
      <c r="A804" s="40"/>
      <c r="B804" s="42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1"/>
      <c r="AM804" s="41"/>
      <c r="AN804" s="41"/>
      <c r="AO804" s="41"/>
      <c r="AP804" s="41"/>
      <c r="AQ804" s="40"/>
    </row>
    <row r="805">
      <c r="A805" s="40"/>
      <c r="B805" s="42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1"/>
      <c r="AM805" s="41"/>
      <c r="AN805" s="41"/>
      <c r="AO805" s="41"/>
      <c r="AP805" s="41"/>
      <c r="AQ805" s="40"/>
    </row>
    <row r="806">
      <c r="A806" s="40"/>
      <c r="B806" s="42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1"/>
      <c r="AM806" s="41"/>
      <c r="AN806" s="41"/>
      <c r="AO806" s="41"/>
      <c r="AP806" s="41"/>
      <c r="AQ806" s="40"/>
    </row>
    <row r="807">
      <c r="A807" s="40"/>
      <c r="B807" s="42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1"/>
      <c r="AM807" s="41"/>
      <c r="AN807" s="41"/>
      <c r="AO807" s="41"/>
      <c r="AP807" s="41"/>
      <c r="AQ807" s="40"/>
    </row>
    <row r="808">
      <c r="A808" s="40"/>
      <c r="B808" s="42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1"/>
      <c r="AM808" s="41"/>
      <c r="AN808" s="41"/>
      <c r="AO808" s="41"/>
      <c r="AP808" s="41"/>
      <c r="AQ808" s="40"/>
    </row>
    <row r="809">
      <c r="A809" s="40"/>
      <c r="B809" s="42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1"/>
      <c r="AM809" s="41"/>
      <c r="AN809" s="41"/>
      <c r="AO809" s="41"/>
      <c r="AP809" s="41"/>
      <c r="AQ809" s="40"/>
    </row>
    <row r="810">
      <c r="A810" s="40"/>
      <c r="B810" s="42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1"/>
      <c r="AM810" s="41"/>
      <c r="AN810" s="41"/>
      <c r="AO810" s="41"/>
      <c r="AP810" s="41"/>
      <c r="AQ810" s="40"/>
    </row>
    <row r="811">
      <c r="A811" s="40"/>
      <c r="B811" s="42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1"/>
      <c r="AM811" s="41"/>
      <c r="AN811" s="41"/>
      <c r="AO811" s="41"/>
      <c r="AP811" s="41"/>
      <c r="AQ811" s="40"/>
    </row>
    <row r="812">
      <c r="A812" s="40"/>
      <c r="B812" s="42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1"/>
      <c r="AM812" s="41"/>
      <c r="AN812" s="41"/>
      <c r="AO812" s="41"/>
      <c r="AP812" s="41"/>
      <c r="AQ812" s="40"/>
    </row>
    <row r="813">
      <c r="A813" s="40"/>
      <c r="B813" s="42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1"/>
      <c r="AM813" s="41"/>
      <c r="AN813" s="41"/>
      <c r="AO813" s="41"/>
      <c r="AP813" s="41"/>
      <c r="AQ813" s="40"/>
    </row>
    <row r="814">
      <c r="A814" s="40"/>
      <c r="B814" s="42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1"/>
      <c r="AM814" s="41"/>
      <c r="AN814" s="41"/>
      <c r="AO814" s="41"/>
      <c r="AP814" s="41"/>
      <c r="AQ814" s="40"/>
    </row>
    <row r="815">
      <c r="A815" s="40"/>
      <c r="B815" s="42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1"/>
      <c r="AM815" s="41"/>
      <c r="AN815" s="41"/>
      <c r="AO815" s="41"/>
      <c r="AP815" s="41"/>
      <c r="AQ815" s="40"/>
    </row>
    <row r="816">
      <c r="A816" s="40"/>
      <c r="B816" s="42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1"/>
      <c r="AM816" s="41"/>
      <c r="AN816" s="41"/>
      <c r="AO816" s="41"/>
      <c r="AP816" s="41"/>
      <c r="AQ816" s="40"/>
    </row>
    <row r="817">
      <c r="A817" s="40"/>
      <c r="B817" s="42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1"/>
      <c r="AM817" s="41"/>
      <c r="AN817" s="41"/>
      <c r="AO817" s="41"/>
      <c r="AP817" s="41"/>
      <c r="AQ817" s="40"/>
    </row>
    <row r="818">
      <c r="A818" s="40"/>
      <c r="B818" s="42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1"/>
      <c r="AM818" s="41"/>
      <c r="AN818" s="41"/>
      <c r="AO818" s="41"/>
      <c r="AP818" s="41"/>
      <c r="AQ818" s="40"/>
    </row>
    <row r="819">
      <c r="A819" s="40"/>
      <c r="B819" s="42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1"/>
      <c r="AM819" s="41"/>
      <c r="AN819" s="41"/>
      <c r="AO819" s="41"/>
      <c r="AP819" s="41"/>
      <c r="AQ819" s="40"/>
    </row>
    <row r="820">
      <c r="A820" s="40"/>
      <c r="B820" s="42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1"/>
      <c r="AM820" s="41"/>
      <c r="AN820" s="41"/>
      <c r="AO820" s="41"/>
      <c r="AP820" s="41"/>
      <c r="AQ820" s="40"/>
    </row>
    <row r="821">
      <c r="A821" s="40"/>
      <c r="B821" s="42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1"/>
      <c r="AM821" s="41"/>
      <c r="AN821" s="41"/>
      <c r="AO821" s="41"/>
      <c r="AP821" s="41"/>
      <c r="AQ821" s="40"/>
    </row>
    <row r="822">
      <c r="A822" s="40"/>
      <c r="B822" s="42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1"/>
      <c r="AM822" s="41"/>
      <c r="AN822" s="41"/>
      <c r="AO822" s="41"/>
      <c r="AP822" s="41"/>
      <c r="AQ822" s="40"/>
    </row>
    <row r="823">
      <c r="A823" s="40"/>
      <c r="B823" s="42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1"/>
      <c r="AM823" s="41"/>
      <c r="AN823" s="41"/>
      <c r="AO823" s="41"/>
      <c r="AP823" s="41"/>
      <c r="AQ823" s="40"/>
    </row>
    <row r="824">
      <c r="A824" s="40"/>
      <c r="B824" s="42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1"/>
      <c r="AM824" s="41"/>
      <c r="AN824" s="41"/>
      <c r="AO824" s="41"/>
      <c r="AP824" s="41"/>
      <c r="AQ824" s="40"/>
    </row>
    <row r="825">
      <c r="A825" s="40"/>
      <c r="B825" s="42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1"/>
      <c r="AM825" s="41"/>
      <c r="AN825" s="41"/>
      <c r="AO825" s="41"/>
      <c r="AP825" s="41"/>
      <c r="AQ825" s="40"/>
    </row>
    <row r="826">
      <c r="A826" s="40"/>
      <c r="B826" s="42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1"/>
      <c r="AM826" s="41"/>
      <c r="AN826" s="41"/>
      <c r="AO826" s="41"/>
      <c r="AP826" s="41"/>
      <c r="AQ826" s="40"/>
    </row>
    <row r="827">
      <c r="A827" s="40"/>
      <c r="B827" s="42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1"/>
      <c r="AM827" s="41"/>
      <c r="AN827" s="41"/>
      <c r="AO827" s="41"/>
      <c r="AP827" s="41"/>
      <c r="AQ827" s="40"/>
    </row>
    <row r="828">
      <c r="A828" s="40"/>
      <c r="B828" s="42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1"/>
      <c r="AM828" s="41"/>
      <c r="AN828" s="41"/>
      <c r="AO828" s="41"/>
      <c r="AP828" s="41"/>
      <c r="AQ828" s="40"/>
    </row>
    <row r="829">
      <c r="A829" s="40"/>
      <c r="B829" s="42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1"/>
      <c r="AM829" s="41"/>
      <c r="AN829" s="41"/>
      <c r="AO829" s="41"/>
      <c r="AP829" s="41"/>
      <c r="AQ829" s="40"/>
    </row>
    <row r="830">
      <c r="A830" s="40"/>
      <c r="B830" s="42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1"/>
      <c r="AM830" s="41"/>
      <c r="AN830" s="41"/>
      <c r="AO830" s="41"/>
      <c r="AP830" s="41"/>
      <c r="AQ830" s="40"/>
    </row>
    <row r="831">
      <c r="A831" s="40"/>
      <c r="B831" s="42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1"/>
      <c r="AM831" s="41"/>
      <c r="AN831" s="41"/>
      <c r="AO831" s="41"/>
      <c r="AP831" s="41"/>
      <c r="AQ831" s="40"/>
    </row>
    <row r="832">
      <c r="A832" s="40"/>
      <c r="B832" s="42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1"/>
      <c r="AM832" s="41"/>
      <c r="AN832" s="41"/>
      <c r="AO832" s="41"/>
      <c r="AP832" s="41"/>
      <c r="AQ832" s="40"/>
    </row>
    <row r="833">
      <c r="A833" s="40"/>
      <c r="B833" s="42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1"/>
      <c r="AM833" s="41"/>
      <c r="AN833" s="41"/>
      <c r="AO833" s="41"/>
      <c r="AP833" s="41"/>
      <c r="AQ833" s="40"/>
    </row>
    <row r="834">
      <c r="A834" s="40"/>
      <c r="B834" s="42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1"/>
      <c r="AM834" s="41"/>
      <c r="AN834" s="41"/>
      <c r="AO834" s="41"/>
      <c r="AP834" s="41"/>
      <c r="AQ834" s="40"/>
    </row>
    <row r="835">
      <c r="A835" s="40"/>
      <c r="B835" s="42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1"/>
      <c r="AM835" s="41"/>
      <c r="AN835" s="41"/>
      <c r="AO835" s="41"/>
      <c r="AP835" s="41"/>
      <c r="AQ835" s="40"/>
    </row>
    <row r="836">
      <c r="A836" s="40"/>
      <c r="B836" s="42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1"/>
      <c r="AM836" s="41"/>
      <c r="AN836" s="41"/>
      <c r="AO836" s="41"/>
      <c r="AP836" s="41"/>
      <c r="AQ836" s="40"/>
    </row>
    <row r="837">
      <c r="A837" s="40"/>
      <c r="B837" s="42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1"/>
      <c r="AM837" s="41"/>
      <c r="AN837" s="41"/>
      <c r="AO837" s="41"/>
      <c r="AP837" s="41"/>
      <c r="AQ837" s="40"/>
    </row>
    <row r="838">
      <c r="A838" s="40"/>
      <c r="B838" s="42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1"/>
      <c r="AM838" s="41"/>
      <c r="AN838" s="41"/>
      <c r="AO838" s="41"/>
      <c r="AP838" s="41"/>
      <c r="AQ838" s="40"/>
    </row>
    <row r="839">
      <c r="A839" s="40"/>
      <c r="B839" s="42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1"/>
      <c r="AM839" s="41"/>
      <c r="AN839" s="41"/>
      <c r="AO839" s="41"/>
      <c r="AP839" s="41"/>
      <c r="AQ839" s="40"/>
    </row>
    <row r="840">
      <c r="A840" s="40"/>
      <c r="B840" s="42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1"/>
      <c r="AM840" s="41"/>
      <c r="AN840" s="41"/>
      <c r="AO840" s="41"/>
      <c r="AP840" s="41"/>
      <c r="AQ840" s="40"/>
    </row>
    <row r="841">
      <c r="A841" s="40"/>
      <c r="B841" s="42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1"/>
      <c r="AM841" s="41"/>
      <c r="AN841" s="41"/>
      <c r="AO841" s="41"/>
      <c r="AP841" s="41"/>
      <c r="AQ841" s="40"/>
    </row>
    <row r="842">
      <c r="A842" s="40"/>
      <c r="B842" s="42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1"/>
      <c r="AM842" s="41"/>
      <c r="AN842" s="41"/>
      <c r="AO842" s="41"/>
      <c r="AP842" s="41"/>
      <c r="AQ842" s="40"/>
    </row>
    <row r="843">
      <c r="A843" s="40"/>
      <c r="B843" s="42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1"/>
      <c r="AM843" s="41"/>
      <c r="AN843" s="41"/>
      <c r="AO843" s="41"/>
      <c r="AP843" s="41"/>
      <c r="AQ843" s="40"/>
    </row>
    <row r="844">
      <c r="A844" s="40"/>
      <c r="B844" s="42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1"/>
      <c r="AM844" s="41"/>
      <c r="AN844" s="41"/>
      <c r="AO844" s="41"/>
      <c r="AP844" s="41"/>
      <c r="AQ844" s="40"/>
    </row>
    <row r="845">
      <c r="A845" s="40"/>
      <c r="B845" s="42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1"/>
      <c r="AM845" s="41"/>
      <c r="AN845" s="41"/>
      <c r="AO845" s="41"/>
      <c r="AP845" s="41"/>
      <c r="AQ845" s="40"/>
    </row>
    <row r="846">
      <c r="A846" s="40"/>
      <c r="B846" s="42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1"/>
      <c r="AM846" s="41"/>
      <c r="AN846" s="41"/>
      <c r="AO846" s="41"/>
      <c r="AP846" s="41"/>
      <c r="AQ846" s="40"/>
    </row>
    <row r="847">
      <c r="A847" s="40"/>
      <c r="B847" s="42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1"/>
      <c r="AM847" s="41"/>
      <c r="AN847" s="41"/>
      <c r="AO847" s="41"/>
      <c r="AP847" s="41"/>
      <c r="AQ847" s="40"/>
    </row>
    <row r="848">
      <c r="A848" s="40"/>
      <c r="B848" s="42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1"/>
      <c r="AM848" s="41"/>
      <c r="AN848" s="41"/>
      <c r="AO848" s="41"/>
      <c r="AP848" s="41"/>
      <c r="AQ848" s="40"/>
    </row>
    <row r="849">
      <c r="A849" s="40"/>
      <c r="B849" s="42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1"/>
      <c r="AM849" s="41"/>
      <c r="AN849" s="41"/>
      <c r="AO849" s="41"/>
      <c r="AP849" s="41"/>
      <c r="AQ849" s="40"/>
    </row>
    <row r="850">
      <c r="A850" s="40"/>
      <c r="B850" s="42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1"/>
      <c r="AM850" s="41"/>
      <c r="AN850" s="41"/>
      <c r="AO850" s="41"/>
      <c r="AP850" s="41"/>
      <c r="AQ850" s="40"/>
    </row>
    <row r="851">
      <c r="A851" s="40"/>
      <c r="B851" s="42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1"/>
      <c r="AM851" s="41"/>
      <c r="AN851" s="41"/>
      <c r="AO851" s="41"/>
      <c r="AP851" s="41"/>
      <c r="AQ851" s="40"/>
    </row>
    <row r="852">
      <c r="A852" s="40"/>
      <c r="B852" s="42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1"/>
      <c r="AM852" s="41"/>
      <c r="AN852" s="41"/>
      <c r="AO852" s="41"/>
      <c r="AP852" s="41"/>
      <c r="AQ852" s="40"/>
    </row>
    <row r="853">
      <c r="A853" s="40"/>
      <c r="B853" s="42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1"/>
      <c r="AM853" s="41"/>
      <c r="AN853" s="41"/>
      <c r="AO853" s="41"/>
      <c r="AP853" s="41"/>
      <c r="AQ853" s="40"/>
    </row>
    <row r="854">
      <c r="A854" s="40"/>
      <c r="B854" s="42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1"/>
      <c r="AM854" s="41"/>
      <c r="AN854" s="41"/>
      <c r="AO854" s="41"/>
      <c r="AP854" s="41"/>
      <c r="AQ854" s="40"/>
    </row>
    <row r="855">
      <c r="A855" s="40"/>
      <c r="B855" s="42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1"/>
      <c r="AM855" s="41"/>
      <c r="AN855" s="41"/>
      <c r="AO855" s="41"/>
      <c r="AP855" s="41"/>
      <c r="AQ855" s="40"/>
    </row>
    <row r="856">
      <c r="A856" s="40"/>
      <c r="B856" s="42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1"/>
      <c r="AM856" s="41"/>
      <c r="AN856" s="41"/>
      <c r="AO856" s="41"/>
      <c r="AP856" s="41"/>
      <c r="AQ856" s="40"/>
    </row>
    <row r="857">
      <c r="A857" s="40"/>
      <c r="B857" s="42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1"/>
      <c r="AM857" s="41"/>
      <c r="AN857" s="41"/>
      <c r="AO857" s="41"/>
      <c r="AP857" s="41"/>
      <c r="AQ857" s="40"/>
    </row>
    <row r="858">
      <c r="A858" s="40"/>
      <c r="B858" s="42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1"/>
      <c r="AM858" s="41"/>
      <c r="AN858" s="41"/>
      <c r="AO858" s="41"/>
      <c r="AP858" s="41"/>
      <c r="AQ858" s="40"/>
    </row>
    <row r="859">
      <c r="A859" s="40"/>
      <c r="B859" s="42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1"/>
      <c r="AM859" s="41"/>
      <c r="AN859" s="41"/>
      <c r="AO859" s="41"/>
      <c r="AP859" s="41"/>
      <c r="AQ859" s="40"/>
    </row>
    <row r="860">
      <c r="A860" s="40"/>
      <c r="B860" s="42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1"/>
      <c r="AM860" s="41"/>
      <c r="AN860" s="41"/>
      <c r="AO860" s="41"/>
      <c r="AP860" s="41"/>
      <c r="AQ860" s="40"/>
    </row>
    <row r="861">
      <c r="A861" s="40"/>
      <c r="B861" s="42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1"/>
      <c r="AM861" s="41"/>
      <c r="AN861" s="41"/>
      <c r="AO861" s="41"/>
      <c r="AP861" s="41"/>
      <c r="AQ861" s="40"/>
    </row>
    <row r="862">
      <c r="A862" s="40"/>
      <c r="B862" s="42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1"/>
      <c r="AM862" s="41"/>
      <c r="AN862" s="41"/>
      <c r="AO862" s="41"/>
      <c r="AP862" s="41"/>
      <c r="AQ862" s="40"/>
    </row>
    <row r="863">
      <c r="A863" s="40"/>
      <c r="B863" s="42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1"/>
      <c r="AM863" s="41"/>
      <c r="AN863" s="41"/>
      <c r="AO863" s="41"/>
      <c r="AP863" s="41"/>
      <c r="AQ863" s="40"/>
    </row>
    <row r="864">
      <c r="A864" s="40"/>
      <c r="B864" s="42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1"/>
      <c r="AM864" s="41"/>
      <c r="AN864" s="41"/>
      <c r="AO864" s="41"/>
      <c r="AP864" s="41"/>
      <c r="AQ864" s="40"/>
    </row>
    <row r="865">
      <c r="A865" s="40"/>
      <c r="B865" s="42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1"/>
      <c r="AM865" s="41"/>
      <c r="AN865" s="41"/>
      <c r="AO865" s="41"/>
      <c r="AP865" s="41"/>
      <c r="AQ865" s="40"/>
    </row>
    <row r="866">
      <c r="A866" s="40"/>
      <c r="B866" s="42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1"/>
      <c r="AM866" s="41"/>
      <c r="AN866" s="41"/>
      <c r="AO866" s="41"/>
      <c r="AP866" s="41"/>
      <c r="AQ866" s="40"/>
    </row>
    <row r="867">
      <c r="A867" s="40"/>
      <c r="B867" s="42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1"/>
      <c r="AM867" s="41"/>
      <c r="AN867" s="41"/>
      <c r="AO867" s="41"/>
      <c r="AP867" s="41"/>
      <c r="AQ867" s="40"/>
    </row>
    <row r="868">
      <c r="A868" s="40"/>
      <c r="B868" s="42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1"/>
      <c r="AM868" s="41"/>
      <c r="AN868" s="41"/>
      <c r="AO868" s="41"/>
      <c r="AP868" s="41"/>
      <c r="AQ868" s="40"/>
    </row>
    <row r="869">
      <c r="A869" s="40"/>
      <c r="B869" s="42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1"/>
      <c r="AM869" s="41"/>
      <c r="AN869" s="41"/>
      <c r="AO869" s="41"/>
      <c r="AP869" s="41"/>
      <c r="AQ869" s="40"/>
    </row>
    <row r="870">
      <c r="A870" s="40"/>
      <c r="B870" s="42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1"/>
      <c r="AM870" s="41"/>
      <c r="AN870" s="41"/>
      <c r="AO870" s="41"/>
      <c r="AP870" s="41"/>
      <c r="AQ870" s="40"/>
    </row>
    <row r="871">
      <c r="A871" s="40"/>
      <c r="B871" s="42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1"/>
      <c r="AM871" s="41"/>
      <c r="AN871" s="41"/>
      <c r="AO871" s="41"/>
      <c r="AP871" s="41"/>
      <c r="AQ871" s="40"/>
    </row>
    <row r="872">
      <c r="A872" s="40"/>
      <c r="B872" s="42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1"/>
      <c r="AM872" s="41"/>
      <c r="AN872" s="41"/>
      <c r="AO872" s="41"/>
      <c r="AP872" s="41"/>
      <c r="AQ872" s="40"/>
    </row>
    <row r="873">
      <c r="A873" s="40"/>
      <c r="B873" s="42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1"/>
      <c r="AM873" s="41"/>
      <c r="AN873" s="41"/>
      <c r="AO873" s="41"/>
      <c r="AP873" s="41"/>
      <c r="AQ873" s="40"/>
    </row>
    <row r="874">
      <c r="A874" s="40"/>
      <c r="B874" s="42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1"/>
      <c r="AM874" s="41"/>
      <c r="AN874" s="41"/>
      <c r="AO874" s="41"/>
      <c r="AP874" s="41"/>
      <c r="AQ874" s="40"/>
    </row>
    <row r="875">
      <c r="A875" s="40"/>
      <c r="B875" s="42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1"/>
      <c r="AM875" s="41"/>
      <c r="AN875" s="41"/>
      <c r="AO875" s="41"/>
      <c r="AP875" s="41"/>
      <c r="AQ875" s="40"/>
    </row>
    <row r="876">
      <c r="A876" s="40"/>
      <c r="B876" s="42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1"/>
      <c r="AM876" s="41"/>
      <c r="AN876" s="41"/>
      <c r="AO876" s="41"/>
      <c r="AP876" s="41"/>
      <c r="AQ876" s="40"/>
    </row>
    <row r="877">
      <c r="A877" s="40"/>
      <c r="B877" s="42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1"/>
      <c r="AM877" s="41"/>
      <c r="AN877" s="41"/>
      <c r="AO877" s="41"/>
      <c r="AP877" s="41"/>
      <c r="AQ877" s="40"/>
    </row>
    <row r="878">
      <c r="A878" s="40"/>
      <c r="B878" s="42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1"/>
      <c r="AM878" s="41"/>
      <c r="AN878" s="41"/>
      <c r="AO878" s="41"/>
      <c r="AP878" s="41"/>
      <c r="AQ878" s="40"/>
    </row>
    <row r="879">
      <c r="A879" s="40"/>
      <c r="B879" s="42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1"/>
      <c r="AM879" s="41"/>
      <c r="AN879" s="41"/>
      <c r="AO879" s="41"/>
      <c r="AP879" s="41"/>
      <c r="AQ879" s="40"/>
    </row>
    <row r="880">
      <c r="A880" s="40"/>
      <c r="B880" s="42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1"/>
      <c r="AM880" s="41"/>
      <c r="AN880" s="41"/>
      <c r="AO880" s="41"/>
      <c r="AP880" s="41"/>
      <c r="AQ880" s="40"/>
    </row>
    <row r="881">
      <c r="A881" s="40"/>
      <c r="B881" s="42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1"/>
      <c r="AM881" s="41"/>
      <c r="AN881" s="41"/>
      <c r="AO881" s="41"/>
      <c r="AP881" s="41"/>
      <c r="AQ881" s="40"/>
    </row>
    <row r="882">
      <c r="A882" s="40"/>
      <c r="B882" s="42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1"/>
      <c r="AM882" s="41"/>
      <c r="AN882" s="41"/>
      <c r="AO882" s="41"/>
      <c r="AP882" s="41"/>
      <c r="AQ882" s="40"/>
    </row>
    <row r="883">
      <c r="A883" s="40"/>
      <c r="B883" s="42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1"/>
      <c r="AM883" s="41"/>
      <c r="AN883" s="41"/>
      <c r="AO883" s="41"/>
      <c r="AP883" s="41"/>
      <c r="AQ883" s="40"/>
    </row>
    <row r="884">
      <c r="A884" s="40"/>
      <c r="B884" s="42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1"/>
      <c r="AM884" s="41"/>
      <c r="AN884" s="41"/>
      <c r="AO884" s="41"/>
      <c r="AP884" s="41"/>
      <c r="AQ884" s="40"/>
    </row>
    <row r="885">
      <c r="A885" s="40"/>
      <c r="B885" s="42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1"/>
      <c r="AM885" s="41"/>
      <c r="AN885" s="41"/>
      <c r="AO885" s="41"/>
      <c r="AP885" s="41"/>
      <c r="AQ885" s="40"/>
    </row>
    <row r="886">
      <c r="A886" s="40"/>
      <c r="B886" s="42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1"/>
      <c r="AM886" s="41"/>
      <c r="AN886" s="41"/>
      <c r="AO886" s="41"/>
      <c r="AP886" s="41"/>
      <c r="AQ886" s="40"/>
    </row>
    <row r="887">
      <c r="A887" s="40"/>
      <c r="B887" s="42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1"/>
      <c r="AM887" s="41"/>
      <c r="AN887" s="41"/>
      <c r="AO887" s="41"/>
      <c r="AP887" s="41"/>
      <c r="AQ887" s="40"/>
    </row>
    <row r="888">
      <c r="A888" s="40"/>
      <c r="B888" s="42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1"/>
      <c r="AM888" s="41"/>
      <c r="AN888" s="41"/>
      <c r="AO888" s="41"/>
      <c r="AP888" s="41"/>
      <c r="AQ888" s="40"/>
    </row>
    <row r="889">
      <c r="A889" s="40"/>
      <c r="B889" s="42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1"/>
      <c r="AM889" s="41"/>
      <c r="AN889" s="41"/>
      <c r="AO889" s="41"/>
      <c r="AP889" s="41"/>
      <c r="AQ889" s="40"/>
    </row>
    <row r="890">
      <c r="A890" s="40"/>
      <c r="B890" s="42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1"/>
      <c r="AM890" s="41"/>
      <c r="AN890" s="41"/>
      <c r="AO890" s="41"/>
      <c r="AP890" s="41"/>
      <c r="AQ890" s="40"/>
    </row>
    <row r="891">
      <c r="A891" s="40"/>
      <c r="B891" s="42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1"/>
      <c r="AM891" s="41"/>
      <c r="AN891" s="41"/>
      <c r="AO891" s="41"/>
      <c r="AP891" s="41"/>
      <c r="AQ891" s="40"/>
    </row>
    <row r="892">
      <c r="A892" s="40"/>
      <c r="B892" s="42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1"/>
      <c r="AM892" s="41"/>
      <c r="AN892" s="41"/>
      <c r="AO892" s="41"/>
      <c r="AP892" s="41"/>
      <c r="AQ892" s="40"/>
    </row>
    <row r="893">
      <c r="A893" s="40"/>
      <c r="B893" s="42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1"/>
      <c r="AM893" s="41"/>
      <c r="AN893" s="41"/>
      <c r="AO893" s="41"/>
      <c r="AP893" s="41"/>
      <c r="AQ893" s="40"/>
    </row>
    <row r="894">
      <c r="A894" s="40"/>
      <c r="B894" s="42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1"/>
      <c r="AM894" s="41"/>
      <c r="AN894" s="41"/>
      <c r="AO894" s="41"/>
      <c r="AP894" s="41"/>
      <c r="AQ894" s="40"/>
    </row>
    <row r="895">
      <c r="A895" s="40"/>
      <c r="B895" s="42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1"/>
      <c r="AM895" s="41"/>
      <c r="AN895" s="41"/>
      <c r="AO895" s="41"/>
      <c r="AP895" s="41"/>
      <c r="AQ895" s="40"/>
    </row>
    <row r="896">
      <c r="A896" s="40"/>
      <c r="B896" s="42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1"/>
      <c r="AM896" s="41"/>
      <c r="AN896" s="41"/>
      <c r="AO896" s="41"/>
      <c r="AP896" s="41"/>
      <c r="AQ896" s="40"/>
    </row>
    <row r="897">
      <c r="A897" s="40"/>
      <c r="B897" s="42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1"/>
      <c r="AM897" s="41"/>
      <c r="AN897" s="41"/>
      <c r="AO897" s="41"/>
      <c r="AP897" s="41"/>
      <c r="AQ897" s="40"/>
    </row>
    <row r="898">
      <c r="A898" s="40"/>
      <c r="B898" s="42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1"/>
      <c r="AM898" s="41"/>
      <c r="AN898" s="41"/>
      <c r="AO898" s="41"/>
      <c r="AP898" s="41"/>
      <c r="AQ898" s="40"/>
    </row>
    <row r="899">
      <c r="A899" s="40"/>
      <c r="B899" s="42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1"/>
      <c r="AM899" s="41"/>
      <c r="AN899" s="41"/>
      <c r="AO899" s="41"/>
      <c r="AP899" s="41"/>
      <c r="AQ899" s="40"/>
    </row>
    <row r="900">
      <c r="A900" s="40"/>
      <c r="B900" s="42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1"/>
      <c r="AM900" s="41"/>
      <c r="AN900" s="41"/>
      <c r="AO900" s="41"/>
      <c r="AP900" s="41"/>
      <c r="AQ900" s="40"/>
    </row>
    <row r="901">
      <c r="A901" s="40"/>
      <c r="B901" s="42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1"/>
      <c r="AM901" s="41"/>
      <c r="AN901" s="41"/>
      <c r="AO901" s="41"/>
      <c r="AP901" s="41"/>
      <c r="AQ901" s="40"/>
    </row>
    <row r="902">
      <c r="A902" s="40"/>
      <c r="B902" s="42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1"/>
      <c r="AM902" s="41"/>
      <c r="AN902" s="41"/>
      <c r="AO902" s="41"/>
      <c r="AP902" s="41"/>
      <c r="AQ902" s="40"/>
    </row>
    <row r="903">
      <c r="A903" s="40"/>
      <c r="B903" s="42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1"/>
      <c r="AM903" s="41"/>
      <c r="AN903" s="41"/>
      <c r="AO903" s="41"/>
      <c r="AP903" s="41"/>
      <c r="AQ903" s="40"/>
    </row>
    <row r="904">
      <c r="A904" s="40"/>
      <c r="B904" s="42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1"/>
      <c r="AM904" s="41"/>
      <c r="AN904" s="41"/>
      <c r="AO904" s="41"/>
      <c r="AP904" s="41"/>
      <c r="AQ904" s="40"/>
    </row>
    <row r="905">
      <c r="A905" s="40"/>
      <c r="B905" s="42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1"/>
      <c r="AM905" s="41"/>
      <c r="AN905" s="41"/>
      <c r="AO905" s="41"/>
      <c r="AP905" s="41"/>
      <c r="AQ905" s="40"/>
    </row>
    <row r="906">
      <c r="A906" s="40"/>
      <c r="B906" s="42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1"/>
      <c r="AM906" s="41"/>
      <c r="AN906" s="41"/>
      <c r="AO906" s="41"/>
      <c r="AP906" s="41"/>
      <c r="AQ906" s="40"/>
    </row>
    <row r="907">
      <c r="A907" s="40"/>
      <c r="B907" s="42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1"/>
      <c r="AM907" s="41"/>
      <c r="AN907" s="41"/>
      <c r="AO907" s="41"/>
      <c r="AP907" s="41"/>
      <c r="AQ907" s="40"/>
    </row>
    <row r="908">
      <c r="A908" s="40"/>
      <c r="B908" s="42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1"/>
      <c r="AM908" s="41"/>
      <c r="AN908" s="41"/>
      <c r="AO908" s="41"/>
      <c r="AP908" s="41"/>
      <c r="AQ908" s="40"/>
    </row>
    <row r="909">
      <c r="A909" s="40"/>
      <c r="B909" s="42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1"/>
      <c r="AM909" s="41"/>
      <c r="AN909" s="41"/>
      <c r="AO909" s="41"/>
      <c r="AP909" s="41"/>
      <c r="AQ909" s="40"/>
    </row>
    <row r="910">
      <c r="A910" s="40"/>
      <c r="B910" s="42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1"/>
      <c r="AM910" s="41"/>
      <c r="AN910" s="41"/>
      <c r="AO910" s="41"/>
      <c r="AP910" s="41"/>
      <c r="AQ910" s="40"/>
    </row>
    <row r="911">
      <c r="A911" s="40"/>
      <c r="B911" s="42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1"/>
      <c r="AM911" s="41"/>
      <c r="AN911" s="41"/>
      <c r="AO911" s="41"/>
      <c r="AP911" s="41"/>
      <c r="AQ911" s="40"/>
    </row>
    <row r="912">
      <c r="A912" s="40"/>
      <c r="B912" s="42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1"/>
      <c r="AM912" s="41"/>
      <c r="AN912" s="41"/>
      <c r="AO912" s="41"/>
      <c r="AP912" s="41"/>
      <c r="AQ912" s="40"/>
    </row>
    <row r="913">
      <c r="A913" s="40"/>
      <c r="B913" s="42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1"/>
      <c r="AM913" s="41"/>
      <c r="AN913" s="41"/>
      <c r="AO913" s="41"/>
      <c r="AP913" s="41"/>
      <c r="AQ913" s="40"/>
    </row>
    <row r="914">
      <c r="A914" s="40"/>
      <c r="B914" s="42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1"/>
      <c r="AM914" s="41"/>
      <c r="AN914" s="41"/>
      <c r="AO914" s="41"/>
      <c r="AP914" s="41"/>
      <c r="AQ914" s="40"/>
    </row>
    <row r="915">
      <c r="A915" s="40"/>
      <c r="B915" s="42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1"/>
      <c r="AM915" s="41"/>
      <c r="AN915" s="41"/>
      <c r="AO915" s="41"/>
      <c r="AP915" s="41"/>
      <c r="AQ915" s="40"/>
    </row>
    <row r="916">
      <c r="A916" s="40"/>
      <c r="B916" s="42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1"/>
      <c r="AM916" s="41"/>
      <c r="AN916" s="41"/>
      <c r="AO916" s="41"/>
      <c r="AP916" s="41"/>
      <c r="AQ916" s="40"/>
    </row>
    <row r="917">
      <c r="A917" s="40"/>
      <c r="B917" s="42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1"/>
      <c r="AM917" s="41"/>
      <c r="AN917" s="41"/>
      <c r="AO917" s="41"/>
      <c r="AP917" s="41"/>
      <c r="AQ917" s="40"/>
    </row>
    <row r="918">
      <c r="A918" s="40"/>
      <c r="B918" s="42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1"/>
      <c r="AM918" s="41"/>
      <c r="AN918" s="41"/>
      <c r="AO918" s="41"/>
      <c r="AP918" s="41"/>
      <c r="AQ918" s="40"/>
    </row>
    <row r="919">
      <c r="A919" s="40"/>
      <c r="B919" s="42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1"/>
      <c r="AM919" s="41"/>
      <c r="AN919" s="41"/>
      <c r="AO919" s="41"/>
      <c r="AP919" s="41"/>
      <c r="AQ919" s="40"/>
    </row>
    <row r="920">
      <c r="A920" s="40"/>
      <c r="B920" s="42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1"/>
      <c r="AM920" s="41"/>
      <c r="AN920" s="41"/>
      <c r="AO920" s="41"/>
      <c r="AP920" s="41"/>
      <c r="AQ920" s="40"/>
    </row>
    <row r="921">
      <c r="A921" s="40"/>
      <c r="B921" s="42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1"/>
      <c r="AM921" s="41"/>
      <c r="AN921" s="41"/>
      <c r="AO921" s="41"/>
      <c r="AP921" s="41"/>
      <c r="AQ921" s="40"/>
    </row>
    <row r="922">
      <c r="A922" s="40"/>
      <c r="B922" s="42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1"/>
      <c r="AM922" s="41"/>
      <c r="AN922" s="41"/>
      <c r="AO922" s="41"/>
      <c r="AP922" s="41"/>
      <c r="AQ922" s="40"/>
    </row>
    <row r="923">
      <c r="A923" s="40"/>
      <c r="B923" s="42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1"/>
      <c r="AM923" s="41"/>
      <c r="AN923" s="41"/>
      <c r="AO923" s="41"/>
      <c r="AP923" s="41"/>
      <c r="AQ923" s="40"/>
    </row>
    <row r="924">
      <c r="A924" s="40"/>
      <c r="B924" s="42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1"/>
      <c r="AM924" s="41"/>
      <c r="AN924" s="41"/>
      <c r="AO924" s="41"/>
      <c r="AP924" s="41"/>
      <c r="AQ924" s="40"/>
    </row>
    <row r="925">
      <c r="A925" s="40"/>
      <c r="B925" s="42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1"/>
      <c r="AM925" s="41"/>
      <c r="AN925" s="41"/>
      <c r="AO925" s="41"/>
      <c r="AP925" s="41"/>
      <c r="AQ925" s="40"/>
    </row>
    <row r="926">
      <c r="A926" s="40"/>
      <c r="B926" s="42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1"/>
      <c r="AM926" s="41"/>
      <c r="AN926" s="41"/>
      <c r="AO926" s="41"/>
      <c r="AP926" s="41"/>
      <c r="AQ926" s="40"/>
    </row>
    <row r="927">
      <c r="A927" s="40"/>
      <c r="B927" s="42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1"/>
      <c r="AM927" s="41"/>
      <c r="AN927" s="41"/>
      <c r="AO927" s="41"/>
      <c r="AP927" s="41"/>
      <c r="AQ927" s="40"/>
    </row>
    <row r="928">
      <c r="A928" s="40"/>
      <c r="B928" s="42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1"/>
      <c r="AM928" s="41"/>
      <c r="AN928" s="41"/>
      <c r="AO928" s="41"/>
      <c r="AP928" s="41"/>
      <c r="AQ928" s="40"/>
    </row>
    <row r="929">
      <c r="A929" s="40"/>
      <c r="B929" s="42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1"/>
      <c r="AM929" s="41"/>
      <c r="AN929" s="41"/>
      <c r="AO929" s="41"/>
      <c r="AP929" s="41"/>
      <c r="AQ929" s="40"/>
    </row>
    <row r="930">
      <c r="A930" s="40"/>
      <c r="B930" s="42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1"/>
      <c r="AM930" s="41"/>
      <c r="AN930" s="41"/>
      <c r="AO930" s="41"/>
      <c r="AP930" s="41"/>
      <c r="AQ930" s="40"/>
    </row>
    <row r="931">
      <c r="A931" s="40"/>
      <c r="B931" s="42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1"/>
      <c r="AM931" s="41"/>
      <c r="AN931" s="41"/>
      <c r="AO931" s="41"/>
      <c r="AP931" s="41"/>
      <c r="AQ931" s="40"/>
    </row>
    <row r="932">
      <c r="A932" s="40"/>
      <c r="B932" s="42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1"/>
      <c r="AM932" s="41"/>
      <c r="AN932" s="41"/>
      <c r="AO932" s="41"/>
      <c r="AP932" s="41"/>
      <c r="AQ932" s="40"/>
    </row>
    <row r="933">
      <c r="A933" s="40"/>
      <c r="B933" s="42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1"/>
      <c r="AM933" s="41"/>
      <c r="AN933" s="41"/>
      <c r="AO933" s="41"/>
      <c r="AP933" s="41"/>
      <c r="AQ933" s="40"/>
    </row>
    <row r="934">
      <c r="A934" s="40"/>
      <c r="B934" s="42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1"/>
      <c r="AM934" s="41"/>
      <c r="AN934" s="41"/>
      <c r="AO934" s="41"/>
      <c r="AP934" s="41"/>
      <c r="AQ934" s="40"/>
    </row>
    <row r="935">
      <c r="A935" s="40"/>
      <c r="B935" s="42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1"/>
      <c r="AM935" s="41"/>
      <c r="AN935" s="41"/>
      <c r="AO935" s="41"/>
      <c r="AP935" s="41"/>
      <c r="AQ935" s="40"/>
    </row>
    <row r="936">
      <c r="A936" s="40"/>
      <c r="B936" s="42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1"/>
      <c r="AM936" s="41"/>
      <c r="AN936" s="41"/>
      <c r="AO936" s="41"/>
      <c r="AP936" s="41"/>
      <c r="AQ936" s="40"/>
    </row>
    <row r="937">
      <c r="A937" s="40"/>
      <c r="B937" s="42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1"/>
      <c r="AM937" s="41"/>
      <c r="AN937" s="41"/>
      <c r="AO937" s="41"/>
      <c r="AP937" s="41"/>
      <c r="AQ937" s="40"/>
    </row>
    <row r="938">
      <c r="A938" s="40"/>
      <c r="B938" s="42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1"/>
      <c r="AM938" s="41"/>
      <c r="AN938" s="41"/>
      <c r="AO938" s="41"/>
      <c r="AP938" s="41"/>
      <c r="AQ938" s="40"/>
    </row>
    <row r="939">
      <c r="A939" s="40"/>
      <c r="B939" s="42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1"/>
      <c r="AM939" s="41"/>
      <c r="AN939" s="41"/>
      <c r="AO939" s="41"/>
      <c r="AP939" s="41"/>
      <c r="AQ939" s="40"/>
    </row>
    <row r="940">
      <c r="A940" s="40"/>
      <c r="B940" s="42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1"/>
      <c r="AM940" s="41"/>
      <c r="AN940" s="41"/>
      <c r="AO940" s="41"/>
      <c r="AP940" s="41"/>
      <c r="AQ940" s="40"/>
    </row>
    <row r="941">
      <c r="A941" s="40"/>
      <c r="B941" s="42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1"/>
      <c r="AM941" s="41"/>
      <c r="AN941" s="41"/>
      <c r="AO941" s="41"/>
      <c r="AP941" s="41"/>
      <c r="AQ941" s="40"/>
    </row>
    <row r="942">
      <c r="A942" s="40"/>
      <c r="B942" s="42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1"/>
      <c r="AM942" s="41"/>
      <c r="AN942" s="41"/>
      <c r="AO942" s="41"/>
      <c r="AP942" s="41"/>
      <c r="AQ942" s="40"/>
    </row>
    <row r="943">
      <c r="A943" s="40"/>
      <c r="B943" s="42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1"/>
      <c r="AM943" s="41"/>
      <c r="AN943" s="41"/>
      <c r="AO943" s="41"/>
      <c r="AP943" s="41"/>
      <c r="AQ943" s="40"/>
    </row>
    <row r="944">
      <c r="A944" s="40"/>
      <c r="B944" s="42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1"/>
      <c r="AM944" s="41"/>
      <c r="AN944" s="41"/>
      <c r="AO944" s="41"/>
      <c r="AP944" s="41"/>
      <c r="AQ944" s="40"/>
    </row>
    <row r="945">
      <c r="A945" s="40"/>
      <c r="B945" s="42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1"/>
      <c r="AM945" s="41"/>
      <c r="AN945" s="41"/>
      <c r="AO945" s="41"/>
      <c r="AP945" s="41"/>
      <c r="AQ945" s="40"/>
    </row>
    <row r="946">
      <c r="A946" s="40"/>
      <c r="B946" s="42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1"/>
      <c r="AM946" s="41"/>
      <c r="AN946" s="41"/>
      <c r="AO946" s="41"/>
      <c r="AP946" s="41"/>
      <c r="AQ946" s="40"/>
    </row>
    <row r="947">
      <c r="A947" s="40"/>
      <c r="B947" s="42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1"/>
      <c r="AM947" s="41"/>
      <c r="AN947" s="41"/>
      <c r="AO947" s="41"/>
      <c r="AP947" s="41"/>
      <c r="AQ947" s="40"/>
    </row>
    <row r="948">
      <c r="A948" s="40"/>
      <c r="B948" s="42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1"/>
      <c r="AM948" s="41"/>
      <c r="AN948" s="41"/>
      <c r="AO948" s="41"/>
      <c r="AP948" s="41"/>
      <c r="AQ948" s="40"/>
    </row>
    <row r="949">
      <c r="A949" s="40"/>
      <c r="B949" s="42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1"/>
      <c r="AM949" s="41"/>
      <c r="AN949" s="41"/>
      <c r="AO949" s="41"/>
      <c r="AP949" s="41"/>
      <c r="AQ949" s="40"/>
    </row>
    <row r="950">
      <c r="A950" s="40"/>
      <c r="B950" s="42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1"/>
      <c r="AM950" s="41"/>
      <c r="AN950" s="41"/>
      <c r="AO950" s="41"/>
      <c r="AP950" s="41"/>
      <c r="AQ950" s="40"/>
    </row>
    <row r="951">
      <c r="A951" s="40"/>
      <c r="B951" s="42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1"/>
      <c r="AM951" s="41"/>
      <c r="AN951" s="41"/>
      <c r="AO951" s="41"/>
      <c r="AP951" s="41"/>
      <c r="AQ951" s="40"/>
    </row>
    <row r="952">
      <c r="A952" s="40"/>
      <c r="B952" s="42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1"/>
      <c r="AM952" s="41"/>
      <c r="AN952" s="41"/>
      <c r="AO952" s="41"/>
      <c r="AP952" s="41"/>
      <c r="AQ952" s="40"/>
    </row>
    <row r="953">
      <c r="A953" s="40"/>
      <c r="B953" s="42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1"/>
      <c r="AM953" s="41"/>
      <c r="AN953" s="41"/>
      <c r="AO953" s="41"/>
      <c r="AP953" s="41"/>
      <c r="AQ953" s="40"/>
    </row>
    <row r="954">
      <c r="A954" s="40"/>
      <c r="B954" s="42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1"/>
      <c r="AM954" s="41"/>
      <c r="AN954" s="41"/>
      <c r="AO954" s="41"/>
      <c r="AP954" s="41"/>
      <c r="AQ954" s="40"/>
    </row>
    <row r="955">
      <c r="A955" s="40"/>
      <c r="B955" s="42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1"/>
      <c r="AM955" s="41"/>
      <c r="AN955" s="41"/>
      <c r="AO955" s="41"/>
      <c r="AP955" s="41"/>
      <c r="AQ955" s="40"/>
    </row>
    <row r="956">
      <c r="A956" s="40"/>
      <c r="B956" s="42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1"/>
      <c r="AM956" s="41"/>
      <c r="AN956" s="41"/>
      <c r="AO956" s="41"/>
      <c r="AP956" s="41"/>
      <c r="AQ956" s="40"/>
    </row>
    <row r="957">
      <c r="A957" s="40"/>
      <c r="B957" s="42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1"/>
      <c r="AM957" s="41"/>
      <c r="AN957" s="41"/>
      <c r="AO957" s="41"/>
      <c r="AP957" s="41"/>
      <c r="AQ957" s="40"/>
    </row>
    <row r="958">
      <c r="A958" s="40"/>
      <c r="B958" s="42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1"/>
      <c r="AM958" s="41"/>
      <c r="AN958" s="41"/>
      <c r="AO958" s="41"/>
      <c r="AP958" s="41"/>
      <c r="AQ958" s="40"/>
    </row>
    <row r="959">
      <c r="A959" s="40"/>
      <c r="B959" s="42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1"/>
      <c r="AM959" s="41"/>
      <c r="AN959" s="41"/>
      <c r="AO959" s="41"/>
      <c r="AP959" s="41"/>
      <c r="AQ959" s="40"/>
    </row>
    <row r="960">
      <c r="A960" s="40"/>
      <c r="B960" s="42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1"/>
      <c r="AM960" s="41"/>
      <c r="AN960" s="41"/>
      <c r="AO960" s="41"/>
      <c r="AP960" s="41"/>
      <c r="AQ960" s="40"/>
    </row>
    <row r="961">
      <c r="A961" s="40"/>
      <c r="B961" s="42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1"/>
      <c r="AM961" s="41"/>
      <c r="AN961" s="41"/>
      <c r="AO961" s="41"/>
      <c r="AP961" s="41"/>
      <c r="AQ961" s="40"/>
    </row>
    <row r="962">
      <c r="A962" s="40"/>
      <c r="B962" s="42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1"/>
      <c r="AM962" s="41"/>
      <c r="AN962" s="41"/>
      <c r="AO962" s="41"/>
      <c r="AP962" s="41"/>
      <c r="AQ962" s="40"/>
    </row>
    <row r="963">
      <c r="A963" s="40"/>
      <c r="B963" s="42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1"/>
      <c r="AM963" s="41"/>
      <c r="AN963" s="41"/>
      <c r="AO963" s="41"/>
      <c r="AP963" s="41"/>
      <c r="AQ963" s="40"/>
    </row>
    <row r="964">
      <c r="A964" s="40"/>
      <c r="B964" s="42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1"/>
      <c r="AM964" s="41"/>
      <c r="AN964" s="41"/>
      <c r="AO964" s="41"/>
      <c r="AP964" s="41"/>
      <c r="AQ964" s="40"/>
    </row>
    <row r="965">
      <c r="A965" s="40"/>
      <c r="B965" s="42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1"/>
      <c r="AM965" s="41"/>
      <c r="AN965" s="41"/>
      <c r="AO965" s="41"/>
      <c r="AP965" s="41"/>
      <c r="AQ965" s="40"/>
    </row>
    <row r="966">
      <c r="A966" s="40"/>
      <c r="B966" s="42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1"/>
      <c r="AM966" s="41"/>
      <c r="AN966" s="41"/>
      <c r="AO966" s="41"/>
      <c r="AP966" s="41"/>
      <c r="AQ966" s="40"/>
    </row>
    <row r="967">
      <c r="A967" s="40"/>
      <c r="B967" s="42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1"/>
      <c r="AM967" s="41"/>
      <c r="AN967" s="41"/>
      <c r="AO967" s="41"/>
      <c r="AP967" s="41"/>
      <c r="AQ967" s="40"/>
    </row>
    <row r="968">
      <c r="A968" s="40"/>
      <c r="B968" s="42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1"/>
      <c r="AM968" s="41"/>
      <c r="AN968" s="41"/>
      <c r="AO968" s="41"/>
      <c r="AP968" s="41"/>
      <c r="AQ968" s="40"/>
    </row>
    <row r="969">
      <c r="A969" s="40"/>
      <c r="B969" s="42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1"/>
      <c r="AM969" s="41"/>
      <c r="AN969" s="41"/>
      <c r="AO969" s="41"/>
      <c r="AP969" s="41"/>
      <c r="AQ969" s="40"/>
    </row>
    <row r="970">
      <c r="A970" s="40"/>
      <c r="B970" s="42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1"/>
      <c r="AM970" s="41"/>
      <c r="AN970" s="41"/>
      <c r="AO970" s="41"/>
      <c r="AP970" s="41"/>
      <c r="AQ970" s="40"/>
    </row>
    <row r="971">
      <c r="A971" s="40"/>
      <c r="B971" s="42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1"/>
      <c r="AM971" s="41"/>
      <c r="AN971" s="41"/>
      <c r="AO971" s="41"/>
      <c r="AP971" s="41"/>
      <c r="AQ971" s="40"/>
    </row>
    <row r="972">
      <c r="A972" s="40"/>
      <c r="B972" s="42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1"/>
      <c r="AM972" s="41"/>
      <c r="AN972" s="41"/>
      <c r="AO972" s="41"/>
      <c r="AP972" s="41"/>
      <c r="AQ972" s="40"/>
    </row>
    <row r="973">
      <c r="A973" s="40"/>
      <c r="B973" s="42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1"/>
      <c r="AM973" s="41"/>
      <c r="AN973" s="41"/>
      <c r="AO973" s="41"/>
      <c r="AP973" s="41"/>
      <c r="AQ973" s="40"/>
    </row>
    <row r="974">
      <c r="A974" s="40"/>
      <c r="B974" s="42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1"/>
      <c r="AM974" s="41"/>
      <c r="AN974" s="41"/>
      <c r="AO974" s="41"/>
      <c r="AP974" s="41"/>
      <c r="AQ974" s="40"/>
    </row>
    <row r="975">
      <c r="A975" s="40"/>
      <c r="B975" s="42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1"/>
      <c r="AM975" s="41"/>
      <c r="AN975" s="41"/>
      <c r="AO975" s="41"/>
      <c r="AP975" s="41"/>
      <c r="AQ975" s="40"/>
    </row>
    <row r="976">
      <c r="A976" s="40"/>
      <c r="B976" s="42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1"/>
      <c r="AM976" s="41"/>
      <c r="AN976" s="41"/>
      <c r="AO976" s="41"/>
      <c r="AP976" s="41"/>
      <c r="AQ976" s="40"/>
    </row>
    <row r="977">
      <c r="A977" s="40"/>
      <c r="B977" s="42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1"/>
      <c r="AM977" s="41"/>
      <c r="AN977" s="41"/>
      <c r="AO977" s="41"/>
      <c r="AP977" s="41"/>
      <c r="AQ977" s="40"/>
    </row>
    <row r="978">
      <c r="A978" s="40"/>
      <c r="B978" s="42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1"/>
      <c r="AM978" s="41"/>
      <c r="AN978" s="41"/>
      <c r="AO978" s="41"/>
      <c r="AP978" s="41"/>
      <c r="AQ978" s="40"/>
    </row>
    <row r="979">
      <c r="A979" s="40"/>
      <c r="B979" s="42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1"/>
      <c r="AM979" s="41"/>
      <c r="AN979" s="41"/>
      <c r="AO979" s="41"/>
      <c r="AP979" s="41"/>
      <c r="AQ979" s="40"/>
    </row>
    <row r="980">
      <c r="A980" s="40"/>
      <c r="B980" s="42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1"/>
      <c r="AM980" s="41"/>
      <c r="AN980" s="41"/>
      <c r="AO980" s="41"/>
      <c r="AP980" s="41"/>
      <c r="AQ980" s="40"/>
    </row>
    <row r="981">
      <c r="A981" s="40"/>
      <c r="B981" s="42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1"/>
      <c r="AM981" s="41"/>
      <c r="AN981" s="41"/>
      <c r="AO981" s="41"/>
      <c r="AP981" s="41"/>
      <c r="AQ981" s="40"/>
    </row>
    <row r="982">
      <c r="A982" s="40"/>
      <c r="B982" s="42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1"/>
      <c r="AM982" s="41"/>
      <c r="AN982" s="41"/>
      <c r="AO982" s="41"/>
      <c r="AP982" s="41"/>
      <c r="AQ982" s="40"/>
    </row>
    <row r="983">
      <c r="A983" s="40"/>
      <c r="B983" s="42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1"/>
      <c r="AM983" s="41"/>
      <c r="AN983" s="41"/>
      <c r="AO983" s="41"/>
      <c r="AP983" s="41"/>
      <c r="AQ983" s="40"/>
    </row>
    <row r="984">
      <c r="A984" s="40"/>
      <c r="B984" s="42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1"/>
      <c r="AM984" s="41"/>
      <c r="AN984" s="41"/>
      <c r="AO984" s="41"/>
      <c r="AP984" s="41"/>
      <c r="AQ984" s="40"/>
    </row>
    <row r="985">
      <c r="A985" s="40"/>
      <c r="B985" s="42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1"/>
      <c r="AM985" s="41"/>
      <c r="AN985" s="41"/>
      <c r="AO985" s="41"/>
      <c r="AP985" s="41"/>
      <c r="AQ985" s="40"/>
    </row>
    <row r="986">
      <c r="A986" s="40"/>
      <c r="B986" s="42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1"/>
      <c r="AM986" s="41"/>
      <c r="AN986" s="41"/>
      <c r="AO986" s="41"/>
      <c r="AP986" s="41"/>
      <c r="AQ986" s="40"/>
    </row>
    <row r="987">
      <c r="A987" s="40"/>
      <c r="B987" s="42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1"/>
      <c r="AM987" s="41"/>
      <c r="AN987" s="41"/>
      <c r="AO987" s="41"/>
      <c r="AP987" s="41"/>
      <c r="AQ987" s="40"/>
    </row>
    <row r="988">
      <c r="A988" s="40"/>
      <c r="B988" s="42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1"/>
      <c r="AM988" s="41"/>
      <c r="AN988" s="41"/>
      <c r="AO988" s="41"/>
      <c r="AP988" s="41"/>
      <c r="AQ988" s="40"/>
    </row>
    <row r="989">
      <c r="A989" s="40"/>
      <c r="B989" s="42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1"/>
      <c r="AM989" s="41"/>
      <c r="AN989" s="41"/>
      <c r="AO989" s="41"/>
      <c r="AP989" s="41"/>
      <c r="AQ989" s="40"/>
    </row>
    <row r="990">
      <c r="A990" s="40"/>
      <c r="B990" s="42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1"/>
      <c r="AM990" s="41"/>
      <c r="AN990" s="41"/>
      <c r="AO990" s="41"/>
      <c r="AP990" s="41"/>
      <c r="AQ990" s="40"/>
    </row>
    <row r="991">
      <c r="A991" s="40"/>
      <c r="B991" s="42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1"/>
      <c r="AM991" s="41"/>
      <c r="AN991" s="41"/>
      <c r="AO991" s="41"/>
      <c r="AP991" s="41"/>
      <c r="AQ991" s="40"/>
    </row>
    <row r="992">
      <c r="A992" s="40"/>
      <c r="B992" s="42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1"/>
      <c r="AM992" s="41"/>
      <c r="AN992" s="41"/>
      <c r="AO992" s="41"/>
      <c r="AP992" s="41"/>
      <c r="AQ992" s="40"/>
    </row>
    <row r="993">
      <c r="A993" s="40"/>
      <c r="B993" s="42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1"/>
      <c r="AM993" s="41"/>
      <c r="AN993" s="41"/>
      <c r="AO993" s="41"/>
      <c r="AP993" s="41"/>
      <c r="AQ993" s="40"/>
    </row>
    <row r="994">
      <c r="A994" s="40"/>
      <c r="B994" s="42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1"/>
      <c r="AM994" s="41"/>
      <c r="AN994" s="41"/>
      <c r="AO994" s="41"/>
      <c r="AP994" s="41"/>
      <c r="AQ994" s="40"/>
    </row>
    <row r="995">
      <c r="A995" s="40"/>
      <c r="B995" s="42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1"/>
      <c r="AM995" s="41"/>
      <c r="AN995" s="41"/>
      <c r="AO995" s="41"/>
      <c r="AP995" s="41"/>
      <c r="AQ995" s="40"/>
    </row>
    <row r="996">
      <c r="B996" s="39"/>
      <c r="AL996" s="43"/>
      <c r="AM996" s="43"/>
      <c r="AN996" s="43"/>
      <c r="AO996" s="43"/>
      <c r="AP996" s="43"/>
    </row>
    <row r="997">
      <c r="B997" s="39"/>
      <c r="AL997" s="43"/>
      <c r="AM997" s="43"/>
      <c r="AN997" s="43"/>
      <c r="AO997" s="43"/>
      <c r="AP997" s="43"/>
    </row>
    <row r="998">
      <c r="B998" s="39"/>
      <c r="AL998" s="43"/>
      <c r="AM998" s="43"/>
      <c r="AN998" s="43"/>
      <c r="AO998" s="43"/>
      <c r="AP998" s="43"/>
    </row>
  </sheetData>
  <mergeCells count="4">
    <mergeCell ref="A1:AK1"/>
    <mergeCell ref="A2:A4"/>
    <mergeCell ref="B2:B4"/>
    <mergeCell ref="C2:AK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6.88"/>
    <col customWidth="1" min="2" max="2" width="10.13"/>
    <col customWidth="1" min="3" max="3" width="4.13"/>
    <col customWidth="1" min="4" max="4" width="4.25"/>
    <col customWidth="1" min="5" max="5" width="3.0"/>
    <col customWidth="1" min="6" max="6" width="4.25"/>
    <col customWidth="1" min="7" max="8" width="3.0"/>
    <col customWidth="1" min="9" max="9" width="4.25"/>
    <col customWidth="1" min="10" max="18" width="3.0"/>
    <col customWidth="1" min="19" max="19" width="4.25"/>
    <col customWidth="1" min="20" max="37" width="3.0"/>
    <col customWidth="1" min="38" max="38" width="10.38"/>
    <col customWidth="1" min="39" max="40" width="12.63"/>
    <col customWidth="1" min="41" max="42" width="11.25"/>
  </cols>
  <sheetData>
    <row r="1">
      <c r="A1" s="11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7"/>
      <c r="AL1" s="2"/>
      <c r="AM1" s="2"/>
      <c r="AN1" s="2"/>
      <c r="AO1" s="1"/>
      <c r="AP1" s="1"/>
      <c r="AQ1" s="113">
        <v>45931.0</v>
      </c>
    </row>
    <row r="2">
      <c r="A2" s="4" t="s">
        <v>1</v>
      </c>
      <c r="B2" s="4" t="s">
        <v>2</v>
      </c>
      <c r="C2" s="5" t="str">
        <f>UPPER("HARI / BULAN : " &amp; TEXT(AQ1, "MMMM YYYY"))</f>
        <v>HARI / BULAN : OKTOBER 2025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  <c r="AL2" s="8"/>
      <c r="AM2" s="8"/>
      <c r="AN2" s="8"/>
      <c r="AO2" s="9"/>
      <c r="AP2" s="9"/>
      <c r="AQ2" s="10"/>
    </row>
    <row r="3">
      <c r="A3" s="11"/>
      <c r="B3" s="11"/>
      <c r="C3" s="12" t="str">
        <f t="shared" ref="C3:AG3" si="1">TEXT(C4,"dddd")</f>
        <v>Rabu</v>
      </c>
      <c r="D3" s="12" t="str">
        <f t="shared" si="1"/>
        <v>Kamis</v>
      </c>
      <c r="E3" s="12" t="str">
        <f t="shared" si="1"/>
        <v>Jumat</v>
      </c>
      <c r="F3" s="12" t="str">
        <f t="shared" si="1"/>
        <v>Sabtu</v>
      </c>
      <c r="G3" s="12" t="str">
        <f t="shared" si="1"/>
        <v>Minggu</v>
      </c>
      <c r="H3" s="12" t="str">
        <f t="shared" si="1"/>
        <v>Senin</v>
      </c>
      <c r="I3" s="12" t="str">
        <f t="shared" si="1"/>
        <v>Selasa</v>
      </c>
      <c r="J3" s="12" t="str">
        <f t="shared" si="1"/>
        <v>Rabu</v>
      </c>
      <c r="K3" s="12" t="str">
        <f t="shared" si="1"/>
        <v>Kamis</v>
      </c>
      <c r="L3" s="12" t="str">
        <f t="shared" si="1"/>
        <v>Jumat</v>
      </c>
      <c r="M3" s="12" t="str">
        <f t="shared" si="1"/>
        <v>Sabtu</v>
      </c>
      <c r="N3" s="12" t="str">
        <f t="shared" si="1"/>
        <v>Minggu</v>
      </c>
      <c r="O3" s="12" t="str">
        <f t="shared" si="1"/>
        <v>Senin</v>
      </c>
      <c r="P3" s="12" t="str">
        <f t="shared" si="1"/>
        <v>Selasa</v>
      </c>
      <c r="Q3" s="12" t="str">
        <f t="shared" si="1"/>
        <v>Rabu</v>
      </c>
      <c r="R3" s="12" t="str">
        <f t="shared" si="1"/>
        <v>Kamis</v>
      </c>
      <c r="S3" s="12" t="str">
        <f t="shared" si="1"/>
        <v>Jumat</v>
      </c>
      <c r="T3" s="12" t="str">
        <f t="shared" si="1"/>
        <v>Sabtu</v>
      </c>
      <c r="U3" s="12" t="str">
        <f t="shared" si="1"/>
        <v>Minggu</v>
      </c>
      <c r="V3" s="12" t="str">
        <f t="shared" si="1"/>
        <v>Senin</v>
      </c>
      <c r="W3" s="12" t="str">
        <f t="shared" si="1"/>
        <v>Selasa</v>
      </c>
      <c r="X3" s="12" t="str">
        <f t="shared" si="1"/>
        <v>Rabu</v>
      </c>
      <c r="Y3" s="12" t="str">
        <f t="shared" si="1"/>
        <v>Kamis</v>
      </c>
      <c r="Z3" s="12" t="str">
        <f t="shared" si="1"/>
        <v>Jumat</v>
      </c>
      <c r="AA3" s="12" t="str">
        <f t="shared" si="1"/>
        <v>Sabtu</v>
      </c>
      <c r="AB3" s="12" t="str">
        <f t="shared" si="1"/>
        <v>Minggu</v>
      </c>
      <c r="AC3" s="12" t="str">
        <f t="shared" si="1"/>
        <v>Senin</v>
      </c>
      <c r="AD3" s="12" t="str">
        <f t="shared" si="1"/>
        <v>Selasa</v>
      </c>
      <c r="AE3" s="12" t="str">
        <f t="shared" si="1"/>
        <v>Rabu</v>
      </c>
      <c r="AF3" s="12" t="str">
        <f t="shared" si="1"/>
        <v>Kamis</v>
      </c>
      <c r="AG3" s="12" t="str">
        <f t="shared" si="1"/>
        <v>Jumat</v>
      </c>
      <c r="AH3" s="13" t="s">
        <v>3</v>
      </c>
      <c r="AI3" s="13" t="s">
        <v>4</v>
      </c>
      <c r="AJ3" s="13" t="s">
        <v>5</v>
      </c>
      <c r="AK3" s="13" t="s">
        <v>6</v>
      </c>
      <c r="AL3" s="14" t="s">
        <v>7</v>
      </c>
      <c r="AM3" s="14" t="s">
        <v>8</v>
      </c>
      <c r="AN3" s="14" t="s">
        <v>9</v>
      </c>
      <c r="AO3" s="13" t="s">
        <v>10</v>
      </c>
      <c r="AP3" s="13" t="s">
        <v>509</v>
      </c>
      <c r="AQ3" s="10"/>
    </row>
    <row r="4">
      <c r="A4" s="15"/>
      <c r="B4" s="15"/>
      <c r="C4" s="16">
        <f>AQ1</f>
        <v>45931</v>
      </c>
      <c r="D4" s="16">
        <f t="shared" ref="D4:AG4" si="2">IF(AND(MONTH(C4+1) = MONTH(C4), C4&lt;&gt;""),C4  + 1, "")</f>
        <v>45932</v>
      </c>
      <c r="E4" s="16">
        <f t="shared" si="2"/>
        <v>45933</v>
      </c>
      <c r="F4" s="16">
        <f t="shared" si="2"/>
        <v>45934</v>
      </c>
      <c r="G4" s="16">
        <f t="shared" si="2"/>
        <v>45935</v>
      </c>
      <c r="H4" s="16">
        <f t="shared" si="2"/>
        <v>45936</v>
      </c>
      <c r="I4" s="16">
        <f t="shared" si="2"/>
        <v>45937</v>
      </c>
      <c r="J4" s="16">
        <f t="shared" si="2"/>
        <v>45938</v>
      </c>
      <c r="K4" s="16">
        <f t="shared" si="2"/>
        <v>45939</v>
      </c>
      <c r="L4" s="16">
        <f t="shared" si="2"/>
        <v>45940</v>
      </c>
      <c r="M4" s="16">
        <f t="shared" si="2"/>
        <v>45941</v>
      </c>
      <c r="N4" s="16">
        <f t="shared" si="2"/>
        <v>45942</v>
      </c>
      <c r="O4" s="16">
        <f t="shared" si="2"/>
        <v>45943</v>
      </c>
      <c r="P4" s="16">
        <f t="shared" si="2"/>
        <v>45944</v>
      </c>
      <c r="Q4" s="16">
        <f t="shared" si="2"/>
        <v>45945</v>
      </c>
      <c r="R4" s="16">
        <f t="shared" si="2"/>
        <v>45946</v>
      </c>
      <c r="S4" s="16">
        <f t="shared" si="2"/>
        <v>45947</v>
      </c>
      <c r="T4" s="16">
        <f t="shared" si="2"/>
        <v>45948</v>
      </c>
      <c r="U4" s="16">
        <f t="shared" si="2"/>
        <v>45949</v>
      </c>
      <c r="V4" s="16">
        <f t="shared" si="2"/>
        <v>45950</v>
      </c>
      <c r="W4" s="16">
        <f t="shared" si="2"/>
        <v>45951</v>
      </c>
      <c r="X4" s="16">
        <f t="shared" si="2"/>
        <v>45952</v>
      </c>
      <c r="Y4" s="16">
        <f t="shared" si="2"/>
        <v>45953</v>
      </c>
      <c r="Z4" s="16">
        <f t="shared" si="2"/>
        <v>45954</v>
      </c>
      <c r="AA4" s="16">
        <f t="shared" si="2"/>
        <v>45955</v>
      </c>
      <c r="AB4" s="16">
        <f t="shared" si="2"/>
        <v>45956</v>
      </c>
      <c r="AC4" s="16">
        <f t="shared" si="2"/>
        <v>45957</v>
      </c>
      <c r="AD4" s="16">
        <f t="shared" si="2"/>
        <v>45958</v>
      </c>
      <c r="AE4" s="16">
        <f t="shared" si="2"/>
        <v>45959</v>
      </c>
      <c r="AF4" s="16">
        <f t="shared" si="2"/>
        <v>45960</v>
      </c>
      <c r="AG4" s="16">
        <f t="shared" si="2"/>
        <v>45961</v>
      </c>
      <c r="AH4" s="17"/>
      <c r="AI4" s="17"/>
      <c r="AJ4" s="18"/>
      <c r="AK4" s="18"/>
      <c r="AL4" s="19"/>
      <c r="AM4" s="19"/>
      <c r="AN4" s="19"/>
      <c r="AO4" s="18"/>
      <c r="AP4" s="18"/>
      <c r="AQ4" s="10"/>
    </row>
    <row r="5">
      <c r="A5" s="20" t="str">
        <f>'MASTER STOCK'!F2</f>
        <v>Fitting Gantung</v>
      </c>
      <c r="B5" s="21">
        <f>'SEP 25'!AJ5:AJ364</f>
        <v>10</v>
      </c>
      <c r="C5" s="22"/>
      <c r="D5" s="22"/>
      <c r="E5" s="10"/>
      <c r="F5" s="10"/>
      <c r="G5" s="22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22">
        <v>2.0</v>
      </c>
      <c r="AH5" s="23">
        <f t="shared" ref="AH5:AH377" si="3">SUM(C5:AG5)</f>
        <v>2</v>
      </c>
      <c r="AI5" s="24">
        <v>0.0</v>
      </c>
      <c r="AJ5" s="23">
        <f t="shared" ref="AJ5:AJ377" si="4">B5-AH5</f>
        <v>8</v>
      </c>
      <c r="AK5" s="23">
        <f t="shared" ref="AK5:AK377" si="5">AJ5-AI5</f>
        <v>8</v>
      </c>
      <c r="AL5" s="25">
        <f>'MASTER STOCK'!I2</f>
        <v>1400</v>
      </c>
      <c r="AM5" s="27">
        <f>'MASTER STOCK'!L2</f>
        <v>1820</v>
      </c>
      <c r="AN5" s="27">
        <f t="shared" ref="AN5:AN377" si="6">AH5*AM5</f>
        <v>3640</v>
      </c>
      <c r="AO5" s="26">
        <f t="shared" ref="AO5:AO408" si="7">AN5-(AH5*AL5)</f>
        <v>840</v>
      </c>
      <c r="AP5" s="114">
        <f t="shared" ref="AP5:AP408" si="8">AH5*AL5</f>
        <v>2800</v>
      </c>
      <c r="AQ5" s="10"/>
    </row>
    <row r="6">
      <c r="A6" s="20" t="str">
        <f>'MASTER STOCK'!F3</f>
        <v>Colokan T </v>
      </c>
      <c r="B6" s="21">
        <f>'AGS 25'!AI6</f>
        <v>12</v>
      </c>
      <c r="C6" s="22"/>
      <c r="D6" s="10"/>
      <c r="E6" s="10"/>
      <c r="F6" s="10"/>
      <c r="G6" s="10"/>
      <c r="H6" s="22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23">
        <f t="shared" si="3"/>
        <v>0</v>
      </c>
      <c r="AI6" s="24">
        <v>0.0</v>
      </c>
      <c r="AJ6" s="23">
        <f t="shared" si="4"/>
        <v>12</v>
      </c>
      <c r="AK6" s="23">
        <f t="shared" si="5"/>
        <v>12</v>
      </c>
      <c r="AL6" s="25">
        <f>'MASTER STOCK'!I3</f>
        <v>3000</v>
      </c>
      <c r="AM6" s="27">
        <f>'MASTER STOCK'!L3</f>
        <v>3900</v>
      </c>
      <c r="AN6" s="27">
        <f t="shared" si="6"/>
        <v>0</v>
      </c>
      <c r="AO6" s="26">
        <f t="shared" si="7"/>
        <v>0</v>
      </c>
      <c r="AP6" s="114">
        <f t="shared" si="8"/>
        <v>0</v>
      </c>
      <c r="AQ6" s="10"/>
    </row>
    <row r="7">
      <c r="A7" s="20" t="str">
        <f>'MASTER STOCK'!F4</f>
        <v>Steker Bulat</v>
      </c>
      <c r="B7" s="21">
        <f>'AGS 25'!AI7</f>
        <v>12</v>
      </c>
      <c r="C7" s="10"/>
      <c r="D7" s="10"/>
      <c r="E7" s="22">
        <v>1.0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23">
        <f t="shared" si="3"/>
        <v>1</v>
      </c>
      <c r="AI7" s="24">
        <v>0.0</v>
      </c>
      <c r="AJ7" s="23">
        <f t="shared" si="4"/>
        <v>11</v>
      </c>
      <c r="AK7" s="23">
        <f t="shared" si="5"/>
        <v>11</v>
      </c>
      <c r="AL7" s="25">
        <f>'MASTER STOCK'!I4</f>
        <v>3000</v>
      </c>
      <c r="AM7" s="27">
        <f>'MASTER STOCK'!L4</f>
        <v>6000</v>
      </c>
      <c r="AN7" s="27">
        <f t="shared" si="6"/>
        <v>6000</v>
      </c>
      <c r="AO7" s="26">
        <f t="shared" si="7"/>
        <v>3000</v>
      </c>
      <c r="AP7" s="114">
        <f t="shared" si="8"/>
        <v>3000</v>
      </c>
      <c r="AQ7" s="10"/>
    </row>
    <row r="8">
      <c r="A8" s="20" t="str">
        <f>'MASTER STOCK'!F5</f>
        <v>Steker Gepeng</v>
      </c>
      <c r="B8" s="21">
        <f>'AGS 25'!AI8</f>
        <v>12</v>
      </c>
      <c r="C8" s="10"/>
      <c r="D8" s="10"/>
      <c r="E8" s="10"/>
      <c r="F8" s="10"/>
      <c r="G8" s="10"/>
      <c r="H8" s="22">
        <v>2.0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23">
        <f t="shared" si="3"/>
        <v>2</v>
      </c>
      <c r="AI8" s="24">
        <v>0.0</v>
      </c>
      <c r="AJ8" s="23">
        <f t="shared" si="4"/>
        <v>10</v>
      </c>
      <c r="AK8" s="23">
        <f t="shared" si="5"/>
        <v>10</v>
      </c>
      <c r="AL8" s="25">
        <f>'MASTER STOCK'!I5</f>
        <v>1100</v>
      </c>
      <c r="AM8" s="27">
        <f>'MASTER STOCK'!L5</f>
        <v>1430</v>
      </c>
      <c r="AN8" s="27">
        <f t="shared" si="6"/>
        <v>2860</v>
      </c>
      <c r="AO8" s="26">
        <f t="shared" si="7"/>
        <v>660</v>
      </c>
      <c r="AP8" s="114">
        <f t="shared" si="8"/>
        <v>2200</v>
      </c>
      <c r="AQ8" s="10"/>
    </row>
    <row r="9">
      <c r="A9" s="20" t="str">
        <f>'MASTER STOCK'!F6</f>
        <v>Saklar Gantung Putih jumbo</v>
      </c>
      <c r="B9" s="21">
        <f>'AGS 25'!AI9</f>
        <v>12</v>
      </c>
      <c r="C9" s="10"/>
      <c r="D9" s="10"/>
      <c r="E9" s="10"/>
      <c r="F9" s="10"/>
      <c r="G9" s="22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22"/>
      <c r="W9" s="22">
        <v>1.0</v>
      </c>
      <c r="X9" s="10"/>
      <c r="Y9" s="10"/>
      <c r="Z9" s="10"/>
      <c r="AA9" s="10"/>
      <c r="AB9" s="10"/>
      <c r="AC9" s="10"/>
      <c r="AD9" s="10"/>
      <c r="AE9" s="10"/>
      <c r="AF9" s="10"/>
      <c r="AG9" s="10"/>
      <c r="AH9" s="23">
        <f t="shared" si="3"/>
        <v>1</v>
      </c>
      <c r="AI9" s="24">
        <v>0.0</v>
      </c>
      <c r="AJ9" s="23">
        <f t="shared" si="4"/>
        <v>11</v>
      </c>
      <c r="AK9" s="23">
        <f t="shared" si="5"/>
        <v>11</v>
      </c>
      <c r="AL9" s="25">
        <f>'MASTER STOCK'!I6</f>
        <v>2250</v>
      </c>
      <c r="AM9" s="27">
        <f>'MASTER STOCK'!L6</f>
        <v>4000</v>
      </c>
      <c r="AN9" s="27">
        <f t="shared" si="6"/>
        <v>4000</v>
      </c>
      <c r="AO9" s="26">
        <f t="shared" si="7"/>
        <v>1750</v>
      </c>
      <c r="AP9" s="114">
        <f t="shared" si="8"/>
        <v>2250</v>
      </c>
      <c r="AQ9" s="10"/>
    </row>
    <row r="10">
      <c r="A10" s="20" t="str">
        <f>'MASTER STOCK'!F7</f>
        <v>Saklar Gantung Hitam</v>
      </c>
      <c r="B10" s="21">
        <f>'AGS 25'!AI10</f>
        <v>12</v>
      </c>
      <c r="C10" s="10"/>
      <c r="D10" s="10"/>
      <c r="E10" s="10"/>
      <c r="F10" s="10"/>
      <c r="G10" s="10"/>
      <c r="H10" s="10"/>
      <c r="I10" s="10"/>
      <c r="J10" s="10"/>
      <c r="K10" s="22">
        <v>1.0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23">
        <f t="shared" si="3"/>
        <v>1</v>
      </c>
      <c r="AI10" s="24">
        <v>0.0</v>
      </c>
      <c r="AJ10" s="23">
        <f t="shared" si="4"/>
        <v>11</v>
      </c>
      <c r="AK10" s="23">
        <f t="shared" si="5"/>
        <v>11</v>
      </c>
      <c r="AL10" s="25">
        <f>'MASTER STOCK'!I7</f>
        <v>1850</v>
      </c>
      <c r="AM10" s="27">
        <f>'MASTER STOCK'!L7</f>
        <v>4000</v>
      </c>
      <c r="AN10" s="27">
        <f t="shared" si="6"/>
        <v>4000</v>
      </c>
      <c r="AO10" s="26">
        <f t="shared" si="7"/>
        <v>2150</v>
      </c>
      <c r="AP10" s="114">
        <f t="shared" si="8"/>
        <v>1850</v>
      </c>
      <c r="AQ10" s="10"/>
    </row>
    <row r="11">
      <c r="A11" s="20" t="str">
        <f>'MASTER STOCK'!F8</f>
        <v>Isolasi Hitam National</v>
      </c>
      <c r="B11" s="21">
        <f>'AGS 25'!AI11</f>
        <v>20</v>
      </c>
      <c r="C11" s="10"/>
      <c r="D11" s="10"/>
      <c r="E11" s="10"/>
      <c r="F11" s="10"/>
      <c r="G11" s="22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22">
        <v>1.0</v>
      </c>
      <c r="AE11" s="10"/>
      <c r="AF11" s="10"/>
      <c r="AG11" s="10"/>
      <c r="AH11" s="23">
        <f t="shared" si="3"/>
        <v>1</v>
      </c>
      <c r="AI11" s="24">
        <v>0.0</v>
      </c>
      <c r="AJ11" s="23">
        <f t="shared" si="4"/>
        <v>19</v>
      </c>
      <c r="AK11" s="23">
        <f t="shared" si="5"/>
        <v>19</v>
      </c>
      <c r="AL11" s="25">
        <f>'MASTER STOCK'!I8</f>
        <v>5150</v>
      </c>
      <c r="AM11" s="27">
        <f>'MASTER STOCK'!L8</f>
        <v>7982.5</v>
      </c>
      <c r="AN11" s="27">
        <f t="shared" si="6"/>
        <v>7982.5</v>
      </c>
      <c r="AO11" s="26">
        <f t="shared" si="7"/>
        <v>2832.5</v>
      </c>
      <c r="AP11" s="114">
        <f t="shared" si="8"/>
        <v>5150</v>
      </c>
      <c r="AQ11" s="10"/>
    </row>
    <row r="12">
      <c r="A12" s="20" t="str">
        <f>'MASTER STOCK'!F9</f>
        <v>Lem PVC Isarplas 40gram</v>
      </c>
      <c r="B12" s="21">
        <f>'AGS 25'!AI12</f>
        <v>23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22"/>
      <c r="T12" s="10"/>
      <c r="U12" s="10"/>
      <c r="V12" s="10"/>
      <c r="W12" s="10"/>
      <c r="X12" s="10"/>
      <c r="Y12" s="22"/>
      <c r="Z12" s="10"/>
      <c r="AA12" s="10"/>
      <c r="AB12" s="10"/>
      <c r="AC12" s="10"/>
      <c r="AD12" s="10"/>
      <c r="AE12" s="10"/>
      <c r="AF12" s="10"/>
      <c r="AG12" s="10"/>
      <c r="AH12" s="23">
        <f t="shared" si="3"/>
        <v>0</v>
      </c>
      <c r="AI12" s="24">
        <v>0.0</v>
      </c>
      <c r="AJ12" s="23">
        <f t="shared" si="4"/>
        <v>23</v>
      </c>
      <c r="AK12" s="23">
        <f t="shared" si="5"/>
        <v>23</v>
      </c>
      <c r="AL12" s="25">
        <f>'MASTER STOCK'!I9</f>
        <v>6900</v>
      </c>
      <c r="AM12" s="27">
        <f>'MASTER STOCK'!L9</f>
        <v>9500</v>
      </c>
      <c r="AN12" s="27">
        <f t="shared" si="6"/>
        <v>0</v>
      </c>
      <c r="AO12" s="26">
        <f t="shared" si="7"/>
        <v>0</v>
      </c>
      <c r="AP12" s="114">
        <f t="shared" si="8"/>
        <v>0</v>
      </c>
      <c r="AQ12" s="10"/>
    </row>
    <row r="13">
      <c r="A13" s="20" t="str">
        <f>'MASTER STOCK'!F10</f>
        <v>Isolasi Kran air onda </v>
      </c>
      <c r="B13" s="21">
        <f>'AGS 25'!AI13</f>
        <v>60</v>
      </c>
      <c r="C13" s="23"/>
      <c r="D13" s="23"/>
      <c r="E13" s="23"/>
      <c r="F13" s="2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23">
        <f t="shared" si="3"/>
        <v>0</v>
      </c>
      <c r="AI13" s="24">
        <v>0.0</v>
      </c>
      <c r="AJ13" s="23">
        <f t="shared" si="4"/>
        <v>60</v>
      </c>
      <c r="AK13" s="23">
        <f t="shared" si="5"/>
        <v>60</v>
      </c>
      <c r="AL13" s="25">
        <f>'MASTER STOCK'!I10</f>
        <v>1150</v>
      </c>
      <c r="AM13" s="27">
        <f>'MASTER STOCK'!L10</f>
        <v>1495</v>
      </c>
      <c r="AN13" s="27">
        <f t="shared" si="6"/>
        <v>0</v>
      </c>
      <c r="AO13" s="26">
        <f t="shared" si="7"/>
        <v>0</v>
      </c>
      <c r="AP13" s="114">
        <f t="shared" si="8"/>
        <v>0</v>
      </c>
      <c r="AQ13" s="10"/>
    </row>
    <row r="14">
      <c r="A14" s="20" t="str">
        <f>'MASTER STOCK'!F11</f>
        <v>Tutup Pipa 3/4"</v>
      </c>
      <c r="B14" s="21">
        <f>'AGS 25'!AI14</f>
        <v>50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23">
        <f t="shared" si="3"/>
        <v>0</v>
      </c>
      <c r="AI14" s="24">
        <v>0.0</v>
      </c>
      <c r="AJ14" s="23">
        <f t="shared" si="4"/>
        <v>50</v>
      </c>
      <c r="AK14" s="23">
        <f t="shared" si="5"/>
        <v>50</v>
      </c>
      <c r="AL14" s="25">
        <f>'MASTER STOCK'!I11</f>
        <v>850</v>
      </c>
      <c r="AM14" s="27">
        <f>'MASTER STOCK'!L11</f>
        <v>1275</v>
      </c>
      <c r="AN14" s="27">
        <f t="shared" si="6"/>
        <v>0</v>
      </c>
      <c r="AO14" s="26">
        <f t="shared" si="7"/>
        <v>0</v>
      </c>
      <c r="AP14" s="114">
        <f t="shared" si="8"/>
        <v>0</v>
      </c>
      <c r="AQ14" s="10"/>
    </row>
    <row r="15">
      <c r="A15" s="20" t="str">
        <f>'MASTER STOCK'!F12</f>
        <v>Fitting lampu gantung outdoor (10 m 5 fitting)</v>
      </c>
      <c r="B15" s="21">
        <f>'AGS 25'!AI15</f>
        <v>1</v>
      </c>
      <c r="C15" s="28"/>
      <c r="D15" s="28"/>
      <c r="E15" s="28"/>
      <c r="F15" s="28"/>
      <c r="G15" s="10"/>
      <c r="H15" s="10"/>
      <c r="I15" s="2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23">
        <f t="shared" si="3"/>
        <v>0</v>
      </c>
      <c r="AI15" s="24">
        <v>0.0</v>
      </c>
      <c r="AJ15" s="23">
        <f t="shared" si="4"/>
        <v>1</v>
      </c>
      <c r="AK15" s="23">
        <f t="shared" si="5"/>
        <v>1</v>
      </c>
      <c r="AL15" s="25">
        <f>'MASTER STOCK'!I12</f>
        <v>38000</v>
      </c>
      <c r="AM15" s="27">
        <f>'MASTER STOCK'!L12</f>
        <v>49400</v>
      </c>
      <c r="AN15" s="27">
        <f t="shared" si="6"/>
        <v>0</v>
      </c>
      <c r="AO15" s="26">
        <f t="shared" si="7"/>
        <v>0</v>
      </c>
      <c r="AP15" s="114">
        <f t="shared" si="8"/>
        <v>0</v>
      </c>
      <c r="AQ15" s="10"/>
    </row>
    <row r="16">
      <c r="A16" s="20" t="str">
        <f>'MASTER STOCK'!F13</f>
        <v>Obeng karet 4" plus</v>
      </c>
      <c r="B16" s="21">
        <f>'AGS 25'!AI16</f>
        <v>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23">
        <f t="shared" si="3"/>
        <v>0</v>
      </c>
      <c r="AI16" s="24">
        <v>0.0</v>
      </c>
      <c r="AJ16" s="23">
        <f t="shared" si="4"/>
        <v>5</v>
      </c>
      <c r="AK16" s="23">
        <f t="shared" si="5"/>
        <v>5</v>
      </c>
      <c r="AL16" s="25">
        <f>'MASTER STOCK'!I13</f>
        <v>5500</v>
      </c>
      <c r="AM16" s="27">
        <f>'MASTER STOCK'!L13</f>
        <v>7150</v>
      </c>
      <c r="AN16" s="27">
        <f t="shared" si="6"/>
        <v>0</v>
      </c>
      <c r="AO16" s="26">
        <f t="shared" si="7"/>
        <v>0</v>
      </c>
      <c r="AP16" s="114">
        <f t="shared" si="8"/>
        <v>0</v>
      </c>
      <c r="AQ16" s="10"/>
    </row>
    <row r="17">
      <c r="A17" s="20" t="str">
        <f>'MASTER STOCK'!F14</f>
        <v>Obeng karet 4" minus</v>
      </c>
      <c r="B17" s="21">
        <f>'AGS 25'!AI17</f>
        <v>4</v>
      </c>
      <c r="C17" s="28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22"/>
      <c r="T17" s="22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23">
        <f t="shared" si="3"/>
        <v>0</v>
      </c>
      <c r="AI17" s="24">
        <v>0.0</v>
      </c>
      <c r="AJ17" s="23">
        <f t="shared" si="4"/>
        <v>4</v>
      </c>
      <c r="AK17" s="23">
        <f t="shared" si="5"/>
        <v>4</v>
      </c>
      <c r="AL17" s="25">
        <f>'MASTER STOCK'!I14</f>
        <v>5500</v>
      </c>
      <c r="AM17" s="27">
        <f>'MASTER STOCK'!L14</f>
        <v>7150</v>
      </c>
      <c r="AN17" s="27">
        <f t="shared" si="6"/>
        <v>0</v>
      </c>
      <c r="AO17" s="26">
        <f t="shared" si="7"/>
        <v>0</v>
      </c>
      <c r="AP17" s="114">
        <f t="shared" si="8"/>
        <v>0</v>
      </c>
      <c r="AQ17" s="10"/>
    </row>
    <row r="18">
      <c r="A18" s="20" t="str">
        <f>'MASTER STOCK'!F15</f>
        <v>Obeng karet 6" plus</v>
      </c>
      <c r="B18" s="21">
        <f>'AGS 25'!AI18</f>
        <v>5</v>
      </c>
      <c r="C18" s="28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23">
        <f t="shared" si="3"/>
        <v>0</v>
      </c>
      <c r="AI18" s="24">
        <v>0.0</v>
      </c>
      <c r="AJ18" s="23">
        <f t="shared" si="4"/>
        <v>5</v>
      </c>
      <c r="AK18" s="23">
        <f t="shared" si="5"/>
        <v>5</v>
      </c>
      <c r="AL18" s="25">
        <f>'MASTER STOCK'!I15</f>
        <v>7000</v>
      </c>
      <c r="AM18" s="27">
        <f>'MASTER STOCK'!L15</f>
        <v>9100</v>
      </c>
      <c r="AN18" s="27">
        <f t="shared" si="6"/>
        <v>0</v>
      </c>
      <c r="AO18" s="26">
        <f t="shared" si="7"/>
        <v>0</v>
      </c>
      <c r="AP18" s="114">
        <f t="shared" si="8"/>
        <v>0</v>
      </c>
      <c r="AQ18" s="10"/>
    </row>
    <row r="19">
      <c r="A19" s="20" t="str">
        <f>'MASTER STOCK'!F16</f>
        <v>Obeng karet 6" Minus</v>
      </c>
      <c r="B19" s="21">
        <f>'AGS 25'!AI19</f>
        <v>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22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23">
        <f t="shared" si="3"/>
        <v>0</v>
      </c>
      <c r="AI19" s="24">
        <v>0.0</v>
      </c>
      <c r="AJ19" s="23">
        <f t="shared" si="4"/>
        <v>5</v>
      </c>
      <c r="AK19" s="23">
        <f t="shared" si="5"/>
        <v>5</v>
      </c>
      <c r="AL19" s="25">
        <f>'MASTER STOCK'!I16</f>
        <v>7000</v>
      </c>
      <c r="AM19" s="27">
        <f>'MASTER STOCK'!L16</f>
        <v>9100</v>
      </c>
      <c r="AN19" s="27">
        <f t="shared" si="6"/>
        <v>0</v>
      </c>
      <c r="AO19" s="26">
        <f t="shared" si="7"/>
        <v>0</v>
      </c>
      <c r="AP19" s="114">
        <f t="shared" si="8"/>
        <v>0</v>
      </c>
      <c r="AQ19" s="10"/>
    </row>
    <row r="20">
      <c r="A20" s="20" t="str">
        <f>'MASTER STOCK'!F17</f>
        <v>Kabel Awg 24 Double 2x18 merah hitam</v>
      </c>
      <c r="B20" s="21">
        <f>'AGS 25'!AI20</f>
        <v>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23">
        <f t="shared" si="3"/>
        <v>0</v>
      </c>
      <c r="AI20" s="24">
        <v>0.0</v>
      </c>
      <c r="AJ20" s="23">
        <f t="shared" si="4"/>
        <v>2</v>
      </c>
      <c r="AK20" s="23">
        <f t="shared" si="5"/>
        <v>2</v>
      </c>
      <c r="AL20" s="25">
        <f>'MASTER STOCK'!I17</f>
        <v>106500</v>
      </c>
      <c r="AM20" s="27">
        <f>'MASTER STOCK'!L17</f>
        <v>181050</v>
      </c>
      <c r="AN20" s="27">
        <f t="shared" si="6"/>
        <v>0</v>
      </c>
      <c r="AO20" s="26">
        <f t="shared" si="7"/>
        <v>0</v>
      </c>
      <c r="AP20" s="114">
        <f t="shared" si="8"/>
        <v>0</v>
      </c>
      <c r="AQ20" s="10"/>
    </row>
    <row r="21">
      <c r="A21" s="20" t="str">
        <f>'MASTER STOCK'!F18</f>
        <v>Kabel bintik serabut tembaga motor mobil 20mx0.5mm/0,85mm merah 0,5mm</v>
      </c>
      <c r="B21" s="21">
        <f>'AGS 25'!AI21</f>
        <v>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22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23">
        <f t="shared" si="3"/>
        <v>0</v>
      </c>
      <c r="AI21" s="24">
        <v>0.0</v>
      </c>
      <c r="AJ21" s="23">
        <f t="shared" si="4"/>
        <v>2</v>
      </c>
      <c r="AK21" s="23">
        <f t="shared" si="5"/>
        <v>2</v>
      </c>
      <c r="AL21" s="25">
        <f>'MASTER STOCK'!I18</f>
        <v>33700</v>
      </c>
      <c r="AM21" s="27">
        <f>'MASTER STOCK'!L18</f>
        <v>57290</v>
      </c>
      <c r="AN21" s="27">
        <f t="shared" si="6"/>
        <v>0</v>
      </c>
      <c r="AO21" s="26">
        <f t="shared" si="7"/>
        <v>0</v>
      </c>
      <c r="AP21" s="114">
        <f t="shared" si="8"/>
        <v>0</v>
      </c>
      <c r="AQ21" s="10"/>
    </row>
    <row r="22">
      <c r="A22" s="20" t="str">
        <f>'MASTER STOCK'!F19</f>
        <v>Kabel bintik serabut tembaga motor mobil 20mx0.5mm/0,85mm hitam 0,5mm</v>
      </c>
      <c r="B22" s="21">
        <f>'AGS 25'!AI22</f>
        <v>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22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23">
        <f t="shared" si="3"/>
        <v>0</v>
      </c>
      <c r="AI22" s="24">
        <v>0.0</v>
      </c>
      <c r="AJ22" s="23">
        <f t="shared" si="4"/>
        <v>2</v>
      </c>
      <c r="AK22" s="23">
        <f t="shared" si="5"/>
        <v>2</v>
      </c>
      <c r="AL22" s="25">
        <f>'MASTER STOCK'!I19</f>
        <v>33700</v>
      </c>
      <c r="AM22" s="27">
        <f>'MASTER STOCK'!L19</f>
        <v>57290</v>
      </c>
      <c r="AN22" s="27">
        <f t="shared" si="6"/>
        <v>0</v>
      </c>
      <c r="AO22" s="26">
        <f t="shared" si="7"/>
        <v>0</v>
      </c>
      <c r="AP22" s="114">
        <f t="shared" si="8"/>
        <v>0</v>
      </c>
      <c r="AQ22" s="10"/>
    </row>
    <row r="23">
      <c r="A23" s="20" t="str">
        <f>'MASTER STOCK'!F20</f>
        <v>Mata Gerinda keramik 4 inch kering</v>
      </c>
      <c r="B23" s="21">
        <f>'AGS 25'!AI23</f>
        <v>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23">
        <f t="shared" si="3"/>
        <v>0</v>
      </c>
      <c r="AI23" s="24">
        <v>0.0</v>
      </c>
      <c r="AJ23" s="23">
        <f t="shared" si="4"/>
        <v>5</v>
      </c>
      <c r="AK23" s="23">
        <f t="shared" si="5"/>
        <v>5</v>
      </c>
      <c r="AL23" s="25">
        <f>'MASTER STOCK'!I20</f>
        <v>12000</v>
      </c>
      <c r="AM23" s="27">
        <f>'MASTER STOCK'!L20</f>
        <v>18000</v>
      </c>
      <c r="AN23" s="27">
        <f t="shared" si="6"/>
        <v>0</v>
      </c>
      <c r="AO23" s="26">
        <f t="shared" si="7"/>
        <v>0</v>
      </c>
      <c r="AP23" s="114">
        <f t="shared" si="8"/>
        <v>0</v>
      </c>
      <c r="AQ23" s="10"/>
    </row>
    <row r="24">
      <c r="A24" s="20" t="str">
        <f>'MASTER STOCK'!F21</f>
        <v>Kabel tunggal serabut 0.8mmx25m biru 25m</v>
      </c>
      <c r="B24" s="21">
        <f>'AGS 25'!AI24</f>
        <v>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23">
        <f t="shared" si="3"/>
        <v>0</v>
      </c>
      <c r="AI24" s="24">
        <v>0.0</v>
      </c>
      <c r="AJ24" s="23">
        <f t="shared" si="4"/>
        <v>1</v>
      </c>
      <c r="AK24" s="23">
        <f t="shared" si="5"/>
        <v>1</v>
      </c>
      <c r="AL24" s="25">
        <f>'MASTER STOCK'!I21</f>
        <v>17500</v>
      </c>
      <c r="AM24" s="27">
        <f>'MASTER STOCK'!L21</f>
        <v>29750</v>
      </c>
      <c r="AN24" s="27">
        <f t="shared" si="6"/>
        <v>0</v>
      </c>
      <c r="AO24" s="26">
        <f t="shared" si="7"/>
        <v>0</v>
      </c>
      <c r="AP24" s="114">
        <f t="shared" si="8"/>
        <v>0</v>
      </c>
      <c r="AQ24" s="10"/>
    </row>
    <row r="25">
      <c r="A25" s="20" t="str">
        <f>'MASTER STOCK'!F22</f>
        <v>Kabel tunggal serabut 0.8mmx25m Hitam 25m</v>
      </c>
      <c r="B25" s="21">
        <f>'AGS 25'!AI25</f>
        <v>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23">
        <f t="shared" si="3"/>
        <v>0</v>
      </c>
      <c r="AI25" s="24">
        <v>0.0</v>
      </c>
      <c r="AJ25" s="23">
        <f t="shared" si="4"/>
        <v>1</v>
      </c>
      <c r="AK25" s="23">
        <f t="shared" si="5"/>
        <v>1</v>
      </c>
      <c r="AL25" s="25">
        <f>'MASTER STOCK'!I22</f>
        <v>17500</v>
      </c>
      <c r="AM25" s="27">
        <f>'MASTER STOCK'!L22</f>
        <v>29750</v>
      </c>
      <c r="AN25" s="27">
        <f t="shared" si="6"/>
        <v>0</v>
      </c>
      <c r="AO25" s="26">
        <f t="shared" si="7"/>
        <v>0</v>
      </c>
      <c r="AP25" s="114">
        <f t="shared" si="8"/>
        <v>0</v>
      </c>
      <c r="AQ25" s="10"/>
    </row>
    <row r="26">
      <c r="A26" s="20" t="str">
        <f>'MASTER STOCK'!F23</f>
        <v>Lampu Hias LED strip USB 10m+adaptor </v>
      </c>
      <c r="B26" s="21">
        <f>'AGS 25'!AI26</f>
        <v>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23">
        <f t="shared" si="3"/>
        <v>0</v>
      </c>
      <c r="AI26" s="24">
        <v>0.0</v>
      </c>
      <c r="AJ26" s="23">
        <f t="shared" si="4"/>
        <v>2</v>
      </c>
      <c r="AK26" s="23">
        <f t="shared" si="5"/>
        <v>2</v>
      </c>
      <c r="AL26" s="25">
        <f>'MASTER STOCK'!I23</f>
        <v>50000</v>
      </c>
      <c r="AM26" s="27">
        <f>'MASTER STOCK'!L23</f>
        <v>65000</v>
      </c>
      <c r="AN26" s="27">
        <f t="shared" si="6"/>
        <v>0</v>
      </c>
      <c r="AO26" s="26">
        <f t="shared" si="7"/>
        <v>0</v>
      </c>
      <c r="AP26" s="114">
        <f t="shared" si="8"/>
        <v>0</v>
      </c>
      <c r="AQ26" s="10"/>
    </row>
    <row r="27">
      <c r="A27" s="20" t="str">
        <f>'MASTER STOCK'!F24</f>
        <v>Lampu LED strip outdoor rainbow 10m +adaptor</v>
      </c>
      <c r="B27" s="21">
        <f>'AGS 25'!AI27</f>
        <v>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23">
        <f t="shared" si="3"/>
        <v>0</v>
      </c>
      <c r="AI27" s="24">
        <v>0.0</v>
      </c>
      <c r="AJ27" s="23">
        <f t="shared" si="4"/>
        <v>5</v>
      </c>
      <c r="AK27" s="23">
        <f t="shared" si="5"/>
        <v>5</v>
      </c>
      <c r="AL27" s="25">
        <f>'MASTER STOCK'!I24</f>
        <v>27000</v>
      </c>
      <c r="AM27" s="27">
        <f>'MASTER STOCK'!L24</f>
        <v>35100</v>
      </c>
      <c r="AN27" s="27">
        <f t="shared" si="6"/>
        <v>0</v>
      </c>
      <c r="AO27" s="26">
        <f t="shared" si="7"/>
        <v>0</v>
      </c>
      <c r="AP27" s="114">
        <f t="shared" si="8"/>
        <v>0</v>
      </c>
      <c r="AQ27" s="10"/>
    </row>
    <row r="28">
      <c r="A28" s="20" t="str">
        <f>'MASTER STOCK'!F25</f>
        <v>Lampu LED strip outdoor merah putih 10m +adaptor</v>
      </c>
      <c r="B28" s="21">
        <f>'AGS 25'!AI28</f>
        <v>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22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23">
        <f t="shared" si="3"/>
        <v>0</v>
      </c>
      <c r="AI28" s="24">
        <v>0.0</v>
      </c>
      <c r="AJ28" s="23">
        <f t="shared" si="4"/>
        <v>4</v>
      </c>
      <c r="AK28" s="23">
        <f t="shared" si="5"/>
        <v>4</v>
      </c>
      <c r="AL28" s="25">
        <f>'MASTER STOCK'!I25</f>
        <v>30000</v>
      </c>
      <c r="AM28" s="27">
        <f>'MASTER STOCK'!L25</f>
        <v>40500</v>
      </c>
      <c r="AN28" s="27">
        <f t="shared" si="6"/>
        <v>0</v>
      </c>
      <c r="AO28" s="26">
        <f t="shared" si="7"/>
        <v>0</v>
      </c>
      <c r="AP28" s="114">
        <f t="shared" si="8"/>
        <v>0</v>
      </c>
      <c r="AQ28" s="10"/>
    </row>
    <row r="29">
      <c r="A29" s="20" t="str">
        <f>'MASTER STOCK'!F26</f>
        <v>Lampu tumbler 10m (rainbow)</v>
      </c>
      <c r="B29" s="21">
        <f>'AGS 25'!AI29</f>
        <v>5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23">
        <f t="shared" si="3"/>
        <v>0</v>
      </c>
      <c r="AI29" s="24">
        <v>0.0</v>
      </c>
      <c r="AJ29" s="23">
        <f t="shared" si="4"/>
        <v>5</v>
      </c>
      <c r="AK29" s="23">
        <f t="shared" si="5"/>
        <v>5</v>
      </c>
      <c r="AL29" s="25">
        <f>'MASTER STOCK'!I26</f>
        <v>11000</v>
      </c>
      <c r="AM29" s="27">
        <f>'MASTER STOCK'!L26</f>
        <v>14300</v>
      </c>
      <c r="AN29" s="27">
        <f t="shared" si="6"/>
        <v>0</v>
      </c>
      <c r="AO29" s="26">
        <f t="shared" si="7"/>
        <v>0</v>
      </c>
      <c r="AP29" s="114">
        <f t="shared" si="8"/>
        <v>0</v>
      </c>
      <c r="AQ29" s="10"/>
    </row>
    <row r="30">
      <c r="A30" s="20" t="str">
        <f>'MASTER STOCK'!F27</f>
        <v>WD Gerinda potong besi</v>
      </c>
      <c r="B30" s="21">
        <f>'AGS 25'!AI30</f>
        <v>58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23">
        <f t="shared" si="3"/>
        <v>0</v>
      </c>
      <c r="AI30" s="24">
        <v>0.0</v>
      </c>
      <c r="AJ30" s="23">
        <f t="shared" si="4"/>
        <v>58</v>
      </c>
      <c r="AK30" s="23">
        <f t="shared" si="5"/>
        <v>58</v>
      </c>
      <c r="AL30" s="25">
        <f>'MASTER STOCK'!I27</f>
        <v>2900</v>
      </c>
      <c r="AM30" s="27">
        <f>'MASTER STOCK'!L27</f>
        <v>5000</v>
      </c>
      <c r="AN30" s="27">
        <f t="shared" si="6"/>
        <v>0</v>
      </c>
      <c r="AO30" s="26">
        <f t="shared" si="7"/>
        <v>0</v>
      </c>
      <c r="AP30" s="114">
        <f t="shared" si="8"/>
        <v>0</v>
      </c>
      <c r="AQ30" s="10"/>
    </row>
    <row r="31">
      <c r="A31" s="20" t="str">
        <f>'MASTER STOCK'!F28</f>
        <v>Meteran karet 7,5m (merk HPP)</v>
      </c>
      <c r="B31" s="21">
        <f>'AGS 25'!AI31</f>
        <v>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23">
        <f t="shared" si="3"/>
        <v>0</v>
      </c>
      <c r="AI31" s="24">
        <v>0.0</v>
      </c>
      <c r="AJ31" s="23">
        <f t="shared" si="4"/>
        <v>3</v>
      </c>
      <c r="AK31" s="23">
        <f t="shared" si="5"/>
        <v>3</v>
      </c>
      <c r="AL31" s="25">
        <f>'MASTER STOCK'!I28</f>
        <v>12800</v>
      </c>
      <c r="AM31" s="27">
        <f>'MASTER STOCK'!L28</f>
        <v>16640</v>
      </c>
      <c r="AN31" s="27">
        <f t="shared" si="6"/>
        <v>0</v>
      </c>
      <c r="AO31" s="26">
        <f t="shared" si="7"/>
        <v>0</v>
      </c>
      <c r="AP31" s="114">
        <f t="shared" si="8"/>
        <v>0</v>
      </c>
      <c r="AQ31" s="10"/>
    </row>
    <row r="32">
      <c r="A32" s="20" t="str">
        <f>'MASTER STOCK'!F29</f>
        <v>Meteran karet 5m (merk VPR)</v>
      </c>
      <c r="B32" s="21">
        <f>'AGS 25'!AI32</f>
        <v>3</v>
      </c>
      <c r="C32" s="2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23">
        <f t="shared" si="3"/>
        <v>0</v>
      </c>
      <c r="AI32" s="24">
        <v>0.0</v>
      </c>
      <c r="AJ32" s="23">
        <f t="shared" si="4"/>
        <v>3</v>
      </c>
      <c r="AK32" s="23">
        <f t="shared" si="5"/>
        <v>3</v>
      </c>
      <c r="AL32" s="25">
        <f>'MASTER STOCK'!I29</f>
        <v>7000</v>
      </c>
      <c r="AM32" s="27">
        <f>'MASTER STOCK'!L29</f>
        <v>9100</v>
      </c>
      <c r="AN32" s="27">
        <f t="shared" si="6"/>
        <v>0</v>
      </c>
      <c r="AO32" s="26">
        <f t="shared" si="7"/>
        <v>0</v>
      </c>
      <c r="AP32" s="114">
        <f t="shared" si="8"/>
        <v>0</v>
      </c>
      <c r="AQ32" s="10"/>
    </row>
    <row r="33">
      <c r="A33" s="20" t="str">
        <f>'MASTER STOCK'!F30</f>
        <v>Kuas cat 2 1/2" (merk MDN)</v>
      </c>
      <c r="B33" s="21">
        <f>'AGS 25'!AI33</f>
        <v>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23">
        <f t="shared" si="3"/>
        <v>0</v>
      </c>
      <c r="AI33" s="24">
        <v>0.0</v>
      </c>
      <c r="AJ33" s="23">
        <f t="shared" si="4"/>
        <v>5</v>
      </c>
      <c r="AK33" s="23">
        <f t="shared" si="5"/>
        <v>5</v>
      </c>
      <c r="AL33" s="25">
        <f>'MASTER STOCK'!I30</f>
        <v>5300</v>
      </c>
      <c r="AM33" s="27">
        <f>'MASTER STOCK'!L30</f>
        <v>6890</v>
      </c>
      <c r="AN33" s="27">
        <f t="shared" si="6"/>
        <v>0</v>
      </c>
      <c r="AO33" s="26">
        <f t="shared" si="7"/>
        <v>0</v>
      </c>
      <c r="AP33" s="114">
        <f t="shared" si="8"/>
        <v>0</v>
      </c>
      <c r="AQ33" s="10"/>
    </row>
    <row r="34">
      <c r="A34" s="20" t="str">
        <f>'MASTER STOCK'!F31</f>
        <v>Kuas cat 2" (merk MDN)</v>
      </c>
      <c r="B34" s="21">
        <f>'AGS 25'!AI34</f>
        <v>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23">
        <f t="shared" si="3"/>
        <v>0</v>
      </c>
      <c r="AI34" s="24">
        <v>0.0</v>
      </c>
      <c r="AJ34" s="23">
        <f t="shared" si="4"/>
        <v>5</v>
      </c>
      <c r="AK34" s="23">
        <f t="shared" si="5"/>
        <v>5</v>
      </c>
      <c r="AL34" s="25">
        <f>'MASTER STOCK'!I31</f>
        <v>4400</v>
      </c>
      <c r="AM34" s="27">
        <f>'MASTER STOCK'!L31</f>
        <v>5720</v>
      </c>
      <c r="AN34" s="27">
        <f t="shared" si="6"/>
        <v>0</v>
      </c>
      <c r="AO34" s="26">
        <f t="shared" si="7"/>
        <v>0</v>
      </c>
      <c r="AP34" s="114">
        <f t="shared" si="8"/>
        <v>0</v>
      </c>
      <c r="AQ34" s="10"/>
    </row>
    <row r="35">
      <c r="A35" s="20" t="str">
        <f>'MASTER STOCK'!F32</f>
        <v>Kuas cat 3" (merk MDN)</v>
      </c>
      <c r="B35" s="21">
        <f>'AGS 25'!AI35</f>
        <v>4</v>
      </c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22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23">
        <f t="shared" si="3"/>
        <v>0</v>
      </c>
      <c r="AI35" s="24">
        <v>0.0</v>
      </c>
      <c r="AJ35" s="23">
        <f t="shared" si="4"/>
        <v>4</v>
      </c>
      <c r="AK35" s="23">
        <f t="shared" si="5"/>
        <v>4</v>
      </c>
      <c r="AL35" s="25">
        <f>'MASTER STOCK'!I32</f>
        <v>6300</v>
      </c>
      <c r="AM35" s="27">
        <f>'MASTER STOCK'!L32</f>
        <v>8190</v>
      </c>
      <c r="AN35" s="27">
        <f t="shared" si="6"/>
        <v>0</v>
      </c>
      <c r="AO35" s="26">
        <f t="shared" si="7"/>
        <v>0</v>
      </c>
      <c r="AP35" s="114">
        <f t="shared" si="8"/>
        <v>0</v>
      </c>
      <c r="AQ35" s="10"/>
    </row>
    <row r="36">
      <c r="A36" s="20" t="str">
        <f>'MASTER STOCK'!F33</f>
        <v>Kuas cat 1 1/2" (merk MDN)</v>
      </c>
      <c r="B36" s="21">
        <f>'AGS 25'!AI36</f>
        <v>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23">
        <f t="shared" si="3"/>
        <v>0</v>
      </c>
      <c r="AI36" s="24">
        <v>0.0</v>
      </c>
      <c r="AJ36" s="23">
        <f t="shared" si="4"/>
        <v>5</v>
      </c>
      <c r="AK36" s="23">
        <f t="shared" si="5"/>
        <v>5</v>
      </c>
      <c r="AL36" s="25">
        <f>'MASTER STOCK'!I33</f>
        <v>3400</v>
      </c>
      <c r="AM36" s="27">
        <f>'MASTER STOCK'!L33</f>
        <v>4420</v>
      </c>
      <c r="AN36" s="27">
        <f t="shared" si="6"/>
        <v>0</v>
      </c>
      <c r="AO36" s="26">
        <f t="shared" si="7"/>
        <v>0</v>
      </c>
      <c r="AP36" s="114">
        <f t="shared" si="8"/>
        <v>0</v>
      </c>
      <c r="AQ36" s="10"/>
    </row>
    <row r="37">
      <c r="A37" s="20" t="str">
        <f>'MASTER STOCK'!F34</f>
        <v>Kuas cat 1" (merk MDN)</v>
      </c>
      <c r="B37" s="21">
        <f>'AGS 25'!AI37</f>
        <v>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22"/>
      <c r="R37" s="10"/>
      <c r="S37" s="10"/>
      <c r="T37" s="22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23">
        <f t="shared" si="3"/>
        <v>0</v>
      </c>
      <c r="AI37" s="24">
        <v>0.0</v>
      </c>
      <c r="AJ37" s="23">
        <f t="shared" si="4"/>
        <v>4</v>
      </c>
      <c r="AK37" s="23">
        <f t="shared" si="5"/>
        <v>4</v>
      </c>
      <c r="AL37" s="25">
        <f>'MASTER STOCK'!I34</f>
        <v>2300</v>
      </c>
      <c r="AM37" s="27">
        <f>'MASTER STOCK'!L34</f>
        <v>2990</v>
      </c>
      <c r="AN37" s="27">
        <f t="shared" si="6"/>
        <v>0</v>
      </c>
      <c r="AO37" s="26">
        <f t="shared" si="7"/>
        <v>0</v>
      </c>
      <c r="AP37" s="114">
        <f t="shared" si="8"/>
        <v>0</v>
      </c>
      <c r="AQ37" s="10"/>
    </row>
    <row r="38">
      <c r="A38" s="20" t="str">
        <f>'MASTER STOCK'!F35</f>
        <v>Kran PVC Tembok 3/4"</v>
      </c>
      <c r="B38" s="21">
        <f>'AGS 25'!AI38</f>
        <v>24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22"/>
      <c r="R38" s="10"/>
      <c r="S38" s="10"/>
      <c r="T38" s="10"/>
      <c r="U38" s="10"/>
      <c r="V38" s="10"/>
      <c r="W38" s="10"/>
      <c r="X38" s="10"/>
      <c r="Y38" s="10"/>
      <c r="Z38" s="10"/>
      <c r="AA38" s="22"/>
      <c r="AB38" s="10"/>
      <c r="AC38" s="10"/>
      <c r="AD38" s="10"/>
      <c r="AE38" s="10"/>
      <c r="AF38" s="10"/>
      <c r="AG38" s="22">
        <v>1.0</v>
      </c>
      <c r="AH38" s="23">
        <f t="shared" si="3"/>
        <v>1</v>
      </c>
      <c r="AI38" s="24">
        <v>0.0</v>
      </c>
      <c r="AJ38" s="23">
        <f t="shared" si="4"/>
        <v>23</v>
      </c>
      <c r="AK38" s="23">
        <f t="shared" si="5"/>
        <v>23</v>
      </c>
      <c r="AL38" s="25">
        <f>'MASTER STOCK'!I35</f>
        <v>4200</v>
      </c>
      <c r="AM38" s="27">
        <f>'MASTER STOCK'!L35</f>
        <v>6000</v>
      </c>
      <c r="AN38" s="27">
        <f t="shared" si="6"/>
        <v>6000</v>
      </c>
      <c r="AO38" s="26">
        <f t="shared" si="7"/>
        <v>1800</v>
      </c>
      <c r="AP38" s="114">
        <f t="shared" si="8"/>
        <v>4200</v>
      </c>
      <c r="AQ38" s="10"/>
    </row>
    <row r="39">
      <c r="A39" s="20" t="str">
        <f>'MASTER STOCK'!F36</f>
        <v>Kran PVC Tembok 1/2"</v>
      </c>
      <c r="B39" s="21">
        <f>'AGS 25'!AI39</f>
        <v>24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23">
        <f t="shared" si="3"/>
        <v>0</v>
      </c>
      <c r="AI39" s="24">
        <v>0.0</v>
      </c>
      <c r="AJ39" s="23">
        <f t="shared" si="4"/>
        <v>24</v>
      </c>
      <c r="AK39" s="23">
        <f t="shared" si="5"/>
        <v>24</v>
      </c>
      <c r="AL39" s="25">
        <f>'MASTER STOCK'!I36</f>
        <v>4200</v>
      </c>
      <c r="AM39" s="27">
        <f>'MASTER STOCK'!L36</f>
        <v>6000</v>
      </c>
      <c r="AN39" s="27">
        <f t="shared" si="6"/>
        <v>0</v>
      </c>
      <c r="AO39" s="26">
        <f t="shared" si="7"/>
        <v>0</v>
      </c>
      <c r="AP39" s="114">
        <f t="shared" si="8"/>
        <v>0</v>
      </c>
      <c r="AQ39" s="10"/>
    </row>
    <row r="40">
      <c r="A40" s="20" t="str">
        <f>'MASTER STOCK'!F37</f>
        <v>Lampu bohlam inlite 5w Putih</v>
      </c>
      <c r="B40" s="21">
        <f>'AGS 25'!AI40</f>
        <v>7</v>
      </c>
      <c r="C40" s="22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23">
        <f t="shared" si="3"/>
        <v>0</v>
      </c>
      <c r="AI40" s="24">
        <v>0.0</v>
      </c>
      <c r="AJ40" s="23">
        <f t="shared" si="4"/>
        <v>7</v>
      </c>
      <c r="AK40" s="23">
        <f t="shared" si="5"/>
        <v>7</v>
      </c>
      <c r="AL40" s="25">
        <f>'MASTER STOCK'!I37</f>
        <v>13000</v>
      </c>
      <c r="AM40" s="27">
        <f>'MASTER STOCK'!L37</f>
        <v>18200</v>
      </c>
      <c r="AN40" s="27">
        <f t="shared" si="6"/>
        <v>0</v>
      </c>
      <c r="AO40" s="26">
        <f t="shared" si="7"/>
        <v>0</v>
      </c>
      <c r="AP40" s="114">
        <f t="shared" si="8"/>
        <v>0</v>
      </c>
      <c r="AQ40" s="10"/>
    </row>
    <row r="41">
      <c r="A41" s="20" t="str">
        <f>'MASTER STOCK'!F38</f>
        <v>Lampu bohlam inlite 7w Putih</v>
      </c>
      <c r="B41" s="21">
        <f>'AGS 25'!AI41</f>
        <v>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23">
        <f t="shared" si="3"/>
        <v>0</v>
      </c>
      <c r="AI41" s="24">
        <v>0.0</v>
      </c>
      <c r="AJ41" s="23">
        <f t="shared" si="4"/>
        <v>2</v>
      </c>
      <c r="AK41" s="23">
        <f t="shared" si="5"/>
        <v>2</v>
      </c>
      <c r="AL41" s="25">
        <f>'MASTER STOCK'!I38</f>
        <v>16200</v>
      </c>
      <c r="AM41" s="27">
        <f>'MASTER STOCK'!L38</f>
        <v>22680</v>
      </c>
      <c r="AN41" s="27">
        <f t="shared" si="6"/>
        <v>0</v>
      </c>
      <c r="AO41" s="26">
        <f t="shared" si="7"/>
        <v>0</v>
      </c>
      <c r="AP41" s="114">
        <f t="shared" si="8"/>
        <v>0</v>
      </c>
      <c r="AQ41" s="10"/>
    </row>
    <row r="42">
      <c r="A42" s="20" t="str">
        <f>'MASTER STOCK'!F39</f>
        <v>Lampu bohlam inlite 15w Putih</v>
      </c>
      <c r="B42" s="21">
        <f>'AGS 25'!AI42</f>
        <v>4</v>
      </c>
      <c r="C42" s="22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23">
        <f t="shared" si="3"/>
        <v>0</v>
      </c>
      <c r="AI42" s="24">
        <v>0.0</v>
      </c>
      <c r="AJ42" s="23">
        <f t="shared" si="4"/>
        <v>4</v>
      </c>
      <c r="AK42" s="23">
        <f t="shared" si="5"/>
        <v>4</v>
      </c>
      <c r="AL42" s="25">
        <f>'MASTER STOCK'!I39</f>
        <v>28000</v>
      </c>
      <c r="AM42" s="27">
        <f>'MASTER STOCK'!L39</f>
        <v>39200</v>
      </c>
      <c r="AN42" s="27">
        <f t="shared" si="6"/>
        <v>0</v>
      </c>
      <c r="AO42" s="26">
        <f t="shared" si="7"/>
        <v>0</v>
      </c>
      <c r="AP42" s="114">
        <f t="shared" si="8"/>
        <v>0</v>
      </c>
      <c r="AQ42" s="10"/>
    </row>
    <row r="43">
      <c r="A43" s="20" t="str">
        <f>'MASTER STOCK'!F40</f>
        <v>Lampu bohlam inlite 12w Putih</v>
      </c>
      <c r="B43" s="21">
        <f>'AGS 25'!AI43</f>
        <v>6</v>
      </c>
      <c r="C43" s="22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22">
        <v>1.0</v>
      </c>
      <c r="AF43" s="10"/>
      <c r="AG43" s="22"/>
      <c r="AH43" s="23">
        <f t="shared" si="3"/>
        <v>1</v>
      </c>
      <c r="AI43" s="24">
        <v>0.0</v>
      </c>
      <c r="AJ43" s="23">
        <f t="shared" si="4"/>
        <v>5</v>
      </c>
      <c r="AK43" s="23">
        <f t="shared" si="5"/>
        <v>5</v>
      </c>
      <c r="AL43" s="25">
        <f>'MASTER STOCK'!I40</f>
        <v>25000</v>
      </c>
      <c r="AM43" s="27">
        <f>'MASTER STOCK'!L40</f>
        <v>30000</v>
      </c>
      <c r="AN43" s="27">
        <f t="shared" si="6"/>
        <v>30000</v>
      </c>
      <c r="AO43" s="26">
        <f t="shared" si="7"/>
        <v>5000</v>
      </c>
      <c r="AP43" s="114">
        <f t="shared" si="8"/>
        <v>25000</v>
      </c>
      <c r="AQ43" s="10"/>
    </row>
    <row r="44">
      <c r="A44" s="20" t="str">
        <f>'MASTER STOCK'!F41</f>
        <v>Lampu tintin platinum LED 9w</v>
      </c>
      <c r="B44" s="21">
        <f>'AGS 25'!AI44</f>
        <v>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22"/>
      <c r="S44" s="10"/>
      <c r="T44" s="22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23">
        <f t="shared" si="3"/>
        <v>0</v>
      </c>
      <c r="AI44" s="24">
        <v>0.0</v>
      </c>
      <c r="AJ44" s="23">
        <f t="shared" si="4"/>
        <v>4</v>
      </c>
      <c r="AK44" s="23">
        <f t="shared" si="5"/>
        <v>4</v>
      </c>
      <c r="AL44" s="25">
        <f>'MASTER STOCK'!I41</f>
        <v>7000</v>
      </c>
      <c r="AM44" s="27">
        <f>'MASTER STOCK'!L41</f>
        <v>9800</v>
      </c>
      <c r="AN44" s="27">
        <f t="shared" si="6"/>
        <v>0</v>
      </c>
      <c r="AO44" s="26">
        <f t="shared" si="7"/>
        <v>0</v>
      </c>
      <c r="AP44" s="114">
        <f t="shared" si="8"/>
        <v>0</v>
      </c>
      <c r="AQ44" s="10"/>
    </row>
    <row r="45">
      <c r="A45" s="20" t="str">
        <f>'MASTER STOCK'!F42</f>
        <v>Lampu tintin platinum LED 5w</v>
      </c>
      <c r="B45" s="21">
        <f>'AGS 25'!AI45</f>
        <v>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22"/>
      <c r="S45" s="10"/>
      <c r="T45" s="22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23">
        <f t="shared" si="3"/>
        <v>0</v>
      </c>
      <c r="AI45" s="24">
        <v>0.0</v>
      </c>
      <c r="AJ45" s="23">
        <f t="shared" si="4"/>
        <v>4</v>
      </c>
      <c r="AK45" s="23">
        <f t="shared" si="5"/>
        <v>4</v>
      </c>
      <c r="AL45" s="25">
        <f>'MASTER STOCK'!I42</f>
        <v>5000</v>
      </c>
      <c r="AM45" s="27">
        <f>'MASTER STOCK'!L42</f>
        <v>7000</v>
      </c>
      <c r="AN45" s="27">
        <f t="shared" si="6"/>
        <v>0</v>
      </c>
      <c r="AO45" s="26">
        <f t="shared" si="7"/>
        <v>0</v>
      </c>
      <c r="AP45" s="114">
        <f t="shared" si="8"/>
        <v>0</v>
      </c>
      <c r="AQ45" s="10"/>
    </row>
    <row r="46">
      <c r="A46" s="20" t="str">
        <f>'MASTER STOCK'!F43</f>
        <v>Lampu tintin platinum LED 21w</v>
      </c>
      <c r="B46" s="21">
        <f>'AGS 25'!AI46</f>
        <v>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23">
        <f t="shared" si="3"/>
        <v>0</v>
      </c>
      <c r="AI46" s="24">
        <v>0.0</v>
      </c>
      <c r="AJ46" s="23">
        <f t="shared" si="4"/>
        <v>3</v>
      </c>
      <c r="AK46" s="23">
        <f t="shared" si="5"/>
        <v>3</v>
      </c>
      <c r="AL46" s="25">
        <f>'MASTER STOCK'!I43</f>
        <v>15500</v>
      </c>
      <c r="AM46" s="27">
        <f>'MASTER STOCK'!L43</f>
        <v>21700</v>
      </c>
      <c r="AN46" s="27">
        <f t="shared" si="6"/>
        <v>0</v>
      </c>
      <c r="AO46" s="26">
        <f t="shared" si="7"/>
        <v>0</v>
      </c>
      <c r="AP46" s="114">
        <f t="shared" si="8"/>
        <v>0</v>
      </c>
      <c r="AQ46" s="10"/>
    </row>
    <row r="47">
      <c r="A47" s="20" t="str">
        <f>'MASTER STOCK'!F44</f>
        <v>Lampu tintin platinum LED 15w</v>
      </c>
      <c r="B47" s="21">
        <f>'AGS 25'!AI47</f>
        <v>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23">
        <f t="shared" si="3"/>
        <v>0</v>
      </c>
      <c r="AI47" s="24">
        <v>0.0</v>
      </c>
      <c r="AJ47" s="23">
        <f t="shared" si="4"/>
        <v>5</v>
      </c>
      <c r="AK47" s="23">
        <f t="shared" si="5"/>
        <v>5</v>
      </c>
      <c r="AL47" s="25">
        <f>'MASTER STOCK'!I44</f>
        <v>8800</v>
      </c>
      <c r="AM47" s="27">
        <f>'MASTER STOCK'!L44</f>
        <v>13000</v>
      </c>
      <c r="AN47" s="27">
        <f t="shared" si="6"/>
        <v>0</v>
      </c>
      <c r="AO47" s="26">
        <f t="shared" si="7"/>
        <v>0</v>
      </c>
      <c r="AP47" s="114">
        <f t="shared" si="8"/>
        <v>0</v>
      </c>
      <c r="AQ47" s="10"/>
    </row>
    <row r="48">
      <c r="A48" s="20" t="str">
        <f>'MASTER STOCK'!F45</f>
        <v>Lampu tintin platinum LED 12w</v>
      </c>
      <c r="B48" s="21">
        <f>'AGS 25'!AI48</f>
        <v>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23">
        <f t="shared" si="3"/>
        <v>0</v>
      </c>
      <c r="AI48" s="24">
        <v>0.0</v>
      </c>
      <c r="AJ48" s="23">
        <f t="shared" si="4"/>
        <v>5</v>
      </c>
      <c r="AK48" s="23">
        <f t="shared" si="5"/>
        <v>5</v>
      </c>
      <c r="AL48" s="25">
        <f>'MASTER STOCK'!I45</f>
        <v>7800</v>
      </c>
      <c r="AM48" s="27">
        <f>'MASTER STOCK'!L45</f>
        <v>10920</v>
      </c>
      <c r="AN48" s="27">
        <f t="shared" si="6"/>
        <v>0</v>
      </c>
      <c r="AO48" s="26">
        <f t="shared" si="7"/>
        <v>0</v>
      </c>
      <c r="AP48" s="114">
        <f t="shared" si="8"/>
        <v>0</v>
      </c>
      <c r="AQ48" s="10"/>
    </row>
    <row r="49">
      <c r="A49" s="20" t="str">
        <f>'MASTER STOCK'!F46</f>
        <v>Lampu tintin platinum LED 7w</v>
      </c>
      <c r="B49" s="21">
        <f>'AGS 25'!AI49</f>
        <v>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23">
        <f t="shared" si="3"/>
        <v>0</v>
      </c>
      <c r="AI49" s="24">
        <v>0.0</v>
      </c>
      <c r="AJ49" s="23">
        <f t="shared" si="4"/>
        <v>5</v>
      </c>
      <c r="AK49" s="23">
        <f t="shared" si="5"/>
        <v>5</v>
      </c>
      <c r="AL49" s="25">
        <f>'MASTER STOCK'!I46</f>
        <v>5800</v>
      </c>
      <c r="AM49" s="27">
        <f>'MASTER STOCK'!L46</f>
        <v>8120</v>
      </c>
      <c r="AN49" s="27">
        <f t="shared" si="6"/>
        <v>0</v>
      </c>
      <c r="AO49" s="26">
        <f t="shared" si="7"/>
        <v>0</v>
      </c>
      <c r="AP49" s="114">
        <f t="shared" si="8"/>
        <v>0</v>
      </c>
      <c r="AQ49" s="10"/>
    </row>
    <row r="50">
      <c r="A50" s="20" t="str">
        <f>'MASTER STOCK'!F47</f>
        <v>Gergaji kayu (POPEYE) 18 inch </v>
      </c>
      <c r="B50" s="21">
        <f>'AGS 25'!AI50</f>
        <v>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23">
        <f t="shared" si="3"/>
        <v>0</v>
      </c>
      <c r="AI50" s="24">
        <v>0.0</v>
      </c>
      <c r="AJ50" s="23">
        <f t="shared" si="4"/>
        <v>4</v>
      </c>
      <c r="AK50" s="23">
        <f t="shared" si="5"/>
        <v>4</v>
      </c>
      <c r="AL50" s="25">
        <f>'MASTER STOCK'!I47</f>
        <v>15000</v>
      </c>
      <c r="AM50" s="27">
        <f>'MASTER STOCK'!L47</f>
        <v>19500</v>
      </c>
      <c r="AN50" s="27">
        <f t="shared" si="6"/>
        <v>0</v>
      </c>
      <c r="AO50" s="26">
        <f t="shared" si="7"/>
        <v>0</v>
      </c>
      <c r="AP50" s="114">
        <f t="shared" si="8"/>
        <v>0</v>
      </c>
      <c r="AQ50" s="10"/>
    </row>
    <row r="51">
      <c r="A51" s="20" t="str">
        <f>'MASTER STOCK'!F48</f>
        <v>Kapi plamir plastik PVC 9" (23cm)</v>
      </c>
      <c r="B51" s="21">
        <f>'AGS 25'!AI51</f>
        <v>10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23">
        <f t="shared" si="3"/>
        <v>0</v>
      </c>
      <c r="AI51" s="24">
        <v>0.0</v>
      </c>
      <c r="AJ51" s="23">
        <f t="shared" si="4"/>
        <v>10</v>
      </c>
      <c r="AK51" s="23">
        <f t="shared" si="5"/>
        <v>10</v>
      </c>
      <c r="AL51" s="25">
        <f>'MASTER STOCK'!I48</f>
        <v>2200</v>
      </c>
      <c r="AM51" s="27">
        <f>'MASTER STOCK'!L48</f>
        <v>3300</v>
      </c>
      <c r="AN51" s="27">
        <f t="shared" si="6"/>
        <v>0</v>
      </c>
      <c r="AO51" s="26">
        <f t="shared" si="7"/>
        <v>0</v>
      </c>
      <c r="AP51" s="114">
        <f t="shared" si="8"/>
        <v>0</v>
      </c>
      <c r="AQ51" s="10"/>
    </row>
    <row r="52">
      <c r="A52" s="20" t="str">
        <f>'MASTER STOCK'!F49</f>
        <v>Kapi plamir plastik PVC 5" (12cm)</v>
      </c>
      <c r="B52" s="21">
        <f>'AGS 25'!AI52</f>
        <v>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23">
        <f t="shared" si="3"/>
        <v>0</v>
      </c>
      <c r="AI52" s="24">
        <v>0.0</v>
      </c>
      <c r="AJ52" s="23">
        <f t="shared" si="4"/>
        <v>5</v>
      </c>
      <c r="AK52" s="23">
        <f t="shared" si="5"/>
        <v>5</v>
      </c>
      <c r="AL52" s="25">
        <f>'MASTER STOCK'!I49</f>
        <v>1100</v>
      </c>
      <c r="AM52" s="27">
        <f>'MASTER STOCK'!L49</f>
        <v>1650</v>
      </c>
      <c r="AN52" s="27">
        <f t="shared" si="6"/>
        <v>0</v>
      </c>
      <c r="AO52" s="26">
        <f t="shared" si="7"/>
        <v>0</v>
      </c>
      <c r="AP52" s="114">
        <f t="shared" si="8"/>
        <v>0</v>
      </c>
      <c r="AQ52" s="10"/>
    </row>
    <row r="53">
      <c r="A53" s="20" t="str">
        <f>'MASTER STOCK'!F50</f>
        <v>Kapi plamir plastik PVC 7" (18cm)</v>
      </c>
      <c r="B53" s="21">
        <f>'AGS 25'!AI53</f>
        <v>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23">
        <f t="shared" si="3"/>
        <v>0</v>
      </c>
      <c r="AI53" s="24">
        <v>0.0</v>
      </c>
      <c r="AJ53" s="23">
        <f t="shared" si="4"/>
        <v>10</v>
      </c>
      <c r="AK53" s="23">
        <f t="shared" si="5"/>
        <v>10</v>
      </c>
      <c r="AL53" s="25">
        <f>'MASTER STOCK'!I50</f>
        <v>1500</v>
      </c>
      <c r="AM53" s="27">
        <f>'MASTER STOCK'!L50</f>
        <v>2250</v>
      </c>
      <c r="AN53" s="27">
        <f t="shared" si="6"/>
        <v>0</v>
      </c>
      <c r="AO53" s="26">
        <f t="shared" si="7"/>
        <v>0</v>
      </c>
      <c r="AP53" s="114">
        <f t="shared" si="8"/>
        <v>0</v>
      </c>
      <c r="AQ53" s="10"/>
    </row>
    <row r="54">
      <c r="A54" s="20" t="str">
        <f>'MASTER STOCK'!F51</f>
        <v>Tang Kombinasi karet 8"</v>
      </c>
      <c r="B54" s="21">
        <f>'AGS 25'!AI54</f>
        <v>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23">
        <f t="shared" si="3"/>
        <v>0</v>
      </c>
      <c r="AI54" s="24">
        <v>0.0</v>
      </c>
      <c r="AJ54" s="23">
        <f t="shared" si="4"/>
        <v>5</v>
      </c>
      <c r="AK54" s="23">
        <f t="shared" si="5"/>
        <v>5</v>
      </c>
      <c r="AL54" s="25">
        <f>'MASTER STOCK'!I51</f>
        <v>12000</v>
      </c>
      <c r="AM54" s="27">
        <f>'MASTER STOCK'!L51</f>
        <v>15600</v>
      </c>
      <c r="AN54" s="27">
        <f t="shared" si="6"/>
        <v>0</v>
      </c>
      <c r="AO54" s="26">
        <f t="shared" si="7"/>
        <v>0</v>
      </c>
      <c r="AP54" s="114">
        <f t="shared" si="8"/>
        <v>0</v>
      </c>
      <c r="AQ54" s="10"/>
    </row>
    <row r="55">
      <c r="A55" s="20" t="str">
        <f>'MASTER STOCK'!F52</f>
        <v>Tang Kombinasi 8"</v>
      </c>
      <c r="B55" s="21">
        <f>'AGS 25'!AI55</f>
        <v>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23">
        <f t="shared" si="3"/>
        <v>0</v>
      </c>
      <c r="AI55" s="24">
        <v>0.0</v>
      </c>
      <c r="AJ55" s="23">
        <f t="shared" si="4"/>
        <v>5</v>
      </c>
      <c r="AK55" s="23">
        <f t="shared" si="5"/>
        <v>5</v>
      </c>
      <c r="AL55" s="25">
        <f>'MASTER STOCK'!I52</f>
        <v>12500</v>
      </c>
      <c r="AM55" s="27">
        <f>'MASTER STOCK'!L52</f>
        <v>16250</v>
      </c>
      <c r="AN55" s="27">
        <f t="shared" si="6"/>
        <v>0</v>
      </c>
      <c r="AO55" s="26">
        <f t="shared" si="7"/>
        <v>0</v>
      </c>
      <c r="AP55" s="114">
        <f t="shared" si="8"/>
        <v>0</v>
      </c>
      <c r="AQ55" s="10"/>
    </row>
    <row r="56">
      <c r="A56" s="20" t="str">
        <f>'MASTER STOCK'!F53</f>
        <v>Stop Kontak Hitam 3L 5M </v>
      </c>
      <c r="B56" s="21">
        <f>'AGS 25'!AI56</f>
        <v>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23">
        <f t="shared" si="3"/>
        <v>0</v>
      </c>
      <c r="AI56" s="24">
        <v>0.0</v>
      </c>
      <c r="AJ56" s="23">
        <f t="shared" si="4"/>
        <v>2</v>
      </c>
      <c r="AK56" s="23">
        <f t="shared" si="5"/>
        <v>2</v>
      </c>
      <c r="AL56" s="25">
        <f>'MASTER STOCK'!I53</f>
        <v>18400</v>
      </c>
      <c r="AM56" s="27">
        <f>'MASTER STOCK'!L53</f>
        <v>27600</v>
      </c>
      <c r="AN56" s="27">
        <f t="shared" si="6"/>
        <v>0</v>
      </c>
      <c r="AO56" s="26">
        <f t="shared" si="7"/>
        <v>0</v>
      </c>
      <c r="AP56" s="114">
        <f t="shared" si="8"/>
        <v>0</v>
      </c>
      <c r="AQ56" s="10"/>
    </row>
    <row r="57">
      <c r="A57" s="20" t="str">
        <f>'MASTER STOCK'!F54</f>
        <v>Stop Kontak Hitam 4L 5M </v>
      </c>
      <c r="B57" s="21">
        <f>'AGS 25'!AI57</f>
        <v>3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23">
        <f t="shared" si="3"/>
        <v>0</v>
      </c>
      <c r="AI57" s="24">
        <v>0.0</v>
      </c>
      <c r="AJ57" s="23">
        <f t="shared" si="4"/>
        <v>3</v>
      </c>
      <c r="AK57" s="23">
        <f t="shared" si="5"/>
        <v>3</v>
      </c>
      <c r="AL57" s="25">
        <f>'MASTER STOCK'!I54</f>
        <v>19600</v>
      </c>
      <c r="AM57" s="27">
        <f>'MASTER STOCK'!L54</f>
        <v>29400</v>
      </c>
      <c r="AN57" s="27">
        <f t="shared" si="6"/>
        <v>0</v>
      </c>
      <c r="AO57" s="26">
        <f t="shared" si="7"/>
        <v>0</v>
      </c>
      <c r="AP57" s="114">
        <f t="shared" si="8"/>
        <v>0</v>
      </c>
      <c r="AQ57" s="10"/>
    </row>
    <row r="58">
      <c r="A58" s="20" t="str">
        <f>'MASTER STOCK'!F55</f>
        <v>Stop Kontak Hitam 5L 5M </v>
      </c>
      <c r="B58" s="21">
        <f>'AGS 25'!AI58</f>
        <v>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23">
        <f t="shared" si="3"/>
        <v>0</v>
      </c>
      <c r="AI58" s="24">
        <v>0.0</v>
      </c>
      <c r="AJ58" s="23">
        <f t="shared" si="4"/>
        <v>6</v>
      </c>
      <c r="AK58" s="23">
        <f t="shared" si="5"/>
        <v>6</v>
      </c>
      <c r="AL58" s="25">
        <f>'MASTER STOCK'!I55</f>
        <v>21000</v>
      </c>
      <c r="AM58" s="27">
        <f>'MASTER STOCK'!L55</f>
        <v>31500</v>
      </c>
      <c r="AN58" s="27">
        <f t="shared" si="6"/>
        <v>0</v>
      </c>
      <c r="AO58" s="26">
        <f t="shared" si="7"/>
        <v>0</v>
      </c>
      <c r="AP58" s="114">
        <f t="shared" si="8"/>
        <v>0</v>
      </c>
      <c r="AQ58" s="10"/>
    </row>
    <row r="59">
      <c r="A59" s="20" t="str">
        <f>'MASTER STOCK'!F56</f>
        <v>Stop Kontak Hitam 2L 5M </v>
      </c>
      <c r="B59" s="21">
        <f>'AGS 25'!AI59</f>
        <v>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23">
        <f t="shared" si="3"/>
        <v>0</v>
      </c>
      <c r="AI59" s="24">
        <v>0.0</v>
      </c>
      <c r="AJ59" s="23">
        <f t="shared" si="4"/>
        <v>2</v>
      </c>
      <c r="AK59" s="23">
        <f t="shared" si="5"/>
        <v>2</v>
      </c>
      <c r="AL59" s="25">
        <f>'MASTER STOCK'!I56</f>
        <v>17000</v>
      </c>
      <c r="AM59" s="27">
        <f>'MASTER STOCK'!L56</f>
        <v>25500</v>
      </c>
      <c r="AN59" s="27">
        <f t="shared" si="6"/>
        <v>0</v>
      </c>
      <c r="AO59" s="26">
        <f t="shared" si="7"/>
        <v>0</v>
      </c>
      <c r="AP59" s="114">
        <f t="shared" si="8"/>
        <v>0</v>
      </c>
      <c r="AQ59" s="10"/>
    </row>
    <row r="60">
      <c r="A60" s="20" t="str">
        <f>'MASTER STOCK'!F57</f>
        <v>Palu Konde besi cor gagang kayu ukuran 1LB</v>
      </c>
      <c r="B60" s="21">
        <f>'AGS 25'!AI60</f>
        <v>3</v>
      </c>
      <c r="C60" s="22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23">
        <f t="shared" si="3"/>
        <v>0</v>
      </c>
      <c r="AI60" s="24">
        <v>0.0</v>
      </c>
      <c r="AJ60" s="23">
        <f t="shared" si="4"/>
        <v>3</v>
      </c>
      <c r="AK60" s="23">
        <f t="shared" si="5"/>
        <v>3</v>
      </c>
      <c r="AL60" s="25">
        <f>'MASTER STOCK'!I57</f>
        <v>17000</v>
      </c>
      <c r="AM60" s="27">
        <f>'MASTER STOCK'!L57</f>
        <v>22100</v>
      </c>
      <c r="AN60" s="27">
        <f t="shared" si="6"/>
        <v>0</v>
      </c>
      <c r="AO60" s="26">
        <f t="shared" si="7"/>
        <v>0</v>
      </c>
      <c r="AP60" s="114">
        <f t="shared" si="8"/>
        <v>0</v>
      </c>
      <c r="AQ60" s="10"/>
    </row>
    <row r="61">
      <c r="A61" s="20" t="str">
        <f>'MASTER STOCK'!F58</f>
        <v>Lem kuning 100gr</v>
      </c>
      <c r="B61" s="21">
        <f>'AGS 25'!AI61</f>
        <v>22</v>
      </c>
      <c r="C61" s="22"/>
      <c r="D61" s="22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22"/>
      <c r="R61" s="10"/>
      <c r="S61" s="10"/>
      <c r="T61" s="10"/>
      <c r="U61" s="10"/>
      <c r="V61" s="10"/>
      <c r="W61" s="10"/>
      <c r="X61" s="10"/>
      <c r="Y61" s="10"/>
      <c r="Z61" s="10"/>
      <c r="AA61" s="22"/>
      <c r="AB61" s="10"/>
      <c r="AC61" s="10"/>
      <c r="AD61" s="10"/>
      <c r="AE61" s="10"/>
      <c r="AF61" s="10"/>
      <c r="AG61" s="10"/>
      <c r="AH61" s="23">
        <f t="shared" si="3"/>
        <v>0</v>
      </c>
      <c r="AI61" s="24">
        <v>0.0</v>
      </c>
      <c r="AJ61" s="23">
        <f t="shared" si="4"/>
        <v>22</v>
      </c>
      <c r="AK61" s="23">
        <f t="shared" si="5"/>
        <v>22</v>
      </c>
      <c r="AL61" s="25">
        <f>'MASTER STOCK'!I58</f>
        <v>10000</v>
      </c>
      <c r="AM61" s="27">
        <f>'MASTER STOCK'!L58</f>
        <v>15000</v>
      </c>
      <c r="AN61" s="27">
        <f t="shared" si="6"/>
        <v>0</v>
      </c>
      <c r="AO61" s="26">
        <f t="shared" si="7"/>
        <v>0</v>
      </c>
      <c r="AP61" s="114">
        <f t="shared" si="8"/>
        <v>0</v>
      </c>
      <c r="AQ61" s="10"/>
    </row>
    <row r="62">
      <c r="A62" s="20" t="str">
        <f>'MASTER STOCK'!F59</f>
        <v>Lem aica aibon kuning 125gr</v>
      </c>
      <c r="B62" s="21">
        <f>'AGS 25'!AI62</f>
        <v>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22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23">
        <f t="shared" si="3"/>
        <v>0</v>
      </c>
      <c r="AI62" s="24">
        <v>0.0</v>
      </c>
      <c r="AJ62" s="23">
        <f t="shared" si="4"/>
        <v>1</v>
      </c>
      <c r="AK62" s="23">
        <f t="shared" si="5"/>
        <v>1</v>
      </c>
      <c r="AL62" s="25">
        <f>'MASTER STOCK'!I59</f>
        <v>18200</v>
      </c>
      <c r="AM62" s="27">
        <f>'MASTER STOCK'!L59</f>
        <v>27300</v>
      </c>
      <c r="AN62" s="27">
        <f t="shared" si="6"/>
        <v>0</v>
      </c>
      <c r="AO62" s="26">
        <f t="shared" si="7"/>
        <v>0</v>
      </c>
      <c r="AP62" s="114">
        <f t="shared" si="8"/>
        <v>0</v>
      </c>
      <c r="AQ62" s="10"/>
    </row>
    <row r="63">
      <c r="A63" s="20" t="str">
        <f>'MASTER STOCK'!F60</f>
        <v>Kuas 4" incco</v>
      </c>
      <c r="B63" s="21">
        <f>'AGS 25'!AI63</f>
        <v>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22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23">
        <f t="shared" si="3"/>
        <v>0</v>
      </c>
      <c r="AI63" s="24">
        <v>0.0</v>
      </c>
      <c r="AJ63" s="23">
        <f t="shared" si="4"/>
        <v>2</v>
      </c>
      <c r="AK63" s="23">
        <f t="shared" si="5"/>
        <v>2</v>
      </c>
      <c r="AL63" s="25">
        <f>'MASTER STOCK'!I60</f>
        <v>15000</v>
      </c>
      <c r="AM63" s="27">
        <f>'MASTER STOCK'!L60</f>
        <v>19500</v>
      </c>
      <c r="AN63" s="27">
        <f t="shared" si="6"/>
        <v>0</v>
      </c>
      <c r="AO63" s="26">
        <f t="shared" si="7"/>
        <v>0</v>
      </c>
      <c r="AP63" s="114">
        <f t="shared" si="8"/>
        <v>0</v>
      </c>
      <c r="AQ63" s="10"/>
    </row>
    <row r="64">
      <c r="A64" s="20" t="str">
        <f>'MASTER STOCK'!F61</f>
        <v>Meteran Autostop Wilmer 5m*19mm</v>
      </c>
      <c r="B64" s="21">
        <f>'AGS 25'!AI64</f>
        <v>2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23">
        <f t="shared" si="3"/>
        <v>0</v>
      </c>
      <c r="AI64" s="24">
        <v>0.0</v>
      </c>
      <c r="AJ64" s="23">
        <f t="shared" si="4"/>
        <v>2</v>
      </c>
      <c r="AK64" s="23">
        <f t="shared" si="5"/>
        <v>2</v>
      </c>
      <c r="AL64" s="25">
        <f>'MASTER STOCK'!I61</f>
        <v>25000</v>
      </c>
      <c r="AM64" s="27">
        <f>'MASTER STOCK'!L61</f>
        <v>30000</v>
      </c>
      <c r="AN64" s="27">
        <f t="shared" si="6"/>
        <v>0</v>
      </c>
      <c r="AO64" s="26">
        <f t="shared" si="7"/>
        <v>0</v>
      </c>
      <c r="AP64" s="114">
        <f t="shared" si="8"/>
        <v>0</v>
      </c>
      <c r="AQ64" s="10"/>
    </row>
    <row r="65">
      <c r="A65" s="20" t="str">
        <f>'MASTER STOCK'!F62</f>
        <v>Precision S/Driver Obeng 6S DIY</v>
      </c>
      <c r="B65" s="21">
        <f>'AGS 25'!AI65</f>
        <v>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23">
        <f t="shared" si="3"/>
        <v>0</v>
      </c>
      <c r="AI65" s="24">
        <v>0.0</v>
      </c>
      <c r="AJ65" s="23">
        <f t="shared" si="4"/>
        <v>2</v>
      </c>
      <c r="AK65" s="23">
        <f t="shared" si="5"/>
        <v>2</v>
      </c>
      <c r="AL65" s="25">
        <f>'MASTER STOCK'!I62</f>
        <v>9500</v>
      </c>
      <c r="AM65" s="27">
        <f>'MASTER STOCK'!L62</f>
        <v>13300</v>
      </c>
      <c r="AN65" s="27">
        <f t="shared" si="6"/>
        <v>0</v>
      </c>
      <c r="AO65" s="26">
        <f t="shared" si="7"/>
        <v>0</v>
      </c>
      <c r="AP65" s="114">
        <f t="shared" si="8"/>
        <v>0</v>
      </c>
      <c r="AQ65" s="10"/>
    </row>
    <row r="66">
      <c r="A66" s="20" t="str">
        <f>'MASTER STOCK'!F63</f>
        <v>Blades / Isi Cutter Besar DIY</v>
      </c>
      <c r="B66" s="21">
        <f>'AGS 25'!AI66</f>
        <v>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23">
        <f t="shared" si="3"/>
        <v>0</v>
      </c>
      <c r="AI66" s="24">
        <v>0.0</v>
      </c>
      <c r="AJ66" s="23">
        <f t="shared" si="4"/>
        <v>20</v>
      </c>
      <c r="AK66" s="23">
        <f t="shared" si="5"/>
        <v>20</v>
      </c>
      <c r="AL66" s="25">
        <f>'MASTER STOCK'!I63</f>
        <v>1150</v>
      </c>
      <c r="AM66" s="27">
        <f>'MASTER STOCK'!L63</f>
        <v>1495</v>
      </c>
      <c r="AN66" s="27">
        <f t="shared" si="6"/>
        <v>0</v>
      </c>
      <c r="AO66" s="26">
        <f t="shared" si="7"/>
        <v>0</v>
      </c>
      <c r="AP66" s="114">
        <f t="shared" si="8"/>
        <v>0</v>
      </c>
      <c r="AQ66" s="10"/>
    </row>
    <row r="67">
      <c r="A67" s="20" t="str">
        <f>'MASTER STOCK'!F64</f>
        <v>Blades / Isi Cutter Kecil DIY</v>
      </c>
      <c r="B67" s="21">
        <f>'AGS 25'!AI67</f>
        <v>20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23">
        <f t="shared" si="3"/>
        <v>0</v>
      </c>
      <c r="AI67" s="24">
        <v>0.0</v>
      </c>
      <c r="AJ67" s="23">
        <f t="shared" si="4"/>
        <v>20</v>
      </c>
      <c r="AK67" s="23">
        <f t="shared" si="5"/>
        <v>20</v>
      </c>
      <c r="AL67" s="25">
        <f>'MASTER STOCK'!I64</f>
        <v>700</v>
      </c>
      <c r="AM67" s="27">
        <f>'MASTER STOCK'!L64</f>
        <v>1050</v>
      </c>
      <c r="AN67" s="27">
        <f t="shared" si="6"/>
        <v>0</v>
      </c>
      <c r="AO67" s="26">
        <f t="shared" si="7"/>
        <v>0</v>
      </c>
      <c r="AP67" s="114">
        <f t="shared" si="8"/>
        <v>0</v>
      </c>
      <c r="AQ67" s="10"/>
    </row>
    <row r="68">
      <c r="A68" s="20" t="str">
        <f>'MASTER STOCK'!F65</f>
        <v>Screwdriver  / Obeng 4" isi 2 DIY</v>
      </c>
      <c r="B68" s="21">
        <f>'AGS 25'!AI68</f>
        <v>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23">
        <f t="shared" si="3"/>
        <v>0</v>
      </c>
      <c r="AI68" s="24">
        <v>0.0</v>
      </c>
      <c r="AJ68" s="23">
        <f t="shared" si="4"/>
        <v>2</v>
      </c>
      <c r="AK68" s="23">
        <f t="shared" si="5"/>
        <v>2</v>
      </c>
      <c r="AL68" s="25">
        <f>'MASTER STOCK'!I65</f>
        <v>12000</v>
      </c>
      <c r="AM68" s="27">
        <f>'MASTER STOCK'!L65</f>
        <v>15600</v>
      </c>
      <c r="AN68" s="27">
        <f t="shared" si="6"/>
        <v>0</v>
      </c>
      <c r="AO68" s="26">
        <f t="shared" si="7"/>
        <v>0</v>
      </c>
      <c r="AP68" s="114">
        <f t="shared" si="8"/>
        <v>0</v>
      </c>
      <c r="AQ68" s="10"/>
    </row>
    <row r="69">
      <c r="A69" s="20" t="str">
        <f>'MASTER STOCK'!F66</f>
        <v>Test Pen DIY</v>
      </c>
      <c r="B69" s="21">
        <f>'AGS 25'!AI69</f>
        <v>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23">
        <f t="shared" si="3"/>
        <v>0</v>
      </c>
      <c r="AI69" s="24">
        <v>0.0</v>
      </c>
      <c r="AJ69" s="23">
        <f t="shared" si="4"/>
        <v>2</v>
      </c>
      <c r="AK69" s="23">
        <f t="shared" si="5"/>
        <v>2</v>
      </c>
      <c r="AL69" s="25">
        <f>'MASTER STOCK'!I66</f>
        <v>12000</v>
      </c>
      <c r="AM69" s="27">
        <f>'MASTER STOCK'!L66</f>
        <v>15600</v>
      </c>
      <c r="AN69" s="27">
        <f t="shared" si="6"/>
        <v>0</v>
      </c>
      <c r="AO69" s="26">
        <f t="shared" si="7"/>
        <v>0</v>
      </c>
      <c r="AP69" s="114">
        <f t="shared" si="8"/>
        <v>0</v>
      </c>
      <c r="AQ69" s="10"/>
    </row>
    <row r="70">
      <c r="A70" s="20" t="str">
        <f>'MASTER STOCK'!F67</f>
        <v>Door Bolt / Selot Pintu DIY 4"</v>
      </c>
      <c r="B70" s="21">
        <f>'AGS 25'!AI70</f>
        <v>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23">
        <f t="shared" si="3"/>
        <v>0</v>
      </c>
      <c r="AI70" s="24">
        <v>0.0</v>
      </c>
      <c r="AJ70" s="23">
        <f t="shared" si="4"/>
        <v>3</v>
      </c>
      <c r="AK70" s="23">
        <f t="shared" si="5"/>
        <v>3</v>
      </c>
      <c r="AL70" s="25">
        <f>'MASTER STOCK'!I67</f>
        <v>7500</v>
      </c>
      <c r="AM70" s="27">
        <f>'MASTER STOCK'!L67</f>
        <v>9750</v>
      </c>
      <c r="AN70" s="27">
        <f t="shared" si="6"/>
        <v>0</v>
      </c>
      <c r="AO70" s="26">
        <f t="shared" si="7"/>
        <v>0</v>
      </c>
      <c r="AP70" s="114">
        <f t="shared" si="8"/>
        <v>0</v>
      </c>
      <c r="AQ70" s="10"/>
    </row>
    <row r="71">
      <c r="A71" s="20" t="str">
        <f>'MASTER STOCK'!F68</f>
        <v>Door Bolt / Selot Pintu DIY 3"</v>
      </c>
      <c r="B71" s="21">
        <f>'AGS 25'!AI71</f>
        <v>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23">
        <f t="shared" si="3"/>
        <v>0</v>
      </c>
      <c r="AI71" s="24">
        <v>0.0</v>
      </c>
      <c r="AJ71" s="23">
        <f t="shared" si="4"/>
        <v>2</v>
      </c>
      <c r="AK71" s="23">
        <f t="shared" si="5"/>
        <v>2</v>
      </c>
      <c r="AL71" s="25">
        <f>'MASTER STOCK'!I68</f>
        <v>10500</v>
      </c>
      <c r="AM71" s="27">
        <f>'MASTER STOCK'!L68</f>
        <v>13650</v>
      </c>
      <c r="AN71" s="27">
        <f t="shared" si="6"/>
        <v>0</v>
      </c>
      <c r="AO71" s="26">
        <f t="shared" si="7"/>
        <v>0</v>
      </c>
      <c r="AP71" s="114">
        <f t="shared" si="8"/>
        <v>0</v>
      </c>
      <c r="AQ71" s="10"/>
    </row>
    <row r="72">
      <c r="A72" s="20" t="str">
        <f>'MASTER STOCK'!F69</f>
        <v>Kuas 2" incco</v>
      </c>
      <c r="B72" s="21">
        <f>'AGS 25'!AI72</f>
        <v>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23">
        <f t="shared" si="3"/>
        <v>0</v>
      </c>
      <c r="AI72" s="24">
        <v>0.0</v>
      </c>
      <c r="AJ72" s="23">
        <f t="shared" si="4"/>
        <v>3</v>
      </c>
      <c r="AK72" s="23">
        <f t="shared" si="5"/>
        <v>3</v>
      </c>
      <c r="AL72" s="25">
        <f>'MASTER STOCK'!I69</f>
        <v>7000</v>
      </c>
      <c r="AM72" s="27">
        <f>'MASTER STOCK'!L69</f>
        <v>9100</v>
      </c>
      <c r="AN72" s="27">
        <f t="shared" si="6"/>
        <v>0</v>
      </c>
      <c r="AO72" s="26">
        <f t="shared" si="7"/>
        <v>0</v>
      </c>
      <c r="AP72" s="114">
        <f t="shared" si="8"/>
        <v>0</v>
      </c>
      <c r="AQ72" s="10"/>
    </row>
    <row r="73">
      <c r="A73" s="20" t="str">
        <f>'MASTER STOCK'!F70</f>
        <v>Kuas 1" incco </v>
      </c>
      <c r="B73" s="21">
        <f>'AGS 25'!AI73</f>
        <v>5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23">
        <f t="shared" si="3"/>
        <v>0</v>
      </c>
      <c r="AI73" s="24">
        <v>0.0</v>
      </c>
      <c r="AJ73" s="23">
        <f t="shared" si="4"/>
        <v>5</v>
      </c>
      <c r="AK73" s="23">
        <f t="shared" si="5"/>
        <v>5</v>
      </c>
      <c r="AL73" s="25">
        <f>'MASTER STOCK'!I70</f>
        <v>3500</v>
      </c>
      <c r="AM73" s="27">
        <f>'MASTER STOCK'!L70</f>
        <v>4550</v>
      </c>
      <c r="AN73" s="27">
        <f t="shared" si="6"/>
        <v>0</v>
      </c>
      <c r="AO73" s="26">
        <f t="shared" si="7"/>
        <v>0</v>
      </c>
      <c r="AP73" s="114">
        <f t="shared" si="8"/>
        <v>0</v>
      </c>
      <c r="AQ73" s="10"/>
    </row>
    <row r="74">
      <c r="A74" s="20" t="str">
        <f>'MASTER STOCK'!F71</f>
        <v>Kapi Plastik Kuning DIY</v>
      </c>
      <c r="B74" s="21">
        <f>'AGS 25'!AI74</f>
        <v>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23">
        <f t="shared" si="3"/>
        <v>0</v>
      </c>
      <c r="AI74" s="24">
        <v>0.0</v>
      </c>
      <c r="AJ74" s="23">
        <f t="shared" si="4"/>
        <v>4</v>
      </c>
      <c r="AK74" s="23">
        <f t="shared" si="5"/>
        <v>4</v>
      </c>
      <c r="AL74" s="25">
        <f>'MASTER STOCK'!I71</f>
        <v>5500</v>
      </c>
      <c r="AM74" s="27">
        <f>'MASTER STOCK'!L71</f>
        <v>7150</v>
      </c>
      <c r="AN74" s="27">
        <f t="shared" si="6"/>
        <v>0</v>
      </c>
      <c r="AO74" s="26">
        <f t="shared" si="7"/>
        <v>0</v>
      </c>
      <c r="AP74" s="114">
        <f t="shared" si="8"/>
        <v>0</v>
      </c>
      <c r="AQ74" s="10"/>
    </row>
    <row r="75">
      <c r="A75" s="20" t="str">
        <f>'MASTER STOCK'!F72</f>
        <v>Kabel Ties 3.6x300mm (85 gram) isi 100 pcs</v>
      </c>
      <c r="B75" s="21">
        <f>'AGS 25'!AI75</f>
        <v>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23">
        <f t="shared" si="3"/>
        <v>0</v>
      </c>
      <c r="AI75" s="24">
        <v>0.0</v>
      </c>
      <c r="AJ75" s="23">
        <f t="shared" si="4"/>
        <v>1</v>
      </c>
      <c r="AK75" s="23">
        <f t="shared" si="5"/>
        <v>1</v>
      </c>
      <c r="AL75" s="25">
        <f>'MASTER STOCK'!I72</f>
        <v>11000</v>
      </c>
      <c r="AM75" s="27">
        <f>'MASTER STOCK'!L72</f>
        <v>16500</v>
      </c>
      <c r="AN75" s="27">
        <f t="shared" si="6"/>
        <v>0</v>
      </c>
      <c r="AO75" s="26">
        <f t="shared" si="7"/>
        <v>0</v>
      </c>
      <c r="AP75" s="114">
        <f t="shared" si="8"/>
        <v>0</v>
      </c>
      <c r="AQ75" s="10"/>
    </row>
    <row r="76">
      <c r="A76" s="20" t="str">
        <f>'MASTER STOCK'!F73</f>
        <v>Kabel Ties 3.6x150mm (60 gram) isi 100 pcs</v>
      </c>
      <c r="B76" s="21">
        <f>'AGS 25'!AI76</f>
        <v>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23">
        <f t="shared" si="3"/>
        <v>0</v>
      </c>
      <c r="AI76" s="24">
        <v>0.0</v>
      </c>
      <c r="AJ76" s="23">
        <f t="shared" si="4"/>
        <v>1</v>
      </c>
      <c r="AK76" s="23">
        <f t="shared" si="5"/>
        <v>1</v>
      </c>
      <c r="AL76" s="25">
        <f>'MASTER STOCK'!I73</f>
        <v>6500</v>
      </c>
      <c r="AM76" s="27">
        <f>'MASTER STOCK'!L73</f>
        <v>9750</v>
      </c>
      <c r="AN76" s="27">
        <f t="shared" si="6"/>
        <v>0</v>
      </c>
      <c r="AO76" s="26">
        <f t="shared" si="7"/>
        <v>0</v>
      </c>
      <c r="AP76" s="114">
        <f t="shared" si="8"/>
        <v>0</v>
      </c>
      <c r="AQ76" s="10"/>
    </row>
    <row r="77">
      <c r="A77" s="20" t="str">
        <f>'MASTER STOCK'!F74</f>
        <v>Kabel Ties 2.5x200mm (50 gram) isi 100 pcs</v>
      </c>
      <c r="B77" s="21">
        <f>'AGS 25'!AI77</f>
        <v>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23">
        <f t="shared" si="3"/>
        <v>0</v>
      </c>
      <c r="AI77" s="24">
        <v>0.0</v>
      </c>
      <c r="AJ77" s="23">
        <f t="shared" si="4"/>
        <v>1</v>
      </c>
      <c r="AK77" s="23">
        <f t="shared" si="5"/>
        <v>1</v>
      </c>
      <c r="AL77" s="25">
        <f>'MASTER STOCK'!I74</f>
        <v>5300</v>
      </c>
      <c r="AM77" s="27">
        <f>'MASTER STOCK'!L74</f>
        <v>7950</v>
      </c>
      <c r="AN77" s="27">
        <f t="shared" si="6"/>
        <v>0</v>
      </c>
      <c r="AO77" s="26">
        <f t="shared" si="7"/>
        <v>0</v>
      </c>
      <c r="AP77" s="114">
        <f t="shared" si="8"/>
        <v>0</v>
      </c>
      <c r="AQ77" s="10"/>
    </row>
    <row r="78">
      <c r="A78" s="20" t="str">
        <f>'MASTER STOCK'!F75</f>
        <v>Kabel Ties 2.5x100mm (50 gram) isi 100 pcs</v>
      </c>
      <c r="B78" s="21">
        <f>'AGS 25'!AI78</f>
        <v>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23">
        <f t="shared" si="3"/>
        <v>0</v>
      </c>
      <c r="AI78" s="24">
        <v>0.0</v>
      </c>
      <c r="AJ78" s="23">
        <f t="shared" si="4"/>
        <v>3</v>
      </c>
      <c r="AK78" s="23">
        <f t="shared" si="5"/>
        <v>3</v>
      </c>
      <c r="AL78" s="25">
        <f>'MASTER STOCK'!I75</f>
        <v>2850</v>
      </c>
      <c r="AM78" s="27">
        <f>'MASTER STOCK'!L75</f>
        <v>4275</v>
      </c>
      <c r="AN78" s="27">
        <f t="shared" si="6"/>
        <v>0</v>
      </c>
      <c r="AO78" s="26">
        <f t="shared" si="7"/>
        <v>0</v>
      </c>
      <c r="AP78" s="114">
        <f t="shared" si="8"/>
        <v>0</v>
      </c>
      <c r="AQ78" s="10"/>
    </row>
    <row r="79">
      <c r="A79" s="20" t="str">
        <f>'MASTER STOCK'!F76</f>
        <v>Kabel Ties 3.6x300mm (85 gram) isi 100 pcs</v>
      </c>
      <c r="B79" s="21">
        <f>'AGS 25'!AI79</f>
        <v>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23">
        <f t="shared" si="3"/>
        <v>0</v>
      </c>
      <c r="AI79" s="24">
        <v>0.0</v>
      </c>
      <c r="AJ79" s="23">
        <f t="shared" si="4"/>
        <v>1</v>
      </c>
      <c r="AK79" s="23">
        <f t="shared" si="5"/>
        <v>1</v>
      </c>
      <c r="AL79" s="25">
        <f>'MASTER STOCK'!I76</f>
        <v>11000</v>
      </c>
      <c r="AM79" s="27">
        <f>'MASTER STOCK'!L76</f>
        <v>16500</v>
      </c>
      <c r="AN79" s="27">
        <f t="shared" si="6"/>
        <v>0</v>
      </c>
      <c r="AO79" s="26">
        <f t="shared" si="7"/>
        <v>0</v>
      </c>
      <c r="AP79" s="114">
        <f t="shared" si="8"/>
        <v>0</v>
      </c>
      <c r="AQ79" s="10"/>
    </row>
    <row r="80">
      <c r="A80" s="20" t="str">
        <f>'MASTER STOCK'!F77</f>
        <v>Kabel Ties 2.5x150mm (50 gram) isi 100 pcs</v>
      </c>
      <c r="B80" s="21">
        <f>'AGS 25'!AI80</f>
        <v>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23">
        <f t="shared" si="3"/>
        <v>0</v>
      </c>
      <c r="AI80" s="24">
        <v>0.0</v>
      </c>
      <c r="AJ80" s="23">
        <f t="shared" si="4"/>
        <v>1</v>
      </c>
      <c r="AK80" s="23">
        <f t="shared" si="5"/>
        <v>1</v>
      </c>
      <c r="AL80" s="25">
        <f>'MASTER STOCK'!I77</f>
        <v>4100</v>
      </c>
      <c r="AM80" s="27">
        <f>'MASTER STOCK'!L77</f>
        <v>6150</v>
      </c>
      <c r="AN80" s="27">
        <f t="shared" si="6"/>
        <v>0</v>
      </c>
      <c r="AO80" s="26">
        <f t="shared" si="7"/>
        <v>0</v>
      </c>
      <c r="AP80" s="114">
        <f t="shared" si="8"/>
        <v>0</v>
      </c>
      <c r="AQ80" s="10"/>
    </row>
    <row r="81">
      <c r="A81" s="20" t="str">
        <f>'MASTER STOCK'!F78</f>
        <v>Kabel Ties 3.6x250mm (80 gram) isi 100 pcs</v>
      </c>
      <c r="B81" s="21">
        <f>'AGS 25'!AI81</f>
        <v>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23">
        <f t="shared" si="3"/>
        <v>0</v>
      </c>
      <c r="AI81" s="24">
        <v>0.0</v>
      </c>
      <c r="AJ81" s="23">
        <f t="shared" si="4"/>
        <v>1</v>
      </c>
      <c r="AK81" s="23">
        <f t="shared" si="5"/>
        <v>1</v>
      </c>
      <c r="AL81" s="25">
        <f>'MASTER STOCK'!I78</f>
        <v>10300</v>
      </c>
      <c r="AM81" s="27">
        <f>'MASTER STOCK'!L78</f>
        <v>15450</v>
      </c>
      <c r="AN81" s="27">
        <f t="shared" si="6"/>
        <v>0</v>
      </c>
      <c r="AO81" s="26">
        <f t="shared" si="7"/>
        <v>0</v>
      </c>
      <c r="AP81" s="114">
        <f t="shared" si="8"/>
        <v>0</v>
      </c>
      <c r="AQ81" s="10"/>
    </row>
    <row r="82">
      <c r="A82" s="20" t="str">
        <f>'MASTER STOCK'!F79</f>
        <v>Kabel Ties 4.8x200mm (85 gram) isi 100 pcs</v>
      </c>
      <c r="B82" s="21">
        <f>'AGS 25'!AI82</f>
        <v>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23">
        <f t="shared" si="3"/>
        <v>0</v>
      </c>
      <c r="AI82" s="24">
        <v>0.0</v>
      </c>
      <c r="AJ82" s="23">
        <f t="shared" si="4"/>
        <v>1</v>
      </c>
      <c r="AK82" s="23">
        <f t="shared" si="5"/>
        <v>1</v>
      </c>
      <c r="AL82" s="25">
        <f>'MASTER STOCK'!I79</f>
        <v>11000</v>
      </c>
      <c r="AM82" s="27">
        <f>'MASTER STOCK'!L79</f>
        <v>16500</v>
      </c>
      <c r="AN82" s="27">
        <f t="shared" si="6"/>
        <v>0</v>
      </c>
      <c r="AO82" s="26">
        <f t="shared" si="7"/>
        <v>0</v>
      </c>
      <c r="AP82" s="114">
        <f t="shared" si="8"/>
        <v>0</v>
      </c>
      <c r="AQ82" s="10"/>
    </row>
    <row r="83">
      <c r="A83" s="20" t="str">
        <f>'MASTER STOCK'!F80</f>
        <v>Kabel Ties 2.5x100mm (50 gram) isi 100 pcs</v>
      </c>
      <c r="B83" s="21">
        <f>'AGS 25'!AI83</f>
        <v>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23">
        <f t="shared" si="3"/>
        <v>0</v>
      </c>
      <c r="AI83" s="24">
        <v>0.0</v>
      </c>
      <c r="AJ83" s="23">
        <f t="shared" si="4"/>
        <v>1</v>
      </c>
      <c r="AK83" s="23">
        <f t="shared" si="5"/>
        <v>1</v>
      </c>
      <c r="AL83" s="25">
        <f>'MASTER STOCK'!I80</f>
        <v>2850</v>
      </c>
      <c r="AM83" s="27">
        <f>'MASTER STOCK'!L80</f>
        <v>4275</v>
      </c>
      <c r="AN83" s="27">
        <f t="shared" si="6"/>
        <v>0</v>
      </c>
      <c r="AO83" s="26">
        <f t="shared" si="7"/>
        <v>0</v>
      </c>
      <c r="AP83" s="114">
        <f t="shared" si="8"/>
        <v>0</v>
      </c>
      <c r="AQ83" s="10"/>
    </row>
    <row r="84">
      <c r="A84" s="20" t="str">
        <f>'MASTER STOCK'!F81</f>
        <v>Kabel Ties 3.6x150mm (70 gram) isi 100 pcs</v>
      </c>
      <c r="B84" s="21">
        <f>'AGS 25'!AI84</f>
        <v>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23">
        <f t="shared" si="3"/>
        <v>0</v>
      </c>
      <c r="AI84" s="24">
        <v>0.0</v>
      </c>
      <c r="AJ84" s="23">
        <f t="shared" si="4"/>
        <v>1</v>
      </c>
      <c r="AK84" s="23">
        <f t="shared" si="5"/>
        <v>1</v>
      </c>
      <c r="AL84" s="25">
        <f>'MASTER STOCK'!I81</f>
        <v>6500</v>
      </c>
      <c r="AM84" s="27">
        <f>'MASTER STOCK'!L81</f>
        <v>9750</v>
      </c>
      <c r="AN84" s="27">
        <f t="shared" si="6"/>
        <v>0</v>
      </c>
      <c r="AO84" s="26">
        <f t="shared" si="7"/>
        <v>0</v>
      </c>
      <c r="AP84" s="114">
        <f t="shared" si="8"/>
        <v>0</v>
      </c>
      <c r="AQ84" s="10"/>
    </row>
    <row r="85">
      <c r="A85" s="20" t="str">
        <f>'MASTER STOCK'!F82</f>
        <v>Kabel Ties 4.8x200mm (85 gram) isi 100 pcs</v>
      </c>
      <c r="B85" s="21">
        <f>'AGS 25'!AI85</f>
        <v>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23">
        <f t="shared" si="3"/>
        <v>0</v>
      </c>
      <c r="AI85" s="24">
        <v>0.0</v>
      </c>
      <c r="AJ85" s="23">
        <f t="shared" si="4"/>
        <v>1</v>
      </c>
      <c r="AK85" s="23">
        <f t="shared" si="5"/>
        <v>1</v>
      </c>
      <c r="AL85" s="25">
        <f>'MASTER STOCK'!I82</f>
        <v>11000</v>
      </c>
      <c r="AM85" s="27">
        <f>'MASTER STOCK'!L82</f>
        <v>16500</v>
      </c>
      <c r="AN85" s="27">
        <f t="shared" si="6"/>
        <v>0</v>
      </c>
      <c r="AO85" s="26">
        <f t="shared" si="7"/>
        <v>0</v>
      </c>
      <c r="AP85" s="114">
        <f t="shared" si="8"/>
        <v>0</v>
      </c>
      <c r="AQ85" s="10"/>
    </row>
    <row r="86">
      <c r="A86" s="20" t="str">
        <f>'MASTER STOCK'!F83</f>
        <v>Kabel Ties 3.6x250mm (70 gram) isi 100 pcs</v>
      </c>
      <c r="B86" s="21">
        <f>'AGS 25'!AI86</f>
        <v>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23">
        <f t="shared" si="3"/>
        <v>0</v>
      </c>
      <c r="AI86" s="24">
        <v>0.0</v>
      </c>
      <c r="AJ86" s="23">
        <f t="shared" si="4"/>
        <v>1</v>
      </c>
      <c r="AK86" s="23">
        <f t="shared" si="5"/>
        <v>1</v>
      </c>
      <c r="AL86" s="25">
        <f>'MASTER STOCK'!I83</f>
        <v>10300</v>
      </c>
      <c r="AM86" s="27">
        <f>'MASTER STOCK'!L83</f>
        <v>15450</v>
      </c>
      <c r="AN86" s="27">
        <f t="shared" si="6"/>
        <v>0</v>
      </c>
      <c r="AO86" s="26">
        <f t="shared" si="7"/>
        <v>0</v>
      </c>
      <c r="AP86" s="114">
        <f t="shared" si="8"/>
        <v>0</v>
      </c>
      <c r="AQ86" s="10"/>
    </row>
    <row r="87">
      <c r="A87" s="20" t="str">
        <f>'MASTER STOCK'!F84</f>
        <v>Kabel Transparan 2x30 90M full serabut per roll 2line</v>
      </c>
      <c r="B87" s="21">
        <f>'AGS 25'!AI87</f>
        <v>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23">
        <f t="shared" si="3"/>
        <v>0</v>
      </c>
      <c r="AI87" s="24">
        <v>0.0</v>
      </c>
      <c r="AJ87" s="23">
        <f t="shared" si="4"/>
        <v>1</v>
      </c>
      <c r="AK87" s="23">
        <f t="shared" si="5"/>
        <v>1</v>
      </c>
      <c r="AL87" s="25">
        <f>'MASTER STOCK'!I84</f>
        <v>80000</v>
      </c>
      <c r="AM87" s="27">
        <f>'MASTER STOCK'!L84</f>
        <v>136000</v>
      </c>
      <c r="AN87" s="27">
        <f t="shared" si="6"/>
        <v>0</v>
      </c>
      <c r="AO87" s="26">
        <f t="shared" si="7"/>
        <v>0</v>
      </c>
      <c r="AP87" s="114">
        <f t="shared" si="8"/>
        <v>0</v>
      </c>
      <c r="AQ87" s="10"/>
    </row>
    <row r="88">
      <c r="A88" s="20" t="str">
        <f>'MASTER STOCK'!F85</f>
        <v>Kabel Transparan 2x80 90M full serabut per roll 2line</v>
      </c>
      <c r="B88" s="21">
        <f>'AGS 25'!AI88</f>
        <v>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23">
        <f t="shared" si="3"/>
        <v>0</v>
      </c>
      <c r="AI88" s="24">
        <v>0.0</v>
      </c>
      <c r="AJ88" s="23">
        <f t="shared" si="4"/>
        <v>1</v>
      </c>
      <c r="AK88" s="23">
        <f t="shared" si="5"/>
        <v>1</v>
      </c>
      <c r="AL88" s="25">
        <f>'MASTER STOCK'!I85</f>
        <v>165000</v>
      </c>
      <c r="AM88" s="27">
        <f>'MASTER STOCK'!L85</f>
        <v>280500</v>
      </c>
      <c r="AN88" s="27">
        <f t="shared" si="6"/>
        <v>0</v>
      </c>
      <c r="AO88" s="26">
        <f t="shared" si="7"/>
        <v>0</v>
      </c>
      <c r="AP88" s="114">
        <f t="shared" si="8"/>
        <v>0</v>
      </c>
      <c r="AQ88" s="10"/>
    </row>
    <row r="89">
      <c r="A89" s="20" t="str">
        <f>'MASTER STOCK'!F86</f>
        <v>Kabel Transparan 2x50 90M full serabut per roll 2line</v>
      </c>
      <c r="B89" s="21">
        <f>'AGS 25'!AI89</f>
        <v>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23">
        <f t="shared" si="3"/>
        <v>0</v>
      </c>
      <c r="AI89" s="24">
        <v>0.0</v>
      </c>
      <c r="AJ89" s="23">
        <f t="shared" si="4"/>
        <v>1</v>
      </c>
      <c r="AK89" s="23">
        <f t="shared" si="5"/>
        <v>1</v>
      </c>
      <c r="AL89" s="25">
        <f>'MASTER STOCK'!I86</f>
        <v>140000</v>
      </c>
      <c r="AM89" s="27">
        <f>'MASTER STOCK'!L86</f>
        <v>238000</v>
      </c>
      <c r="AN89" s="27">
        <f t="shared" si="6"/>
        <v>0</v>
      </c>
      <c r="AO89" s="26">
        <f t="shared" si="7"/>
        <v>0</v>
      </c>
      <c r="AP89" s="114">
        <f t="shared" si="8"/>
        <v>0</v>
      </c>
      <c r="AQ89" s="10"/>
    </row>
    <row r="90">
      <c r="A90" s="20" t="str">
        <f>'MASTER STOCK'!F87</f>
        <v>Solder listrik gagang kayu 60watt</v>
      </c>
      <c r="B90" s="21">
        <f>'AGS 25'!AI90</f>
        <v>5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22">
        <v>1.0</v>
      </c>
      <c r="AH90" s="23">
        <f t="shared" si="3"/>
        <v>1</v>
      </c>
      <c r="AI90" s="24">
        <v>0.0</v>
      </c>
      <c r="AJ90" s="23">
        <f t="shared" si="4"/>
        <v>4</v>
      </c>
      <c r="AK90" s="23">
        <f t="shared" si="5"/>
        <v>4</v>
      </c>
      <c r="AL90" s="25">
        <f>'MASTER STOCK'!I87</f>
        <v>13000</v>
      </c>
      <c r="AM90" s="27">
        <f>'MASTER STOCK'!L87</f>
        <v>16900</v>
      </c>
      <c r="AN90" s="27">
        <f t="shared" si="6"/>
        <v>16900</v>
      </c>
      <c r="AO90" s="26">
        <f t="shared" si="7"/>
        <v>3900</v>
      </c>
      <c r="AP90" s="114">
        <f t="shared" si="8"/>
        <v>13000</v>
      </c>
      <c r="AQ90" s="10"/>
    </row>
    <row r="91">
      <c r="A91" s="20" t="str">
        <f>'MASTER STOCK'!F88</f>
        <v>Timah gulung solder tenol elektrik</v>
      </c>
      <c r="B91" s="21">
        <f>'AGS 25'!AI91</f>
        <v>3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22">
        <v>1.0</v>
      </c>
      <c r="AH91" s="23">
        <f t="shared" si="3"/>
        <v>1</v>
      </c>
      <c r="AI91" s="24">
        <v>0.0</v>
      </c>
      <c r="AJ91" s="23">
        <f t="shared" si="4"/>
        <v>2</v>
      </c>
      <c r="AK91" s="23">
        <f t="shared" si="5"/>
        <v>2</v>
      </c>
      <c r="AL91" s="25">
        <f>'MASTER STOCK'!I88</f>
        <v>10500</v>
      </c>
      <c r="AM91" s="27">
        <f>'MASTER STOCK'!L88</f>
        <v>13650</v>
      </c>
      <c r="AN91" s="27">
        <f t="shared" si="6"/>
        <v>13650</v>
      </c>
      <c r="AO91" s="26">
        <f t="shared" si="7"/>
        <v>3150</v>
      </c>
      <c r="AP91" s="114">
        <f t="shared" si="8"/>
        <v>10500</v>
      </c>
      <c r="AQ91" s="10"/>
    </row>
    <row r="92">
      <c r="A92" s="20" t="str">
        <f>'MASTER STOCK'!F89</f>
        <v>Solasi lakban coklat</v>
      </c>
      <c r="B92" s="21">
        <f>'AGS 25'!AI92</f>
        <v>6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23">
        <f t="shared" si="3"/>
        <v>0</v>
      </c>
      <c r="AI92" s="24">
        <v>0.0</v>
      </c>
      <c r="AJ92" s="23">
        <f t="shared" si="4"/>
        <v>6</v>
      </c>
      <c r="AK92" s="23">
        <f t="shared" si="5"/>
        <v>6</v>
      </c>
      <c r="AL92" s="25">
        <f>'MASTER STOCK'!I89</f>
        <v>3600</v>
      </c>
      <c r="AM92" s="27">
        <f>'MASTER STOCK'!L89</f>
        <v>5400</v>
      </c>
      <c r="AN92" s="27">
        <f t="shared" si="6"/>
        <v>0</v>
      </c>
      <c r="AO92" s="26">
        <f t="shared" si="7"/>
        <v>0</v>
      </c>
      <c r="AP92" s="114">
        <f t="shared" si="8"/>
        <v>0</v>
      </c>
      <c r="AQ92" s="10"/>
    </row>
    <row r="93">
      <c r="A93" s="20" t="str">
        <f>'MASTER STOCK'!F90</f>
        <v>Spidol Kecil snowman Hitam</v>
      </c>
      <c r="B93" s="21">
        <f>'AGS 25'!AI93</f>
        <v>12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23">
        <f t="shared" si="3"/>
        <v>0</v>
      </c>
      <c r="AI93" s="24">
        <v>0.0</v>
      </c>
      <c r="AJ93" s="23">
        <f t="shared" si="4"/>
        <v>12</v>
      </c>
      <c r="AK93" s="23">
        <f t="shared" si="5"/>
        <v>12</v>
      </c>
      <c r="AL93" s="25">
        <f>'MASTER STOCK'!I90</f>
        <v>1700</v>
      </c>
      <c r="AM93" s="27">
        <f>'MASTER STOCK'!L90</f>
        <v>2550</v>
      </c>
      <c r="AN93" s="27">
        <f t="shared" si="6"/>
        <v>0</v>
      </c>
      <c r="AO93" s="26">
        <f t="shared" si="7"/>
        <v>0</v>
      </c>
      <c r="AP93" s="114">
        <f t="shared" si="8"/>
        <v>0</v>
      </c>
      <c r="AQ93" s="10"/>
    </row>
    <row r="94">
      <c r="A94" s="20" t="str">
        <f>'MASTER STOCK'!F91</f>
        <v>Spidol Kecil snowman Merah</v>
      </c>
      <c r="B94" s="21">
        <f>'AGS 25'!AI94</f>
        <v>12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23">
        <f t="shared" si="3"/>
        <v>0</v>
      </c>
      <c r="AI94" s="24">
        <v>0.0</v>
      </c>
      <c r="AJ94" s="23">
        <f t="shared" si="4"/>
        <v>12</v>
      </c>
      <c r="AK94" s="23">
        <f t="shared" si="5"/>
        <v>12</v>
      </c>
      <c r="AL94" s="25">
        <f>'MASTER STOCK'!I91</f>
        <v>1700</v>
      </c>
      <c r="AM94" s="27">
        <f>'MASTER STOCK'!L91</f>
        <v>2550</v>
      </c>
      <c r="AN94" s="27">
        <f t="shared" si="6"/>
        <v>0</v>
      </c>
      <c r="AO94" s="26">
        <f t="shared" si="7"/>
        <v>0</v>
      </c>
      <c r="AP94" s="114">
        <f t="shared" si="8"/>
        <v>0</v>
      </c>
      <c r="AQ94" s="10"/>
    </row>
    <row r="95">
      <c r="A95" s="20" t="str">
        <f>'MASTER STOCK'!F92</f>
        <v>isolasi Lakban Packing bening</v>
      </c>
      <c r="B95" s="21">
        <f>'AGS 25'!AI95</f>
        <v>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23">
        <f t="shared" si="3"/>
        <v>0</v>
      </c>
      <c r="AI95" s="24">
        <v>0.0</v>
      </c>
      <c r="AJ95" s="23">
        <f t="shared" si="4"/>
        <v>6</v>
      </c>
      <c r="AK95" s="23">
        <f t="shared" si="5"/>
        <v>6</v>
      </c>
      <c r="AL95" s="25">
        <f>'MASTER STOCK'!I92</f>
        <v>4500</v>
      </c>
      <c r="AM95" s="27">
        <f>'MASTER STOCK'!L92</f>
        <v>5850</v>
      </c>
      <c r="AN95" s="27">
        <f t="shared" si="6"/>
        <v>0</v>
      </c>
      <c r="AO95" s="26">
        <f t="shared" si="7"/>
        <v>0</v>
      </c>
      <c r="AP95" s="114">
        <f t="shared" si="8"/>
        <v>0</v>
      </c>
      <c r="AQ95" s="10"/>
    </row>
    <row r="96">
      <c r="A96" s="20" t="str">
        <f>'MASTER STOCK'!F93</f>
        <v>Tali tampar/ Tali tukang</v>
      </c>
      <c r="B96" s="21">
        <f>'AGS 25'!AI96</f>
        <v>20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23">
        <f t="shared" si="3"/>
        <v>0</v>
      </c>
      <c r="AI96" s="24">
        <v>0.0</v>
      </c>
      <c r="AJ96" s="23">
        <f t="shared" si="4"/>
        <v>20</v>
      </c>
      <c r="AK96" s="23">
        <f t="shared" si="5"/>
        <v>20</v>
      </c>
      <c r="AL96" s="25">
        <f>'MASTER STOCK'!I93</f>
        <v>1750</v>
      </c>
      <c r="AM96" s="27">
        <f>'MASTER STOCK'!L93</f>
        <v>2275</v>
      </c>
      <c r="AN96" s="27">
        <f t="shared" si="6"/>
        <v>0</v>
      </c>
      <c r="AO96" s="26">
        <f t="shared" si="7"/>
        <v>0</v>
      </c>
      <c r="AP96" s="114">
        <f t="shared" si="8"/>
        <v>0</v>
      </c>
      <c r="AQ96" s="10"/>
    </row>
    <row r="97">
      <c r="A97" s="20" t="str">
        <f>'MASTER STOCK'!F94</f>
        <v>Keranjang serbaguna</v>
      </c>
      <c r="B97" s="21">
        <f>'AGS 25'!AI97</f>
        <v>24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23">
        <f t="shared" si="3"/>
        <v>0</v>
      </c>
      <c r="AI97" s="24">
        <v>0.0</v>
      </c>
      <c r="AJ97" s="23">
        <f t="shared" si="4"/>
        <v>24</v>
      </c>
      <c r="AK97" s="23">
        <f t="shared" si="5"/>
        <v>24</v>
      </c>
      <c r="AL97" s="25">
        <f>'MASTER STOCK'!I94</f>
        <v>4700</v>
      </c>
      <c r="AM97" s="27" t="str">
        <f>'MASTER STOCK'!L94</f>
        <v/>
      </c>
      <c r="AN97" s="27">
        <f t="shared" si="6"/>
        <v>0</v>
      </c>
      <c r="AO97" s="26">
        <f t="shared" si="7"/>
        <v>0</v>
      </c>
      <c r="AP97" s="114">
        <f t="shared" si="8"/>
        <v>0</v>
      </c>
      <c r="AQ97" s="10"/>
    </row>
    <row r="98">
      <c r="A98" s="20" t="str">
        <f>'MASTER STOCK'!F95</f>
        <v>Paku (Nail 2000) 1 1/2"</v>
      </c>
      <c r="B98" s="21">
        <f>'AGS 25'!AI98</f>
        <v>1.3</v>
      </c>
      <c r="C98" s="10"/>
      <c r="D98" s="22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22"/>
      <c r="R98" s="10"/>
      <c r="S98" s="10"/>
      <c r="T98" s="10"/>
      <c r="U98" s="10"/>
      <c r="V98" s="22"/>
      <c r="W98" s="10"/>
      <c r="X98" s="10"/>
      <c r="Y98" s="10"/>
      <c r="Z98" s="22"/>
      <c r="AA98" s="22"/>
      <c r="AB98" s="10"/>
      <c r="AC98" s="10"/>
      <c r="AD98" s="10"/>
      <c r="AE98" s="10"/>
      <c r="AF98" s="10"/>
      <c r="AG98" s="10"/>
      <c r="AH98" s="23">
        <f t="shared" si="3"/>
        <v>0</v>
      </c>
      <c r="AI98" s="24">
        <v>0.0</v>
      </c>
      <c r="AJ98" s="23">
        <f t="shared" si="4"/>
        <v>1.3</v>
      </c>
      <c r="AK98" s="23">
        <f t="shared" si="5"/>
        <v>1.3</v>
      </c>
      <c r="AL98" s="25">
        <f>'MASTER STOCK'!I95</f>
        <v>14400</v>
      </c>
      <c r="AM98" s="27">
        <f>'MASTER STOCK'!L95</f>
        <v>18720</v>
      </c>
      <c r="AN98" s="27">
        <f t="shared" si="6"/>
        <v>0</v>
      </c>
      <c r="AO98" s="26">
        <f t="shared" si="7"/>
        <v>0</v>
      </c>
      <c r="AP98" s="114">
        <f t="shared" si="8"/>
        <v>0</v>
      </c>
      <c r="AQ98" s="10"/>
    </row>
    <row r="99">
      <c r="A99" s="20" t="str">
        <f>'MASTER STOCK'!F96</f>
        <v>Paku (Nail 2000) 2 1/2"</v>
      </c>
      <c r="B99" s="21">
        <f>'AGS 25'!AI99</f>
        <v>19.9</v>
      </c>
      <c r="C99" s="22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23">
        <f t="shared" si="3"/>
        <v>0</v>
      </c>
      <c r="AI99" s="24">
        <v>0.0</v>
      </c>
      <c r="AJ99" s="23">
        <f t="shared" si="4"/>
        <v>19.9</v>
      </c>
      <c r="AK99" s="23">
        <f t="shared" si="5"/>
        <v>19.9</v>
      </c>
      <c r="AL99" s="25">
        <f>'MASTER STOCK'!I96</f>
        <v>13500</v>
      </c>
      <c r="AM99" s="27">
        <f>'MASTER STOCK'!L96</f>
        <v>17550</v>
      </c>
      <c r="AN99" s="27">
        <f t="shared" si="6"/>
        <v>0</v>
      </c>
      <c r="AO99" s="26">
        <f t="shared" si="7"/>
        <v>0</v>
      </c>
      <c r="AP99" s="114">
        <f t="shared" si="8"/>
        <v>0</v>
      </c>
      <c r="AQ99" s="10"/>
    </row>
    <row r="100">
      <c r="A100" s="20" t="str">
        <f>'MASTER STOCK'!F97</f>
        <v>Paku (Nail 2000) 3"</v>
      </c>
      <c r="B100" s="21">
        <f>'AGS 25'!AI100</f>
        <v>18.8</v>
      </c>
      <c r="C100" s="22"/>
      <c r="D100" s="10"/>
      <c r="E100" s="10"/>
      <c r="F100" s="22"/>
      <c r="G100" s="10"/>
      <c r="H100" s="22">
        <v>1.0</v>
      </c>
      <c r="I100" s="10"/>
      <c r="J100" s="22">
        <v>0.35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22"/>
      <c r="V100" s="10"/>
      <c r="W100" s="10"/>
      <c r="X100" s="10"/>
      <c r="Y100" s="22">
        <v>1.0</v>
      </c>
      <c r="Z100" s="10"/>
      <c r="AA100" s="10"/>
      <c r="AB100" s="10"/>
      <c r="AC100" s="10"/>
      <c r="AD100" s="10"/>
      <c r="AE100" s="10"/>
      <c r="AF100" s="10"/>
      <c r="AG100" s="10"/>
      <c r="AH100" s="23">
        <f t="shared" si="3"/>
        <v>2.35</v>
      </c>
      <c r="AI100" s="24">
        <v>0.0</v>
      </c>
      <c r="AJ100" s="23">
        <f t="shared" si="4"/>
        <v>16.45</v>
      </c>
      <c r="AK100" s="23">
        <f t="shared" si="5"/>
        <v>16.45</v>
      </c>
      <c r="AL100" s="25">
        <f>'MASTER STOCK'!I97</f>
        <v>13500</v>
      </c>
      <c r="AM100" s="27">
        <f>'MASTER STOCK'!L97</f>
        <v>17550</v>
      </c>
      <c r="AN100" s="27">
        <f t="shared" si="6"/>
        <v>41242.5</v>
      </c>
      <c r="AO100" s="26">
        <f t="shared" si="7"/>
        <v>9517.5</v>
      </c>
      <c r="AP100" s="114">
        <f t="shared" si="8"/>
        <v>31725</v>
      </c>
      <c r="AQ100" s="10"/>
    </row>
    <row r="101">
      <c r="A101" s="20" t="str">
        <f>'MASTER STOCK'!F98</f>
        <v>Paku (Nail 2000) 1"</v>
      </c>
      <c r="B101" s="21">
        <f>'AGS 25'!AI101</f>
        <v>3.35</v>
      </c>
      <c r="C101" s="22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22"/>
      <c r="Z101" s="10"/>
      <c r="AA101" s="10"/>
      <c r="AB101" s="10"/>
      <c r="AC101" s="10"/>
      <c r="AD101" s="22">
        <v>0.5</v>
      </c>
      <c r="AE101" s="10"/>
      <c r="AF101" s="10"/>
      <c r="AG101" s="10"/>
      <c r="AH101" s="23">
        <f t="shared" si="3"/>
        <v>0.5</v>
      </c>
      <c r="AI101" s="24">
        <v>0.0</v>
      </c>
      <c r="AJ101" s="23">
        <f t="shared" si="4"/>
        <v>2.85</v>
      </c>
      <c r="AK101" s="23">
        <f t="shared" si="5"/>
        <v>2.85</v>
      </c>
      <c r="AL101" s="25">
        <f>'MASTER STOCK'!I98</f>
        <v>15200</v>
      </c>
      <c r="AM101" s="27">
        <f>'MASTER STOCK'!L98</f>
        <v>19760</v>
      </c>
      <c r="AN101" s="27">
        <f t="shared" si="6"/>
        <v>9880</v>
      </c>
      <c r="AO101" s="26">
        <f t="shared" si="7"/>
        <v>2280</v>
      </c>
      <c r="AP101" s="114">
        <f t="shared" si="8"/>
        <v>7600</v>
      </c>
      <c r="AQ101" s="10"/>
    </row>
    <row r="102">
      <c r="A102" s="20" t="str">
        <f>'MASTER STOCK'!F99</f>
        <v>Paku (Nail 20000 1 3/4"</v>
      </c>
      <c r="B102" s="21">
        <f>'AGS 25'!AI102</f>
        <v>3.05</v>
      </c>
      <c r="C102" s="22"/>
      <c r="D102" s="10"/>
      <c r="E102" s="10"/>
      <c r="F102" s="22"/>
      <c r="G102" s="10"/>
      <c r="H102" s="10"/>
      <c r="I102" s="22"/>
      <c r="J102" s="10"/>
      <c r="K102" s="10"/>
      <c r="L102" s="10"/>
      <c r="M102" s="10"/>
      <c r="N102" s="10"/>
      <c r="O102" s="10"/>
      <c r="P102" s="10"/>
      <c r="Q102" s="10"/>
      <c r="R102" s="10"/>
      <c r="S102" s="22"/>
      <c r="T102" s="10"/>
      <c r="U102" s="10"/>
      <c r="V102" s="10"/>
      <c r="W102" s="10"/>
      <c r="X102" s="10"/>
      <c r="Y102" s="22"/>
      <c r="Z102" s="10"/>
      <c r="AA102" s="10"/>
      <c r="AB102" s="10"/>
      <c r="AC102" s="10"/>
      <c r="AD102" s="10"/>
      <c r="AE102" s="10"/>
      <c r="AF102" s="10"/>
      <c r="AG102" s="10"/>
      <c r="AH102" s="23">
        <f t="shared" si="3"/>
        <v>0</v>
      </c>
      <c r="AI102" s="24">
        <v>0.0</v>
      </c>
      <c r="AJ102" s="23">
        <f t="shared" si="4"/>
        <v>3.05</v>
      </c>
      <c r="AK102" s="23">
        <f t="shared" si="5"/>
        <v>3.05</v>
      </c>
      <c r="AL102" s="25">
        <f>'MASTER STOCK'!I99</f>
        <v>14100</v>
      </c>
      <c r="AM102" s="27">
        <f>'MASTER STOCK'!L99</f>
        <v>18330</v>
      </c>
      <c r="AN102" s="27">
        <f t="shared" si="6"/>
        <v>0</v>
      </c>
      <c r="AO102" s="26">
        <f t="shared" si="7"/>
        <v>0</v>
      </c>
      <c r="AP102" s="114">
        <f t="shared" si="8"/>
        <v>0</v>
      </c>
      <c r="AQ102" s="10"/>
    </row>
    <row r="103">
      <c r="A103" s="20" t="str">
        <f>'MASTER STOCK'!F100</f>
        <v>Paku (Nail 2000) 2"</v>
      </c>
      <c r="B103" s="21">
        <f>'AGS 25'!AI103</f>
        <v>14</v>
      </c>
      <c r="C103" s="22"/>
      <c r="D103" s="22">
        <v>1.0</v>
      </c>
      <c r="E103" s="10"/>
      <c r="F103" s="10"/>
      <c r="G103" s="10"/>
      <c r="H103" s="22">
        <v>1.0</v>
      </c>
      <c r="I103" s="22">
        <v>0.5</v>
      </c>
      <c r="J103" s="10"/>
      <c r="K103" s="10"/>
      <c r="L103" s="10"/>
      <c r="M103" s="10"/>
      <c r="N103" s="10"/>
      <c r="O103" s="10"/>
      <c r="P103" s="10"/>
      <c r="Q103" s="22"/>
      <c r="R103" s="10"/>
      <c r="S103" s="10"/>
      <c r="T103" s="10"/>
      <c r="U103" s="22"/>
      <c r="V103" s="10"/>
      <c r="W103" s="10"/>
      <c r="X103" s="10"/>
      <c r="Y103" s="10"/>
      <c r="Z103" s="10"/>
      <c r="AA103" s="10"/>
      <c r="AB103" s="10"/>
      <c r="AC103" s="10"/>
      <c r="AD103" s="22">
        <v>1.0</v>
      </c>
      <c r="AE103" s="10"/>
      <c r="AF103" s="10"/>
      <c r="AG103" s="10"/>
      <c r="AH103" s="23">
        <f t="shared" si="3"/>
        <v>3.5</v>
      </c>
      <c r="AI103" s="24">
        <v>0.0</v>
      </c>
      <c r="AJ103" s="23">
        <f t="shared" si="4"/>
        <v>10.5</v>
      </c>
      <c r="AK103" s="23">
        <f t="shared" si="5"/>
        <v>10.5</v>
      </c>
      <c r="AL103" s="25">
        <f>'MASTER STOCK'!I100</f>
        <v>13500</v>
      </c>
      <c r="AM103" s="27">
        <f>'MASTER STOCK'!L100</f>
        <v>17550</v>
      </c>
      <c r="AN103" s="27">
        <f t="shared" si="6"/>
        <v>61425</v>
      </c>
      <c r="AO103" s="26">
        <f t="shared" si="7"/>
        <v>14175</v>
      </c>
      <c r="AP103" s="114">
        <f t="shared" si="8"/>
        <v>47250</v>
      </c>
      <c r="AQ103" s="10"/>
    </row>
    <row r="104">
      <c r="A104" s="20" t="str">
        <f>'MASTER STOCK'!F101</f>
        <v>Besi Beton 6mm SNI (U)</v>
      </c>
      <c r="B104" s="21">
        <f>'AGS 25'!AI104</f>
        <v>10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23">
        <f t="shared" si="3"/>
        <v>0</v>
      </c>
      <c r="AI104" s="24">
        <v>0.0</v>
      </c>
      <c r="AJ104" s="23">
        <f t="shared" si="4"/>
        <v>10</v>
      </c>
      <c r="AK104" s="23">
        <f t="shared" si="5"/>
        <v>10</v>
      </c>
      <c r="AL104" s="25">
        <f>'MASTER STOCK'!I101</f>
        <v>22000</v>
      </c>
      <c r="AM104" s="27">
        <f>'MASTER STOCK'!L101</f>
        <v>26000</v>
      </c>
      <c r="AN104" s="27">
        <f t="shared" si="6"/>
        <v>0</v>
      </c>
      <c r="AO104" s="26">
        <f t="shared" si="7"/>
        <v>0</v>
      </c>
      <c r="AP104" s="114">
        <f t="shared" si="8"/>
        <v>0</v>
      </c>
      <c r="AQ104" s="10"/>
    </row>
    <row r="105">
      <c r="A105" s="20" t="str">
        <f>'MASTER STOCK'!F102</f>
        <v>Besi Beton 8mm SNI (U)</v>
      </c>
      <c r="B105" s="21">
        <f>'AGS 25'!AI105</f>
        <v>8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22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23">
        <f t="shared" si="3"/>
        <v>0</v>
      </c>
      <c r="AI105" s="24">
        <v>0.0</v>
      </c>
      <c r="AJ105" s="23">
        <f t="shared" si="4"/>
        <v>8</v>
      </c>
      <c r="AK105" s="23">
        <f t="shared" si="5"/>
        <v>8</v>
      </c>
      <c r="AL105" s="25">
        <f>'MASTER STOCK'!I102</f>
        <v>37000</v>
      </c>
      <c r="AM105" s="27">
        <f>'MASTER STOCK'!L102</f>
        <v>43000</v>
      </c>
      <c r="AN105" s="27">
        <f t="shared" si="6"/>
        <v>0</v>
      </c>
      <c r="AO105" s="26">
        <f t="shared" si="7"/>
        <v>0</v>
      </c>
      <c r="AP105" s="114">
        <f t="shared" si="8"/>
        <v>0</v>
      </c>
      <c r="AQ105" s="10"/>
    </row>
    <row r="106">
      <c r="A106" s="20" t="str">
        <f>'MASTER STOCK'!F103</f>
        <v>Besi Beton 10mm SNI (U)</v>
      </c>
      <c r="B106" s="21">
        <f>'AGS 25'!AI106</f>
        <v>5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23">
        <f t="shared" si="3"/>
        <v>0</v>
      </c>
      <c r="AI106" s="24">
        <v>0.0</v>
      </c>
      <c r="AJ106" s="23">
        <f t="shared" si="4"/>
        <v>5</v>
      </c>
      <c r="AK106" s="23">
        <f t="shared" si="5"/>
        <v>5</v>
      </c>
      <c r="AL106" s="25">
        <f>'MASTER STOCK'!I103</f>
        <v>58000</v>
      </c>
      <c r="AM106" s="27">
        <f>'MASTER STOCK'!L103</f>
        <v>73000</v>
      </c>
      <c r="AN106" s="27">
        <f t="shared" si="6"/>
        <v>0</v>
      </c>
      <c r="AO106" s="26">
        <f t="shared" si="7"/>
        <v>0</v>
      </c>
      <c r="AP106" s="114">
        <f t="shared" si="8"/>
        <v>0</v>
      </c>
      <c r="AQ106" s="10"/>
    </row>
    <row r="107">
      <c r="A107" s="20" t="str">
        <f>'MASTER STOCK'!F104</f>
        <v>Hollow G Tube 20x40x0.4</v>
      </c>
      <c r="B107" s="21">
        <f>'AGS 25'!AI107</f>
        <v>18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23">
        <f t="shared" si="3"/>
        <v>0</v>
      </c>
      <c r="AI107" s="24">
        <v>0.0</v>
      </c>
      <c r="AJ107" s="23">
        <f t="shared" si="4"/>
        <v>18</v>
      </c>
      <c r="AK107" s="23">
        <f t="shared" si="5"/>
        <v>18</v>
      </c>
      <c r="AL107" s="25">
        <f>'MASTER STOCK'!I104</f>
        <v>21500</v>
      </c>
      <c r="AM107" s="27">
        <f>'MASTER STOCK'!L104</f>
        <v>25800</v>
      </c>
      <c r="AN107" s="27">
        <f t="shared" si="6"/>
        <v>0</v>
      </c>
      <c r="AO107" s="26">
        <f t="shared" si="7"/>
        <v>0</v>
      </c>
      <c r="AP107" s="114">
        <f t="shared" si="8"/>
        <v>0</v>
      </c>
      <c r="AQ107" s="10"/>
    </row>
    <row r="108">
      <c r="A108" s="20" t="str">
        <f>'MASTER STOCK'!F105</f>
        <v>Hollow G Tube 40x40x0.4</v>
      </c>
      <c r="B108" s="21">
        <f>'AGS 25'!AI108</f>
        <v>10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23">
        <f t="shared" si="3"/>
        <v>0</v>
      </c>
      <c r="AI108" s="24">
        <v>0.0</v>
      </c>
      <c r="AJ108" s="23">
        <f t="shared" si="4"/>
        <v>10</v>
      </c>
      <c r="AK108" s="23">
        <f t="shared" si="5"/>
        <v>10</v>
      </c>
      <c r="AL108" s="25">
        <f>'MASTER STOCK'!I105</f>
        <v>28500</v>
      </c>
      <c r="AM108" s="27">
        <f>'MASTER STOCK'!L105</f>
        <v>34200</v>
      </c>
      <c r="AN108" s="27">
        <f t="shared" si="6"/>
        <v>0</v>
      </c>
      <c r="AO108" s="26">
        <f t="shared" si="7"/>
        <v>0</v>
      </c>
      <c r="AP108" s="114">
        <f t="shared" si="8"/>
        <v>0</v>
      </c>
      <c r="AQ108" s="10"/>
    </row>
    <row r="109">
      <c r="A109" s="20" t="str">
        <f>'MASTER STOCK'!F106</f>
        <v>Reng Galvalum Kenana 0.45 (M)</v>
      </c>
      <c r="B109" s="21">
        <f>'AGS 25'!AI109</f>
        <v>10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23">
        <f t="shared" si="3"/>
        <v>0</v>
      </c>
      <c r="AI109" s="24">
        <v>0.0</v>
      </c>
      <c r="AJ109" s="23">
        <f t="shared" si="4"/>
        <v>10</v>
      </c>
      <c r="AK109" s="23">
        <f t="shared" si="5"/>
        <v>10</v>
      </c>
      <c r="AL109" s="25">
        <f>'MASTER STOCK'!I106</f>
        <v>39000</v>
      </c>
      <c r="AM109" s="27">
        <f>'MASTER STOCK'!L106</f>
        <v>42900</v>
      </c>
      <c r="AN109" s="27">
        <f t="shared" si="6"/>
        <v>0</v>
      </c>
      <c r="AO109" s="26">
        <f t="shared" si="7"/>
        <v>0</v>
      </c>
      <c r="AP109" s="114">
        <f t="shared" si="8"/>
        <v>0</v>
      </c>
      <c r="AQ109" s="10"/>
    </row>
    <row r="110">
      <c r="A110" s="20" t="str">
        <f>'MASTER STOCK'!F107</f>
        <v>C Truss Kencana 75x0.85 (0.75) MM</v>
      </c>
      <c r="B110" s="21">
        <f>'AGS 25'!AI110</f>
        <v>10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23">
        <f t="shared" si="3"/>
        <v>0</v>
      </c>
      <c r="AI110" s="24">
        <v>0.0</v>
      </c>
      <c r="AJ110" s="23">
        <f t="shared" si="4"/>
        <v>10</v>
      </c>
      <c r="AK110" s="23">
        <f t="shared" si="5"/>
        <v>10</v>
      </c>
      <c r="AL110" s="25">
        <f>'MASTER STOCK'!I107</f>
        <v>85000</v>
      </c>
      <c r="AM110" s="27">
        <f>'MASTER STOCK'!L107</f>
        <v>93500</v>
      </c>
      <c r="AN110" s="27">
        <f t="shared" si="6"/>
        <v>0</v>
      </c>
      <c r="AO110" s="26">
        <f t="shared" si="7"/>
        <v>0</v>
      </c>
      <c r="AP110" s="114">
        <f t="shared" si="8"/>
        <v>0</v>
      </c>
      <c r="AQ110" s="10"/>
    </row>
    <row r="111">
      <c r="A111" s="20" t="str">
        <f>'MASTER STOCK'!F108</f>
        <v>KAYU BALOK 4X6X4</v>
      </c>
      <c r="B111" s="21">
        <f>'AGS 25'!AI111</f>
        <v>12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22"/>
      <c r="AC111" s="10"/>
      <c r="AD111" s="10"/>
      <c r="AE111" s="10"/>
      <c r="AF111" s="10"/>
      <c r="AG111" s="10"/>
      <c r="AH111" s="23">
        <f t="shared" si="3"/>
        <v>0</v>
      </c>
      <c r="AI111" s="24">
        <v>0.0</v>
      </c>
      <c r="AJ111" s="23">
        <f t="shared" si="4"/>
        <v>12</v>
      </c>
      <c r="AK111" s="23">
        <f t="shared" si="5"/>
        <v>12</v>
      </c>
      <c r="AL111" s="25">
        <f>'MASTER STOCK'!I108</f>
        <v>39000</v>
      </c>
      <c r="AM111" s="27">
        <f>'MASTER STOCK'!L108</f>
        <v>42900</v>
      </c>
      <c r="AN111" s="27">
        <f t="shared" si="6"/>
        <v>0</v>
      </c>
      <c r="AO111" s="26">
        <f t="shared" si="7"/>
        <v>0</v>
      </c>
      <c r="AP111" s="114">
        <f t="shared" si="8"/>
        <v>0</v>
      </c>
      <c r="AQ111" s="10"/>
    </row>
    <row r="112">
      <c r="A112" s="20" t="str">
        <f>'MASTER STOCK'!F109</f>
        <v>KAYU BALOK 3X5X4</v>
      </c>
      <c r="B112" s="21">
        <f>'AGS 25'!AI112</f>
        <v>10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22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23">
        <f t="shared" si="3"/>
        <v>0</v>
      </c>
      <c r="AI112" s="24">
        <v>0.0</v>
      </c>
      <c r="AJ112" s="23">
        <f t="shared" si="4"/>
        <v>10</v>
      </c>
      <c r="AK112" s="23">
        <f t="shared" si="5"/>
        <v>10</v>
      </c>
      <c r="AL112" s="25">
        <f>'MASTER STOCK'!I109</f>
        <v>24000</v>
      </c>
      <c r="AM112" s="27">
        <f>'MASTER STOCK'!L109</f>
        <v>26400</v>
      </c>
      <c r="AN112" s="27">
        <f t="shared" si="6"/>
        <v>0</v>
      </c>
      <c r="AO112" s="26">
        <f t="shared" si="7"/>
        <v>0</v>
      </c>
      <c r="AP112" s="114">
        <f t="shared" si="8"/>
        <v>0</v>
      </c>
      <c r="AQ112" s="10"/>
    </row>
    <row r="113">
      <c r="A113" s="20" t="str">
        <f>'MASTER STOCK'!F110</f>
        <v>KAYU BALOK 2X3X4</v>
      </c>
      <c r="B113" s="21">
        <f>'AGS 25'!AI113</f>
        <v>25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23">
        <f t="shared" si="3"/>
        <v>0</v>
      </c>
      <c r="AI113" s="24">
        <v>0.0</v>
      </c>
      <c r="AJ113" s="23">
        <f t="shared" si="4"/>
        <v>25</v>
      </c>
      <c r="AK113" s="23">
        <f t="shared" si="5"/>
        <v>25</v>
      </c>
      <c r="AL113" s="25">
        <f>'MASTER STOCK'!I110</f>
        <v>9600</v>
      </c>
      <c r="AM113" s="27">
        <f>'MASTER STOCK'!L110</f>
        <v>10560</v>
      </c>
      <c r="AN113" s="27">
        <f t="shared" si="6"/>
        <v>0</v>
      </c>
      <c r="AO113" s="26">
        <f t="shared" si="7"/>
        <v>0</v>
      </c>
      <c r="AP113" s="114">
        <f t="shared" si="8"/>
        <v>0</v>
      </c>
      <c r="AQ113" s="10"/>
    </row>
    <row r="114">
      <c r="A114" s="20" t="str">
        <f>'MASTER STOCK'!F111</f>
        <v>CANGKUL </v>
      </c>
      <c r="B114" s="21">
        <f>'AGS 25'!AI114</f>
        <v>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23">
        <f t="shared" si="3"/>
        <v>0</v>
      </c>
      <c r="AI114" s="24">
        <v>0.0</v>
      </c>
      <c r="AJ114" s="23">
        <f t="shared" si="4"/>
        <v>1</v>
      </c>
      <c r="AK114" s="23">
        <f t="shared" si="5"/>
        <v>1</v>
      </c>
      <c r="AL114" s="25">
        <f>'MASTER STOCK'!I111</f>
        <v>33580</v>
      </c>
      <c r="AM114" s="27">
        <f>'MASTER STOCK'!L111</f>
        <v>57086</v>
      </c>
      <c r="AN114" s="27">
        <f t="shared" si="6"/>
        <v>0</v>
      </c>
      <c r="AO114" s="26">
        <f t="shared" si="7"/>
        <v>0</v>
      </c>
      <c r="AP114" s="114">
        <f t="shared" si="8"/>
        <v>0</v>
      </c>
      <c r="AQ114" s="10"/>
    </row>
    <row r="115">
      <c r="A115" s="20" t="str">
        <f>'MASTER STOCK'!F112</f>
        <v>SEKOP PASIR</v>
      </c>
      <c r="B115" s="21">
        <f>'AGS 25'!AI115</f>
        <v>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23">
        <f t="shared" si="3"/>
        <v>0</v>
      </c>
      <c r="AI115" s="24">
        <v>0.0</v>
      </c>
      <c r="AJ115" s="23">
        <f t="shared" si="4"/>
        <v>2</v>
      </c>
      <c r="AK115" s="23">
        <f t="shared" si="5"/>
        <v>2</v>
      </c>
      <c r="AL115" s="25">
        <f>'MASTER STOCK'!I112</f>
        <v>20000</v>
      </c>
      <c r="AM115" s="27">
        <f>'MASTER STOCK'!L112</f>
        <v>34000</v>
      </c>
      <c r="AN115" s="27">
        <f t="shared" si="6"/>
        <v>0</v>
      </c>
      <c r="AO115" s="26">
        <f t="shared" si="7"/>
        <v>0</v>
      </c>
      <c r="AP115" s="114">
        <f t="shared" si="8"/>
        <v>0</v>
      </c>
      <c r="AQ115" s="10"/>
    </row>
    <row r="116">
      <c r="A116" s="20" t="str">
        <f>'MASTER STOCK'!F113</f>
        <v>Baut Drilling Galvalum Baja Ringan 100
Pcs Per Plastik - WL 12x50 100Pcs</v>
      </c>
      <c r="B116" s="21">
        <f>'AGS 25'!AI116</f>
        <v>100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23">
        <f t="shared" si="3"/>
        <v>0</v>
      </c>
      <c r="AI116" s="24">
        <v>0.0</v>
      </c>
      <c r="AJ116" s="23">
        <f t="shared" si="4"/>
        <v>100</v>
      </c>
      <c r="AK116" s="23">
        <f t="shared" si="5"/>
        <v>100</v>
      </c>
      <c r="AL116" s="25">
        <f>'MASTER STOCK'!I113</f>
        <v>250</v>
      </c>
      <c r="AM116" s="27">
        <f>'MASTER STOCK'!L113</f>
        <v>500</v>
      </c>
      <c r="AN116" s="27">
        <f t="shared" si="6"/>
        <v>0</v>
      </c>
      <c r="AO116" s="26">
        <f t="shared" si="7"/>
        <v>0</v>
      </c>
      <c r="AP116" s="114">
        <f t="shared" si="8"/>
        <v>0</v>
      </c>
      <c r="AQ116" s="10"/>
    </row>
    <row r="117">
      <c r="A117" s="20" t="str">
        <f>'MASTER STOCK'!F114</f>
        <v>Baut Drilling Galvalum Baja Ringan 100
Pcs Per Plastik - WL 12x60 100Pcs</v>
      </c>
      <c r="B117" s="21">
        <f>'AGS 25'!AI117</f>
        <v>100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23">
        <f t="shared" si="3"/>
        <v>0</v>
      </c>
      <c r="AI117" s="24">
        <v>0.0</v>
      </c>
      <c r="AJ117" s="23">
        <f t="shared" si="4"/>
        <v>100</v>
      </c>
      <c r="AK117" s="23">
        <f t="shared" si="5"/>
        <v>100</v>
      </c>
      <c r="AL117" s="25">
        <f>'MASTER STOCK'!I114</f>
        <v>300</v>
      </c>
      <c r="AM117" s="27">
        <f>'MASTER STOCK'!L114</f>
        <v>600</v>
      </c>
      <c r="AN117" s="27">
        <f t="shared" si="6"/>
        <v>0</v>
      </c>
      <c r="AO117" s="26">
        <f t="shared" si="7"/>
        <v>0</v>
      </c>
      <c r="AP117" s="114">
        <f t="shared" si="8"/>
        <v>0</v>
      </c>
      <c r="AQ117" s="10"/>
    </row>
    <row r="118">
      <c r="A118" s="20" t="str">
        <f>'MASTER STOCK'!F115</f>
        <v>Baut Drilling Galvalum Baja Ringan 100
Pcs Per Plastik - WL 12x30 100Pcs</v>
      </c>
      <c r="B118" s="21">
        <f>'AGS 25'!AI118</f>
        <v>100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23">
        <f t="shared" si="3"/>
        <v>0</v>
      </c>
      <c r="AI118" s="24">
        <v>0.0</v>
      </c>
      <c r="AJ118" s="23">
        <f t="shared" si="4"/>
        <v>100</v>
      </c>
      <c r="AK118" s="23">
        <f t="shared" si="5"/>
        <v>100</v>
      </c>
      <c r="AL118" s="25">
        <f>'MASTER STOCK'!I115</f>
        <v>170</v>
      </c>
      <c r="AM118" s="27">
        <f>'MASTER STOCK'!L115</f>
        <v>340</v>
      </c>
      <c r="AN118" s="27">
        <f t="shared" si="6"/>
        <v>0</v>
      </c>
      <c r="AO118" s="26">
        <f t="shared" si="7"/>
        <v>0</v>
      </c>
      <c r="AP118" s="114">
        <f t="shared" si="8"/>
        <v>0</v>
      </c>
      <c r="AQ118" s="10"/>
    </row>
    <row r="119">
      <c r="A119" s="20" t="str">
        <f>'MASTER STOCK'!F116</f>
        <v>Baut Drilling Galvalum Baja Ringan 100
Pcs Per Plastik - WL 12x40 100Pcs</v>
      </c>
      <c r="B119" s="21">
        <f>'AGS 25'!AI119</f>
        <v>100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23">
        <f t="shared" si="3"/>
        <v>0</v>
      </c>
      <c r="AI119" s="24">
        <v>0.0</v>
      </c>
      <c r="AJ119" s="23">
        <f t="shared" si="4"/>
        <v>100</v>
      </c>
      <c r="AK119" s="23">
        <f t="shared" si="5"/>
        <v>100</v>
      </c>
      <c r="AL119" s="25">
        <f>'MASTER STOCK'!I116</f>
        <v>220</v>
      </c>
      <c r="AM119" s="27">
        <f>'MASTER STOCK'!L116</f>
        <v>440</v>
      </c>
      <c r="AN119" s="27">
        <f t="shared" si="6"/>
        <v>0</v>
      </c>
      <c r="AO119" s="26">
        <f t="shared" si="7"/>
        <v>0</v>
      </c>
      <c r="AP119" s="114">
        <f t="shared" si="8"/>
        <v>0</v>
      </c>
      <c r="AQ119" s="10"/>
    </row>
    <row r="120">
      <c r="A120" s="20" t="str">
        <f>'MASTER STOCK'!F117</f>
        <v>Baut Drilling Galvalum Baja Ringan 100
Pcs Per Plastik - WL 12x20 100Pcs</v>
      </c>
      <c r="B120" s="21">
        <f>'AGS 25'!AI120</f>
        <v>100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23">
        <f t="shared" si="3"/>
        <v>0</v>
      </c>
      <c r="AI120" s="24">
        <v>0.0</v>
      </c>
      <c r="AJ120" s="23">
        <f t="shared" si="4"/>
        <v>100</v>
      </c>
      <c r="AK120" s="23">
        <f t="shared" si="5"/>
        <v>100</v>
      </c>
      <c r="AL120" s="25">
        <f>'MASTER STOCK'!I117</f>
        <v>150</v>
      </c>
      <c r="AM120" s="27">
        <f>'MASTER STOCK'!L117</f>
        <v>300</v>
      </c>
      <c r="AN120" s="27">
        <f t="shared" si="6"/>
        <v>0</v>
      </c>
      <c r="AO120" s="26">
        <f t="shared" si="7"/>
        <v>0</v>
      </c>
      <c r="AP120" s="114">
        <f t="shared" si="8"/>
        <v>0</v>
      </c>
      <c r="AQ120" s="10"/>
    </row>
    <row r="121">
      <c r="A121" s="20" t="str">
        <f>'MASTER STOCK'!F118</f>
        <v>Batu Kumbung</v>
      </c>
      <c r="B121" s="21">
        <f>'AGS 25'!AI121</f>
        <v>528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22"/>
      <c r="T121" s="10"/>
      <c r="U121" s="10"/>
      <c r="V121" s="10"/>
      <c r="W121" s="10"/>
      <c r="X121" s="10"/>
      <c r="Y121" s="22"/>
      <c r="Z121" s="10"/>
      <c r="AA121" s="10"/>
      <c r="AB121" s="10"/>
      <c r="AC121" s="10"/>
      <c r="AD121" s="22">
        <v>30.0</v>
      </c>
      <c r="AE121" s="10"/>
      <c r="AF121" s="10"/>
      <c r="AG121" s="10"/>
      <c r="AH121" s="23">
        <f t="shared" si="3"/>
        <v>30</v>
      </c>
      <c r="AI121" s="24">
        <v>0.0</v>
      </c>
      <c r="AJ121" s="23">
        <f t="shared" si="4"/>
        <v>498</v>
      </c>
      <c r="AK121" s="23">
        <f t="shared" si="5"/>
        <v>498</v>
      </c>
      <c r="AL121" s="25">
        <f>'MASTER STOCK'!I118</f>
        <v>8000</v>
      </c>
      <c r="AM121" s="27">
        <f>'MASTER STOCK'!L118</f>
        <v>12000</v>
      </c>
      <c r="AN121" s="27">
        <f t="shared" si="6"/>
        <v>360000</v>
      </c>
      <c r="AO121" s="26">
        <f t="shared" si="7"/>
        <v>120000</v>
      </c>
      <c r="AP121" s="114">
        <f t="shared" si="8"/>
        <v>240000</v>
      </c>
      <c r="AQ121" s="10"/>
    </row>
    <row r="122">
      <c r="A122" s="20" t="str">
        <f>'MASTER STOCK'!F119</f>
        <v>Triplek 8m sengon</v>
      </c>
      <c r="B122" s="21">
        <f>'AGS 25'!AI122</f>
        <v>5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23">
        <f t="shared" si="3"/>
        <v>0</v>
      </c>
      <c r="AI122" s="24">
        <v>0.0</v>
      </c>
      <c r="AJ122" s="23">
        <f t="shared" si="4"/>
        <v>5</v>
      </c>
      <c r="AK122" s="23">
        <f t="shared" si="5"/>
        <v>5</v>
      </c>
      <c r="AL122" s="25">
        <f>'MASTER STOCK'!I119</f>
        <v>67000</v>
      </c>
      <c r="AM122" s="27">
        <f>'MASTER STOCK'!L119</f>
        <v>70350</v>
      </c>
      <c r="AN122" s="27">
        <f t="shared" si="6"/>
        <v>0</v>
      </c>
      <c r="AO122" s="26">
        <f t="shared" si="7"/>
        <v>0</v>
      </c>
      <c r="AP122" s="114">
        <f t="shared" si="8"/>
        <v>0</v>
      </c>
      <c r="AQ122" s="10"/>
    </row>
    <row r="123">
      <c r="A123" s="20" t="str">
        <f>'MASTER STOCK'!F120</f>
        <v>Triplek 6m sengon</v>
      </c>
      <c r="B123" s="21">
        <f>'AGS 25'!AI123</f>
        <v>10</v>
      </c>
      <c r="C123" s="10"/>
      <c r="D123" s="10"/>
      <c r="E123" s="10"/>
      <c r="F123" s="10"/>
      <c r="G123" s="10"/>
      <c r="H123" s="22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23">
        <f t="shared" si="3"/>
        <v>0</v>
      </c>
      <c r="AI123" s="24">
        <v>0.0</v>
      </c>
      <c r="AJ123" s="23">
        <f t="shared" si="4"/>
        <v>10</v>
      </c>
      <c r="AK123" s="23">
        <f t="shared" si="5"/>
        <v>10</v>
      </c>
      <c r="AL123" s="25">
        <f>'MASTER STOCK'!I120</f>
        <v>56500</v>
      </c>
      <c r="AM123" s="27">
        <f>'MASTER STOCK'!L120</f>
        <v>59325</v>
      </c>
      <c r="AN123" s="27">
        <f t="shared" si="6"/>
        <v>0</v>
      </c>
      <c r="AO123" s="26">
        <f t="shared" si="7"/>
        <v>0</v>
      </c>
      <c r="AP123" s="114">
        <f t="shared" si="8"/>
        <v>0</v>
      </c>
      <c r="AQ123" s="10"/>
    </row>
    <row r="124">
      <c r="A124" s="20" t="str">
        <f>'MASTER STOCK'!F121</f>
        <v>Triplek 3m sengon</v>
      </c>
      <c r="B124" s="21">
        <f>'AGS 25'!AI124</f>
        <v>10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23">
        <f t="shared" si="3"/>
        <v>0</v>
      </c>
      <c r="AI124" s="24">
        <v>0.0</v>
      </c>
      <c r="AJ124" s="23">
        <f t="shared" si="4"/>
        <v>10</v>
      </c>
      <c r="AK124" s="23">
        <f t="shared" si="5"/>
        <v>10</v>
      </c>
      <c r="AL124" s="25">
        <f>'MASTER STOCK'!I121</f>
        <v>38500</v>
      </c>
      <c r="AM124" s="27">
        <f>'MASTER STOCK'!L121</f>
        <v>40425</v>
      </c>
      <c r="AN124" s="27">
        <f t="shared" si="6"/>
        <v>0</v>
      </c>
      <c r="AO124" s="26">
        <f t="shared" si="7"/>
        <v>0</v>
      </c>
      <c r="AP124" s="114">
        <f t="shared" si="8"/>
        <v>0</v>
      </c>
      <c r="AQ124" s="10"/>
    </row>
    <row r="125">
      <c r="A125" s="20" t="str">
        <f>'MASTER STOCK'!F122</f>
        <v>Semen Gresik</v>
      </c>
      <c r="B125" s="21">
        <f>'AGS 25'!AI125</f>
        <v>104</v>
      </c>
      <c r="C125" s="22">
        <v>2.0</v>
      </c>
      <c r="D125" s="22">
        <v>15.0</v>
      </c>
      <c r="E125" s="22">
        <v>5.0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22"/>
      <c r="R125" s="22"/>
      <c r="S125" s="10"/>
      <c r="T125" s="22"/>
      <c r="U125" s="22"/>
      <c r="V125" s="22"/>
      <c r="W125" s="10"/>
      <c r="X125" s="10"/>
      <c r="Y125" s="10"/>
      <c r="Z125" s="10"/>
      <c r="AA125" s="10"/>
      <c r="AB125" s="10"/>
      <c r="AC125" s="10"/>
      <c r="AD125" s="22">
        <v>10.0</v>
      </c>
      <c r="AE125" s="10"/>
      <c r="AF125" s="22">
        <v>2.0</v>
      </c>
      <c r="AG125" s="22">
        <v>2.0</v>
      </c>
      <c r="AH125" s="23">
        <f t="shared" si="3"/>
        <v>36</v>
      </c>
      <c r="AI125" s="24">
        <v>0.0</v>
      </c>
      <c r="AJ125" s="23">
        <f t="shared" si="4"/>
        <v>68</v>
      </c>
      <c r="AK125" s="23">
        <f t="shared" si="5"/>
        <v>68</v>
      </c>
      <c r="AL125" s="25">
        <f>'MASTER STOCK'!I122</f>
        <v>55000</v>
      </c>
      <c r="AM125" s="27">
        <f>'MASTER STOCK'!L122</f>
        <v>56485</v>
      </c>
      <c r="AN125" s="27">
        <f t="shared" si="6"/>
        <v>2033460</v>
      </c>
      <c r="AO125" s="26">
        <f t="shared" si="7"/>
        <v>53460</v>
      </c>
      <c r="AP125" s="114">
        <f t="shared" si="8"/>
        <v>1980000</v>
      </c>
      <c r="AQ125" s="10"/>
    </row>
    <row r="126">
      <c r="A126" s="20" t="str">
        <f>'MASTER STOCK'!F123</f>
        <v>Kapur</v>
      </c>
      <c r="B126" s="21">
        <f>'AGS 25'!AI126</f>
        <v>100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22">
        <v>1.0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23">
        <f t="shared" si="3"/>
        <v>1</v>
      </c>
      <c r="AI126" s="24">
        <v>0.0</v>
      </c>
      <c r="AJ126" s="23">
        <f t="shared" si="4"/>
        <v>99</v>
      </c>
      <c r="AK126" s="23">
        <f t="shared" si="5"/>
        <v>99</v>
      </c>
      <c r="AL126" s="25">
        <f>'MASTER STOCK'!I123</f>
        <v>17000</v>
      </c>
      <c r="AM126" s="27">
        <f>'MASTER STOCK'!L123</f>
        <v>18700</v>
      </c>
      <c r="AN126" s="27">
        <f t="shared" si="6"/>
        <v>18700</v>
      </c>
      <c r="AO126" s="26">
        <f t="shared" si="7"/>
        <v>1700</v>
      </c>
      <c r="AP126" s="114">
        <f t="shared" si="8"/>
        <v>17000</v>
      </c>
      <c r="AQ126" s="10"/>
    </row>
    <row r="127">
      <c r="A127" s="20" t="str">
        <f>'MASTER STOCK'!F124</f>
        <v>Pasir</v>
      </c>
      <c r="B127" s="21">
        <f>'AGS 25'!AI127</f>
        <v>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23">
        <f t="shared" si="3"/>
        <v>0</v>
      </c>
      <c r="AI127" s="24">
        <v>0.0</v>
      </c>
      <c r="AJ127" s="23">
        <f t="shared" si="4"/>
        <v>1</v>
      </c>
      <c r="AK127" s="23">
        <f t="shared" si="5"/>
        <v>1</v>
      </c>
      <c r="AL127" s="25">
        <f>'MASTER STOCK'!I124</f>
        <v>1000000</v>
      </c>
      <c r="AM127" s="27">
        <f>'MASTER STOCK'!L124</f>
        <v>1100000</v>
      </c>
      <c r="AN127" s="27">
        <f t="shared" si="6"/>
        <v>0</v>
      </c>
      <c r="AO127" s="26">
        <f t="shared" si="7"/>
        <v>0</v>
      </c>
      <c r="AP127" s="114">
        <f t="shared" si="8"/>
        <v>0</v>
      </c>
      <c r="AQ127" s="10"/>
    </row>
    <row r="128">
      <c r="A128" s="20" t="str">
        <f>'MASTER STOCK'!F125</f>
        <v>Stop kontak 1 lubang</v>
      </c>
      <c r="B128" s="21">
        <f>'AGS 25'!AI128</f>
        <v>5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23">
        <f t="shared" si="3"/>
        <v>0</v>
      </c>
      <c r="AI128" s="24">
        <v>0.0</v>
      </c>
      <c r="AJ128" s="23">
        <f t="shared" si="4"/>
        <v>5</v>
      </c>
      <c r="AK128" s="23">
        <f t="shared" si="5"/>
        <v>5</v>
      </c>
      <c r="AL128" s="25">
        <f>'MASTER STOCK'!I125</f>
        <v>4125</v>
      </c>
      <c r="AM128" s="27">
        <f>'MASTER STOCK'!L125</f>
        <v>416625</v>
      </c>
      <c r="AN128" s="27">
        <f t="shared" si="6"/>
        <v>0</v>
      </c>
      <c r="AO128" s="26">
        <f t="shared" si="7"/>
        <v>0</v>
      </c>
      <c r="AP128" s="114">
        <f t="shared" si="8"/>
        <v>0</v>
      </c>
      <c r="AQ128" s="10"/>
    </row>
    <row r="129">
      <c r="A129" s="20" t="str">
        <f>'MASTER STOCK'!F126</f>
        <v>Stop kontak 2 lubang</v>
      </c>
      <c r="B129" s="21">
        <f>'AGS 25'!AI129</f>
        <v>5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22">
        <v>1.0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23">
        <f t="shared" si="3"/>
        <v>1</v>
      </c>
      <c r="AI129" s="24">
        <v>0.0</v>
      </c>
      <c r="AJ129" s="23">
        <f t="shared" si="4"/>
        <v>4</v>
      </c>
      <c r="AK129" s="23">
        <f t="shared" si="5"/>
        <v>4</v>
      </c>
      <c r="AL129" s="25">
        <f>'MASTER STOCK'!I126</f>
        <v>5250</v>
      </c>
      <c r="AM129" s="27">
        <f>'MASTER STOCK'!L126</f>
        <v>8925</v>
      </c>
      <c r="AN129" s="27">
        <f t="shared" si="6"/>
        <v>8925</v>
      </c>
      <c r="AO129" s="26">
        <f t="shared" si="7"/>
        <v>3675</v>
      </c>
      <c r="AP129" s="114">
        <f t="shared" si="8"/>
        <v>5250</v>
      </c>
      <c r="AQ129" s="10"/>
    </row>
    <row r="130">
      <c r="A130" s="20" t="str">
        <f>'MASTER STOCK'!F127</f>
        <v>Stop kontak 3 lubang</v>
      </c>
      <c r="B130" s="21">
        <f>'AGS 25'!AI130</f>
        <v>5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23">
        <f t="shared" si="3"/>
        <v>0</v>
      </c>
      <c r="AI130" s="24">
        <v>0.0</v>
      </c>
      <c r="AJ130" s="23">
        <f t="shared" si="4"/>
        <v>5</v>
      </c>
      <c r="AK130" s="23">
        <f t="shared" si="5"/>
        <v>5</v>
      </c>
      <c r="AL130" s="25">
        <f>'MASTER STOCK'!I127</f>
        <v>6750</v>
      </c>
      <c r="AM130" s="27">
        <f>'MASTER STOCK'!L127</f>
        <v>14000</v>
      </c>
      <c r="AN130" s="27">
        <f t="shared" si="6"/>
        <v>0</v>
      </c>
      <c r="AO130" s="26">
        <f t="shared" si="7"/>
        <v>0</v>
      </c>
      <c r="AP130" s="114">
        <f t="shared" si="8"/>
        <v>0</v>
      </c>
      <c r="AQ130" s="10"/>
    </row>
    <row r="131">
      <c r="A131" s="20" t="str">
        <f>'MASTER STOCK'!F128</f>
        <v>Stop kontak 4 lubang</v>
      </c>
      <c r="B131" s="21">
        <f>'AGS 25'!AI131</f>
        <v>5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23">
        <f t="shared" si="3"/>
        <v>0</v>
      </c>
      <c r="AI131" s="24">
        <v>0.0</v>
      </c>
      <c r="AJ131" s="23">
        <f t="shared" si="4"/>
        <v>5</v>
      </c>
      <c r="AK131" s="23">
        <f t="shared" si="5"/>
        <v>5</v>
      </c>
      <c r="AL131" s="25">
        <f>'MASTER STOCK'!I128</f>
        <v>8100</v>
      </c>
      <c r="AM131" s="27">
        <f>'MASTER STOCK'!L128</f>
        <v>16000</v>
      </c>
      <c r="AN131" s="27">
        <f t="shared" si="6"/>
        <v>0</v>
      </c>
      <c r="AO131" s="26">
        <f t="shared" si="7"/>
        <v>0</v>
      </c>
      <c r="AP131" s="114">
        <f t="shared" si="8"/>
        <v>0</v>
      </c>
      <c r="AQ131" s="10"/>
    </row>
    <row r="132">
      <c r="A132" s="20" t="str">
        <f>'MASTER STOCK'!F129</f>
        <v>Stop kontak 5 lubang</v>
      </c>
      <c r="B132" s="21">
        <f>'AGS 25'!AI132</f>
        <v>5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23">
        <f t="shared" si="3"/>
        <v>0</v>
      </c>
      <c r="AI132" s="24">
        <v>0.0</v>
      </c>
      <c r="AJ132" s="23">
        <f t="shared" si="4"/>
        <v>5</v>
      </c>
      <c r="AK132" s="23">
        <f t="shared" si="5"/>
        <v>5</v>
      </c>
      <c r="AL132" s="25">
        <f>'MASTER STOCK'!I129</f>
        <v>9750</v>
      </c>
      <c r="AM132" s="27">
        <f>'MASTER STOCK'!L129</f>
        <v>16575</v>
      </c>
      <c r="AN132" s="27">
        <f t="shared" si="6"/>
        <v>0</v>
      </c>
      <c r="AO132" s="26">
        <f t="shared" si="7"/>
        <v>0</v>
      </c>
      <c r="AP132" s="114">
        <f t="shared" si="8"/>
        <v>0</v>
      </c>
      <c r="AQ132" s="10"/>
    </row>
    <row r="133">
      <c r="A133" s="20" t="str">
        <f>'MASTER STOCK'!F130</f>
        <v>Baterai ABC</v>
      </c>
      <c r="B133" s="21">
        <f>'AGS 25'!AI133</f>
        <v>24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23">
        <f t="shared" si="3"/>
        <v>0</v>
      </c>
      <c r="AI133" s="24">
        <v>0.0</v>
      </c>
      <c r="AJ133" s="23">
        <f t="shared" si="4"/>
        <v>24</v>
      </c>
      <c r="AK133" s="23">
        <f t="shared" si="5"/>
        <v>24</v>
      </c>
      <c r="AL133" s="25">
        <f>'MASTER STOCK'!I130</f>
        <v>2600</v>
      </c>
      <c r="AM133" s="27">
        <f>'MASTER STOCK'!L130</f>
        <v>3900</v>
      </c>
      <c r="AN133" s="27">
        <f t="shared" si="6"/>
        <v>0</v>
      </c>
      <c r="AO133" s="26">
        <f t="shared" si="7"/>
        <v>0</v>
      </c>
      <c r="AP133" s="114">
        <f t="shared" si="8"/>
        <v>0</v>
      </c>
      <c r="AQ133" s="10"/>
    </row>
    <row r="134">
      <c r="A134" s="20" t="str">
        <f>'MASTER STOCK'!F131</f>
        <v>NAIL  PAKU PAYUNG 2"</v>
      </c>
      <c r="B134" s="21">
        <f>'AGS 25'!AI134</f>
        <v>5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23">
        <f t="shared" si="3"/>
        <v>0</v>
      </c>
      <c r="AI134" s="24">
        <v>0.0</v>
      </c>
      <c r="AJ134" s="23">
        <f t="shared" si="4"/>
        <v>5</v>
      </c>
      <c r="AK134" s="23">
        <f t="shared" si="5"/>
        <v>5</v>
      </c>
      <c r="AL134" s="25">
        <f>'MASTER STOCK'!I131</f>
        <v>17500</v>
      </c>
      <c r="AM134" s="27">
        <f>'MASTER STOCK'!L131</f>
        <v>26250</v>
      </c>
      <c r="AN134" s="27">
        <f t="shared" si="6"/>
        <v>0</v>
      </c>
      <c r="AO134" s="26">
        <f t="shared" si="7"/>
        <v>0</v>
      </c>
      <c r="AP134" s="114">
        <f t="shared" si="8"/>
        <v>0</v>
      </c>
      <c r="AQ134" s="10"/>
    </row>
    <row r="135">
      <c r="A135" s="20" t="str">
        <f>'MASTER STOCK'!F132</f>
        <v>NAIL PAKU PAYUNG ULIR 3"</v>
      </c>
      <c r="B135" s="21">
        <f>'AGS 25'!AI135</f>
        <v>5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23">
        <f t="shared" si="3"/>
        <v>0</v>
      </c>
      <c r="AI135" s="24">
        <v>0.0</v>
      </c>
      <c r="AJ135" s="23">
        <f t="shared" si="4"/>
        <v>5</v>
      </c>
      <c r="AK135" s="23">
        <f t="shared" si="5"/>
        <v>5</v>
      </c>
      <c r="AL135" s="25">
        <f>'MASTER STOCK'!I132</f>
        <v>18500</v>
      </c>
      <c r="AM135" s="27">
        <f>'MASTER STOCK'!L132</f>
        <v>27750</v>
      </c>
      <c r="AN135" s="27">
        <f t="shared" si="6"/>
        <v>0</v>
      </c>
      <c r="AO135" s="26">
        <f t="shared" si="7"/>
        <v>0</v>
      </c>
      <c r="AP135" s="114">
        <f t="shared" si="8"/>
        <v>0</v>
      </c>
      <c r="AQ135" s="10"/>
    </row>
    <row r="136">
      <c r="A136" s="20" t="str">
        <f>'MASTER STOCK'!F133</f>
        <v>NAIL PAKU PAYUNG ULIR 4"</v>
      </c>
      <c r="B136" s="21">
        <f>'AGS 25'!AI136</f>
        <v>5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23">
        <f t="shared" si="3"/>
        <v>0</v>
      </c>
      <c r="AI136" s="24">
        <v>0.0</v>
      </c>
      <c r="AJ136" s="23">
        <f t="shared" si="4"/>
        <v>5</v>
      </c>
      <c r="AK136" s="23">
        <f t="shared" si="5"/>
        <v>5</v>
      </c>
      <c r="AL136" s="25">
        <f>'MASTER STOCK'!I133</f>
        <v>16500</v>
      </c>
      <c r="AM136" s="27">
        <f>'MASTER STOCK'!L133</f>
        <v>24750</v>
      </c>
      <c r="AN136" s="27">
        <f t="shared" si="6"/>
        <v>0</v>
      </c>
      <c r="AO136" s="26">
        <f t="shared" si="7"/>
        <v>0</v>
      </c>
      <c r="AP136" s="114">
        <f t="shared" si="8"/>
        <v>0</v>
      </c>
      <c r="AQ136" s="10"/>
    </row>
    <row r="137">
      <c r="A137" s="20" t="str">
        <f>'MASTER STOCK'!F134</f>
        <v>PAKU PINES </v>
      </c>
      <c r="B137" s="21">
        <f>'AGS 25'!AI137</f>
        <v>7</v>
      </c>
      <c r="C137" s="10"/>
      <c r="D137" s="10"/>
      <c r="E137" s="22"/>
      <c r="F137" s="22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23">
        <f t="shared" si="3"/>
        <v>0</v>
      </c>
      <c r="AI137" s="24">
        <v>0.0</v>
      </c>
      <c r="AJ137" s="23">
        <f t="shared" si="4"/>
        <v>7</v>
      </c>
      <c r="AK137" s="23">
        <f t="shared" si="5"/>
        <v>7</v>
      </c>
      <c r="AL137" s="25">
        <f>'MASTER STOCK'!I134</f>
        <v>1200</v>
      </c>
      <c r="AM137" s="27">
        <f>'MASTER STOCK'!L134</f>
        <v>2040</v>
      </c>
      <c r="AN137" s="27">
        <f t="shared" si="6"/>
        <v>0</v>
      </c>
      <c r="AO137" s="26">
        <f t="shared" si="7"/>
        <v>0</v>
      </c>
      <c r="AP137" s="114">
        <f t="shared" si="8"/>
        <v>0</v>
      </c>
      <c r="AQ137" s="10"/>
    </row>
    <row r="138">
      <c r="A138" s="20" t="str">
        <f>'MASTER STOCK'!F135</f>
        <v>KIKIR 3 INC</v>
      </c>
      <c r="B138" s="21">
        <f>'AGS 25'!AI138</f>
        <v>5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23">
        <f t="shared" si="3"/>
        <v>0</v>
      </c>
      <c r="AI138" s="24">
        <v>0.0</v>
      </c>
      <c r="AJ138" s="23">
        <f t="shared" si="4"/>
        <v>5</v>
      </c>
      <c r="AK138" s="23">
        <f t="shared" si="5"/>
        <v>5</v>
      </c>
      <c r="AL138" s="25">
        <f>'MASTER STOCK'!I135</f>
        <v>8000</v>
      </c>
      <c r="AM138" s="27">
        <f>'MASTER STOCK'!L135</f>
        <v>17200</v>
      </c>
      <c r="AN138" s="27">
        <f t="shared" si="6"/>
        <v>0</v>
      </c>
      <c r="AO138" s="26">
        <f t="shared" si="7"/>
        <v>0</v>
      </c>
      <c r="AP138" s="114">
        <f t="shared" si="8"/>
        <v>0</v>
      </c>
      <c r="AQ138" s="10"/>
    </row>
    <row r="139">
      <c r="A139" s="20" t="str">
        <f>'MASTER STOCK'!F136</f>
        <v>KIKIR 3.5 INC</v>
      </c>
      <c r="B139" s="21">
        <f>'AGS 25'!AI139</f>
        <v>2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23">
        <f t="shared" si="3"/>
        <v>0</v>
      </c>
      <c r="AI139" s="24">
        <v>0.0</v>
      </c>
      <c r="AJ139" s="23">
        <f t="shared" si="4"/>
        <v>2</v>
      </c>
      <c r="AK139" s="23">
        <f t="shared" si="5"/>
        <v>2</v>
      </c>
      <c r="AL139" s="25">
        <f>'MASTER STOCK'!I136</f>
        <v>7500</v>
      </c>
      <c r="AM139" s="27">
        <f>'MASTER STOCK'!L136</f>
        <v>19125</v>
      </c>
      <c r="AN139" s="27">
        <f t="shared" si="6"/>
        <v>0</v>
      </c>
      <c r="AO139" s="26">
        <f t="shared" si="7"/>
        <v>0</v>
      </c>
      <c r="AP139" s="114">
        <f t="shared" si="8"/>
        <v>0</v>
      </c>
      <c r="AQ139" s="10"/>
    </row>
    <row r="140">
      <c r="A140" s="20" t="str">
        <f>'MASTER STOCK'!F137</f>
        <v>KIKIR 4 INC</v>
      </c>
      <c r="B140" s="21">
        <f>'AGS 25'!AI140</f>
        <v>2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23">
        <f t="shared" si="3"/>
        <v>0</v>
      </c>
      <c r="AI140" s="24">
        <v>0.0</v>
      </c>
      <c r="AJ140" s="23">
        <f t="shared" si="4"/>
        <v>2</v>
      </c>
      <c r="AK140" s="23">
        <f t="shared" si="5"/>
        <v>2</v>
      </c>
      <c r="AL140" s="25">
        <f>'MASTER STOCK'!I137</f>
        <v>9000</v>
      </c>
      <c r="AM140" s="27">
        <f>'MASTER STOCK'!L137</f>
        <v>20700</v>
      </c>
      <c r="AN140" s="27">
        <f t="shared" si="6"/>
        <v>0</v>
      </c>
      <c r="AO140" s="26">
        <f t="shared" si="7"/>
        <v>0</v>
      </c>
      <c r="AP140" s="114">
        <f t="shared" si="8"/>
        <v>0</v>
      </c>
      <c r="AQ140" s="10"/>
    </row>
    <row r="141">
      <c r="A141" s="20" t="str">
        <f>'MASTER STOCK'!F138</f>
        <v>AVIAN 192 VERMILLION 25CC</v>
      </c>
      <c r="B141" s="21">
        <f>'AGS 25'!AI141</f>
        <v>5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23">
        <f t="shared" si="3"/>
        <v>0</v>
      </c>
      <c r="AI141" s="24">
        <v>0.0</v>
      </c>
      <c r="AJ141" s="23">
        <f t="shared" si="4"/>
        <v>5</v>
      </c>
      <c r="AK141" s="23">
        <f t="shared" si="5"/>
        <v>5</v>
      </c>
      <c r="AL141" s="25">
        <f>'MASTER STOCK'!I138</f>
        <v>4500</v>
      </c>
      <c r="AM141" s="27">
        <f>'MASTER STOCK'!L138</f>
        <v>5580</v>
      </c>
      <c r="AN141" s="27">
        <f t="shared" si="6"/>
        <v>0</v>
      </c>
      <c r="AO141" s="26">
        <f t="shared" si="7"/>
        <v>0</v>
      </c>
      <c r="AP141" s="114">
        <f t="shared" si="8"/>
        <v>0</v>
      </c>
      <c r="AQ141" s="10"/>
    </row>
    <row r="142">
      <c r="A142" s="20" t="str">
        <f>'MASTER STOCK'!F139</f>
        <v>AVIAN SB 25CC</v>
      </c>
      <c r="B142" s="21">
        <f>'AGS 25'!AI142</f>
        <v>5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23">
        <f t="shared" si="3"/>
        <v>0</v>
      </c>
      <c r="AI142" s="24">
        <v>0.0</v>
      </c>
      <c r="AJ142" s="23">
        <f t="shared" si="4"/>
        <v>5</v>
      </c>
      <c r="AK142" s="23">
        <f t="shared" si="5"/>
        <v>5</v>
      </c>
      <c r="AL142" s="25">
        <f>'MASTER STOCK'!I139</f>
        <v>4500</v>
      </c>
      <c r="AM142" s="27">
        <f>'MASTER STOCK'!L139</f>
        <v>5580</v>
      </c>
      <c r="AN142" s="27">
        <f t="shared" si="6"/>
        <v>0</v>
      </c>
      <c r="AO142" s="26">
        <f t="shared" si="7"/>
        <v>0</v>
      </c>
      <c r="AP142" s="114">
        <f t="shared" si="8"/>
        <v>0</v>
      </c>
      <c r="AQ142" s="10"/>
    </row>
    <row r="143">
      <c r="A143" s="20" t="str">
        <f>'MASTER STOCK'!F140</f>
        <v>AVIAN 465 MEDIUM YELLOW 25CC</v>
      </c>
      <c r="B143" s="21">
        <f>'AGS 25'!AI143</f>
        <v>5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23">
        <f t="shared" si="3"/>
        <v>0</v>
      </c>
      <c r="AI143" s="24">
        <v>0.0</v>
      </c>
      <c r="AJ143" s="23">
        <f t="shared" si="4"/>
        <v>5</v>
      </c>
      <c r="AK143" s="23">
        <f t="shared" si="5"/>
        <v>5</v>
      </c>
      <c r="AL143" s="25">
        <f>'MASTER STOCK'!I140</f>
        <v>4500</v>
      </c>
      <c r="AM143" s="27">
        <f>'MASTER STOCK'!L140</f>
        <v>5580</v>
      </c>
      <c r="AN143" s="27">
        <f t="shared" si="6"/>
        <v>0</v>
      </c>
      <c r="AO143" s="26">
        <f t="shared" si="7"/>
        <v>0</v>
      </c>
      <c r="AP143" s="114">
        <f t="shared" si="8"/>
        <v>0</v>
      </c>
      <c r="AQ143" s="10"/>
    </row>
    <row r="144">
      <c r="A144" s="20" t="str">
        <f>'MASTER STOCK'!F141</f>
        <v>AVIAN 733 OCEAN BLUE 25CC</v>
      </c>
      <c r="B144" s="21">
        <f>'AGS 25'!AI144</f>
        <v>5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23">
        <f t="shared" si="3"/>
        <v>0</v>
      </c>
      <c r="AI144" s="24">
        <v>0.0</v>
      </c>
      <c r="AJ144" s="23">
        <f t="shared" si="4"/>
        <v>5</v>
      </c>
      <c r="AK144" s="23">
        <f t="shared" si="5"/>
        <v>5</v>
      </c>
      <c r="AL144" s="25">
        <f>'MASTER STOCK'!I141</f>
        <v>4500</v>
      </c>
      <c r="AM144" s="27">
        <f>'MASTER STOCK'!L141</f>
        <v>5580</v>
      </c>
      <c r="AN144" s="27">
        <f t="shared" si="6"/>
        <v>0</v>
      </c>
      <c r="AO144" s="26">
        <f t="shared" si="7"/>
        <v>0</v>
      </c>
      <c r="AP144" s="114">
        <f t="shared" si="8"/>
        <v>0</v>
      </c>
      <c r="AQ144" s="10"/>
    </row>
    <row r="145">
      <c r="A145" s="20" t="str">
        <f>'MASTER STOCK'!F142</f>
        <v>AVIAN SW 25CC</v>
      </c>
      <c r="B145" s="21">
        <f>'AGS 25'!AI145</f>
        <v>5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23">
        <f t="shared" si="3"/>
        <v>0</v>
      </c>
      <c r="AI145" s="24">
        <v>0.0</v>
      </c>
      <c r="AJ145" s="23">
        <f t="shared" si="4"/>
        <v>5</v>
      </c>
      <c r="AK145" s="23">
        <f t="shared" si="5"/>
        <v>5</v>
      </c>
      <c r="AL145" s="25">
        <f>'MASTER STOCK'!I142</f>
        <v>4500</v>
      </c>
      <c r="AM145" s="27">
        <f>'MASTER STOCK'!L142</f>
        <v>5580</v>
      </c>
      <c r="AN145" s="27">
        <f t="shared" si="6"/>
        <v>0</v>
      </c>
      <c r="AO145" s="26">
        <f t="shared" si="7"/>
        <v>0</v>
      </c>
      <c r="AP145" s="114">
        <f t="shared" si="8"/>
        <v>0</v>
      </c>
      <c r="AQ145" s="10"/>
    </row>
    <row r="146">
      <c r="A146" s="20" t="str">
        <f>'MASTER STOCK'!F143</f>
        <v>AVIAN KAYU BESI SB</v>
      </c>
      <c r="B146" s="21">
        <f>'AGS 25'!AI146</f>
        <v>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23">
        <f t="shared" si="3"/>
        <v>0</v>
      </c>
      <c r="AI146" s="24">
        <v>0.0</v>
      </c>
      <c r="AJ146" s="23">
        <f t="shared" si="4"/>
        <v>1</v>
      </c>
      <c r="AK146" s="23">
        <f t="shared" si="5"/>
        <v>1</v>
      </c>
      <c r="AL146" s="25">
        <f>'MASTER STOCK'!I143</f>
        <v>73000</v>
      </c>
      <c r="AM146" s="27">
        <f>'MASTER STOCK'!L143</f>
        <v>76650</v>
      </c>
      <c r="AN146" s="27">
        <f t="shared" si="6"/>
        <v>0</v>
      </c>
      <c r="AO146" s="26">
        <f t="shared" si="7"/>
        <v>0</v>
      </c>
      <c r="AP146" s="114">
        <f t="shared" si="8"/>
        <v>0</v>
      </c>
      <c r="AQ146" s="10"/>
    </row>
    <row r="147">
      <c r="A147" s="20" t="str">
        <f>'MASTER STOCK'!F144</f>
        <v>AVIAN KAYU BESI 192</v>
      </c>
      <c r="B147" s="21">
        <f>'AGS 25'!AI147</f>
        <v>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23">
        <f t="shared" si="3"/>
        <v>0</v>
      </c>
      <c r="AI147" s="24">
        <v>0.0</v>
      </c>
      <c r="AJ147" s="23">
        <f t="shared" si="4"/>
        <v>1</v>
      </c>
      <c r="AK147" s="23">
        <f t="shared" si="5"/>
        <v>1</v>
      </c>
      <c r="AL147" s="25">
        <f>'MASTER STOCK'!I144</f>
        <v>73000</v>
      </c>
      <c r="AM147" s="27">
        <f>'MASTER STOCK'!L144</f>
        <v>76650</v>
      </c>
      <c r="AN147" s="27">
        <f t="shared" si="6"/>
        <v>0</v>
      </c>
      <c r="AO147" s="26">
        <f t="shared" si="7"/>
        <v>0</v>
      </c>
      <c r="AP147" s="114">
        <f t="shared" si="8"/>
        <v>0</v>
      </c>
      <c r="AQ147" s="10"/>
    </row>
    <row r="148">
      <c r="A148" s="20" t="str">
        <f>'MASTER STOCK'!F145</f>
        <v>AVIAN KAYU BESI 480</v>
      </c>
      <c r="B148" s="21">
        <f>'AGS 25'!AI148</f>
        <v>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23">
        <f t="shared" si="3"/>
        <v>0</v>
      </c>
      <c r="AI148" s="24">
        <v>0.0</v>
      </c>
      <c r="AJ148" s="23">
        <f t="shared" si="4"/>
        <v>1</v>
      </c>
      <c r="AK148" s="23">
        <f t="shared" si="5"/>
        <v>1</v>
      </c>
      <c r="AL148" s="25">
        <f>'MASTER STOCK'!I145</f>
        <v>73000</v>
      </c>
      <c r="AM148" s="27">
        <f>'MASTER STOCK'!L145</f>
        <v>76650</v>
      </c>
      <c r="AN148" s="27">
        <f t="shared" si="6"/>
        <v>0</v>
      </c>
      <c r="AO148" s="26">
        <f t="shared" si="7"/>
        <v>0</v>
      </c>
      <c r="AP148" s="114">
        <f t="shared" si="8"/>
        <v>0</v>
      </c>
      <c r="AQ148" s="10"/>
    </row>
    <row r="149">
      <c r="A149" s="20" t="str">
        <f>'MASTER STOCK'!F146</f>
        <v>AVIAN KAYU BESI SW</v>
      </c>
      <c r="B149" s="21">
        <f>'AGS 25'!AI149</f>
        <v>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23">
        <f t="shared" si="3"/>
        <v>0</v>
      </c>
      <c r="AI149" s="24">
        <v>0.0</v>
      </c>
      <c r="AJ149" s="23">
        <f t="shared" si="4"/>
        <v>1</v>
      </c>
      <c r="AK149" s="23">
        <f t="shared" si="5"/>
        <v>1</v>
      </c>
      <c r="AL149" s="25">
        <f>'MASTER STOCK'!I146</f>
        <v>73000</v>
      </c>
      <c r="AM149" s="27">
        <f>'MASTER STOCK'!L146</f>
        <v>76650</v>
      </c>
      <c r="AN149" s="27">
        <f t="shared" si="6"/>
        <v>0</v>
      </c>
      <c r="AO149" s="26">
        <f t="shared" si="7"/>
        <v>0</v>
      </c>
      <c r="AP149" s="114">
        <f t="shared" si="8"/>
        <v>0</v>
      </c>
      <c r="AQ149" s="10"/>
    </row>
    <row r="150">
      <c r="A150" s="20" t="str">
        <f>'MASTER STOCK'!F147</f>
        <v>BEE BRAND KAYU BESI 126 GREEN</v>
      </c>
      <c r="B150" s="21">
        <f>'AGS 25'!AI150</f>
        <v>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23">
        <f t="shared" si="3"/>
        <v>0</v>
      </c>
      <c r="AI150" s="24">
        <v>0.0</v>
      </c>
      <c r="AJ150" s="23">
        <f t="shared" si="4"/>
        <v>1</v>
      </c>
      <c r="AK150" s="23">
        <f t="shared" si="5"/>
        <v>1</v>
      </c>
      <c r="AL150" s="25">
        <f>'MASTER STOCK'!I147</f>
        <v>68000</v>
      </c>
      <c r="AM150" s="27">
        <f>'MASTER STOCK'!L147</f>
        <v>72760</v>
      </c>
      <c r="AN150" s="27">
        <f t="shared" si="6"/>
        <v>0</v>
      </c>
      <c r="AO150" s="26">
        <f t="shared" si="7"/>
        <v>0</v>
      </c>
      <c r="AP150" s="114">
        <f t="shared" si="8"/>
        <v>0</v>
      </c>
      <c r="AQ150" s="10"/>
    </row>
    <row r="151">
      <c r="A151" s="20" t="str">
        <f>'MASTER STOCK'!F148</f>
        <v>BEE BRAND KAYU BESI 1019 DEL FOGLIO</v>
      </c>
      <c r="B151" s="21">
        <f>'AGS 25'!AI151</f>
        <v>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23">
        <f t="shared" si="3"/>
        <v>0</v>
      </c>
      <c r="AI151" s="24">
        <v>0.0</v>
      </c>
      <c r="AJ151" s="23">
        <f t="shared" si="4"/>
        <v>1</v>
      </c>
      <c r="AK151" s="23">
        <f t="shared" si="5"/>
        <v>1</v>
      </c>
      <c r="AL151" s="25">
        <f>'MASTER STOCK'!I148</f>
        <v>68000</v>
      </c>
      <c r="AM151" s="27">
        <f>'MASTER STOCK'!L148</f>
        <v>72760</v>
      </c>
      <c r="AN151" s="27">
        <f t="shared" si="6"/>
        <v>0</v>
      </c>
      <c r="AO151" s="26">
        <f t="shared" si="7"/>
        <v>0</v>
      </c>
      <c r="AP151" s="114">
        <f t="shared" si="8"/>
        <v>0</v>
      </c>
      <c r="AQ151" s="10"/>
    </row>
    <row r="152">
      <c r="A152" s="20" t="str">
        <f>'MASTER STOCK'!F149</f>
        <v>BEE BRAND KAYU BESI 115 SILVER</v>
      </c>
      <c r="B152" s="21">
        <f>'AGS 25'!AI152</f>
        <v>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23">
        <f t="shared" si="3"/>
        <v>0</v>
      </c>
      <c r="AI152" s="24">
        <v>0.0</v>
      </c>
      <c r="AJ152" s="23">
        <f t="shared" si="4"/>
        <v>1</v>
      </c>
      <c r="AK152" s="23">
        <f t="shared" si="5"/>
        <v>1</v>
      </c>
      <c r="AL152" s="25">
        <f>'MASTER STOCK'!I149</f>
        <v>68000</v>
      </c>
      <c r="AM152" s="27">
        <f>'MASTER STOCK'!L149</f>
        <v>72760</v>
      </c>
      <c r="AN152" s="27">
        <f t="shared" si="6"/>
        <v>0</v>
      </c>
      <c r="AO152" s="26">
        <f t="shared" si="7"/>
        <v>0</v>
      </c>
      <c r="AP152" s="114">
        <f t="shared" si="8"/>
        <v>0</v>
      </c>
      <c r="AQ152" s="10"/>
    </row>
    <row r="153">
      <c r="A153" s="20" t="str">
        <f>'MASTER STOCK'!F150</f>
        <v>PARAGON TEMBOK SW 5KG</v>
      </c>
      <c r="B153" s="21">
        <f>'AGS 25'!AI153</f>
        <v>2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23">
        <f t="shared" si="3"/>
        <v>0</v>
      </c>
      <c r="AI153" s="24">
        <v>0.0</v>
      </c>
      <c r="AJ153" s="23">
        <f t="shared" si="4"/>
        <v>2</v>
      </c>
      <c r="AK153" s="23">
        <f t="shared" si="5"/>
        <v>2</v>
      </c>
      <c r="AL153" s="25">
        <f>'MASTER STOCK'!I150</f>
        <v>122500</v>
      </c>
      <c r="AM153" s="27">
        <f>'MASTER STOCK'!L150</f>
        <v>134750</v>
      </c>
      <c r="AN153" s="27">
        <f t="shared" si="6"/>
        <v>0</v>
      </c>
      <c r="AO153" s="26">
        <f t="shared" si="7"/>
        <v>0</v>
      </c>
      <c r="AP153" s="114">
        <f t="shared" si="8"/>
        <v>0</v>
      </c>
      <c r="AQ153" s="10"/>
    </row>
    <row r="154">
      <c r="A154" s="20" t="str">
        <f>'MASTER STOCK'!F151</f>
        <v>PARAGON TEMBOK SW 1KG</v>
      </c>
      <c r="B154" s="21">
        <f>'AGS 25'!AI154</f>
        <v>4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23">
        <f t="shared" si="3"/>
        <v>0</v>
      </c>
      <c r="AI154" s="24">
        <v>0.0</v>
      </c>
      <c r="AJ154" s="23">
        <f t="shared" si="4"/>
        <v>4</v>
      </c>
      <c r="AK154" s="23">
        <f t="shared" si="5"/>
        <v>4</v>
      </c>
      <c r="AL154" s="25">
        <f>'MASTER STOCK'!I151</f>
        <v>32500</v>
      </c>
      <c r="AM154" s="27">
        <f>'MASTER STOCK'!L151</f>
        <v>35750</v>
      </c>
      <c r="AN154" s="27">
        <f t="shared" si="6"/>
        <v>0</v>
      </c>
      <c r="AO154" s="26">
        <f t="shared" si="7"/>
        <v>0</v>
      </c>
      <c r="AP154" s="114">
        <f t="shared" si="8"/>
        <v>0</v>
      </c>
      <c r="AQ154" s="10"/>
    </row>
    <row r="155">
      <c r="A155" s="20" t="str">
        <f>'MASTER STOCK'!F152</f>
        <v>NODROP TEMBOK ABU-ABU 602 1KG</v>
      </c>
      <c r="B155" s="21">
        <f>'AGS 25'!AI155</f>
        <v>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23">
        <f t="shared" si="3"/>
        <v>0</v>
      </c>
      <c r="AI155" s="24">
        <v>0.0</v>
      </c>
      <c r="AJ155" s="23">
        <f t="shared" si="4"/>
        <v>4</v>
      </c>
      <c r="AK155" s="23">
        <f t="shared" si="5"/>
        <v>4</v>
      </c>
      <c r="AL155" s="25">
        <f>'MASTER STOCK'!I152</f>
        <v>53500</v>
      </c>
      <c r="AM155" s="27">
        <f>'MASTER STOCK'!L152</f>
        <v>58850</v>
      </c>
      <c r="AN155" s="27">
        <f t="shared" si="6"/>
        <v>0</v>
      </c>
      <c r="AO155" s="26">
        <f t="shared" si="7"/>
        <v>0</v>
      </c>
      <c r="AP155" s="114">
        <f t="shared" si="8"/>
        <v>0</v>
      </c>
      <c r="AQ155" s="10"/>
    </row>
    <row r="156">
      <c r="A156" s="20" t="str">
        <f>'MASTER STOCK'!F153</f>
        <v>AVITEX TEMBOK 710 BLUE</v>
      </c>
      <c r="B156" s="21">
        <f>'AGS 25'!AI156</f>
        <v>2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23">
        <f t="shared" si="3"/>
        <v>0</v>
      </c>
      <c r="AI156" s="24">
        <v>0.0</v>
      </c>
      <c r="AJ156" s="23">
        <f t="shared" si="4"/>
        <v>2</v>
      </c>
      <c r="AK156" s="23">
        <f t="shared" si="5"/>
        <v>2</v>
      </c>
      <c r="AL156" s="25">
        <f>'MASTER STOCK'!I153</f>
        <v>35500</v>
      </c>
      <c r="AM156" s="27">
        <f>'MASTER STOCK'!L153</f>
        <v>39050</v>
      </c>
      <c r="AN156" s="27">
        <f t="shared" si="6"/>
        <v>0</v>
      </c>
      <c r="AO156" s="26">
        <f t="shared" si="7"/>
        <v>0</v>
      </c>
      <c r="AP156" s="114">
        <f t="shared" si="8"/>
        <v>0</v>
      </c>
      <c r="AQ156" s="10"/>
    </row>
    <row r="157">
      <c r="A157" s="20" t="str">
        <f>'MASTER STOCK'!F154</f>
        <v>AVITEX TEMBOK 770 GREEN</v>
      </c>
      <c r="B157" s="21">
        <f>'AGS 25'!AI157</f>
        <v>2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23">
        <f t="shared" si="3"/>
        <v>0</v>
      </c>
      <c r="AI157" s="24">
        <v>0.0</v>
      </c>
      <c r="AJ157" s="23">
        <f t="shared" si="4"/>
        <v>2</v>
      </c>
      <c r="AK157" s="23">
        <f t="shared" si="5"/>
        <v>2</v>
      </c>
      <c r="AL157" s="25">
        <f>'MASTER STOCK'!I154</f>
        <v>35500</v>
      </c>
      <c r="AM157" s="27">
        <f>'MASTER STOCK'!L154</f>
        <v>39050</v>
      </c>
      <c r="AN157" s="27">
        <f t="shared" si="6"/>
        <v>0</v>
      </c>
      <c r="AO157" s="26">
        <f t="shared" si="7"/>
        <v>0</v>
      </c>
      <c r="AP157" s="114">
        <f t="shared" si="8"/>
        <v>0</v>
      </c>
      <c r="AQ157" s="10"/>
    </row>
    <row r="158">
      <c r="A158" s="20" t="str">
        <f>'MASTER STOCK'!F155</f>
        <v>AVITEX TEMBOK 750 YELLOW</v>
      </c>
      <c r="B158" s="21">
        <f>'AGS 25'!AI158</f>
        <v>2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23">
        <f t="shared" si="3"/>
        <v>0</v>
      </c>
      <c r="AI158" s="24">
        <v>0.0</v>
      </c>
      <c r="AJ158" s="23">
        <f t="shared" si="4"/>
        <v>2</v>
      </c>
      <c r="AK158" s="23">
        <f t="shared" si="5"/>
        <v>2</v>
      </c>
      <c r="AL158" s="25">
        <f>'MASTER STOCK'!I155</f>
        <v>35500</v>
      </c>
      <c r="AM158" s="27">
        <f>'MASTER STOCK'!L155</f>
        <v>39050</v>
      </c>
      <c r="AN158" s="27">
        <f t="shared" si="6"/>
        <v>0</v>
      </c>
      <c r="AO158" s="26">
        <f t="shared" si="7"/>
        <v>0</v>
      </c>
      <c r="AP158" s="114">
        <f t="shared" si="8"/>
        <v>0</v>
      </c>
      <c r="AQ158" s="10"/>
    </row>
    <row r="159">
      <c r="A159" s="20" t="str">
        <f>'MASTER STOCK'!F156</f>
        <v>AVITEX TEMBOK 831 CREAM</v>
      </c>
      <c r="B159" s="21">
        <f>'AGS 25'!AI159</f>
        <v>2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23">
        <f t="shared" si="3"/>
        <v>0</v>
      </c>
      <c r="AI159" s="24">
        <v>0.0</v>
      </c>
      <c r="AJ159" s="23">
        <f t="shared" si="4"/>
        <v>2</v>
      </c>
      <c r="AK159" s="23">
        <f t="shared" si="5"/>
        <v>2</v>
      </c>
      <c r="AL159" s="25">
        <f>'MASTER STOCK'!I156</f>
        <v>35500</v>
      </c>
      <c r="AM159" s="27">
        <f>'MASTER STOCK'!L156</f>
        <v>39050</v>
      </c>
      <c r="AN159" s="27">
        <f t="shared" si="6"/>
        <v>0</v>
      </c>
      <c r="AO159" s="26">
        <f t="shared" si="7"/>
        <v>0</v>
      </c>
      <c r="AP159" s="114">
        <f t="shared" si="8"/>
        <v>0</v>
      </c>
      <c r="AQ159" s="10"/>
    </row>
    <row r="160">
      <c r="A160" s="20" t="str">
        <f>'MASTER STOCK'!F157</f>
        <v>AVITEX TEMBOK SB</v>
      </c>
      <c r="B160" s="21">
        <f>'AGS 25'!AI160</f>
        <v>2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23">
        <f t="shared" si="3"/>
        <v>0</v>
      </c>
      <c r="AI160" s="24">
        <v>0.0</v>
      </c>
      <c r="AJ160" s="23">
        <f t="shared" si="4"/>
        <v>2</v>
      </c>
      <c r="AK160" s="23">
        <f t="shared" si="5"/>
        <v>2</v>
      </c>
      <c r="AL160" s="25">
        <f>'MASTER STOCK'!I157</f>
        <v>35500</v>
      </c>
      <c r="AM160" s="27">
        <f>'MASTER STOCK'!L157</f>
        <v>39050</v>
      </c>
      <c r="AN160" s="27">
        <f t="shared" si="6"/>
        <v>0</v>
      </c>
      <c r="AO160" s="26">
        <f t="shared" si="7"/>
        <v>0</v>
      </c>
      <c r="AP160" s="114">
        <f t="shared" si="8"/>
        <v>0</v>
      </c>
      <c r="AQ160" s="10"/>
    </row>
    <row r="161">
      <c r="A161" s="29" t="str">
        <f>'MASTER STOCK'!F158</f>
        <v>knee 1/2 dim</v>
      </c>
      <c r="B161" s="30">
        <f>'AGS 25'!AI161</f>
        <v>46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23">
        <f t="shared" si="3"/>
        <v>0</v>
      </c>
      <c r="AI161" s="24">
        <v>0.0</v>
      </c>
      <c r="AJ161" s="32">
        <f t="shared" si="4"/>
        <v>46</v>
      </c>
      <c r="AK161" s="32">
        <f t="shared" si="5"/>
        <v>46</v>
      </c>
      <c r="AL161" s="25">
        <f>'MASTER STOCK'!I158</f>
        <v>2500</v>
      </c>
      <c r="AM161" s="27">
        <f>'MASTER STOCK'!L158</f>
        <v>2500</v>
      </c>
      <c r="AN161" s="27">
        <f t="shared" si="6"/>
        <v>0</v>
      </c>
      <c r="AO161" s="26">
        <f t="shared" si="7"/>
        <v>0</v>
      </c>
      <c r="AP161" s="114">
        <f t="shared" si="8"/>
        <v>0</v>
      </c>
      <c r="AQ161" s="10"/>
    </row>
    <row r="162">
      <c r="A162" s="29" t="str">
        <f>'MASTER STOCK'!F159</f>
        <v>knee 3/4 dim</v>
      </c>
      <c r="B162" s="30">
        <f>'AGS 25'!AI162</f>
        <v>38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22">
        <v>2.0</v>
      </c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23">
        <f t="shared" si="3"/>
        <v>2</v>
      </c>
      <c r="AI162" s="24">
        <v>0.0</v>
      </c>
      <c r="AJ162" s="32">
        <f t="shared" si="4"/>
        <v>36</v>
      </c>
      <c r="AK162" s="32">
        <f t="shared" si="5"/>
        <v>36</v>
      </c>
      <c r="AL162" s="25">
        <f>'MASTER STOCK'!I159</f>
        <v>3500</v>
      </c>
      <c r="AM162" s="27">
        <f>'MASTER STOCK'!L159</f>
        <v>3500</v>
      </c>
      <c r="AN162" s="27">
        <f t="shared" si="6"/>
        <v>7000</v>
      </c>
      <c r="AO162" s="26">
        <f t="shared" si="7"/>
        <v>0</v>
      </c>
      <c r="AP162" s="114">
        <f t="shared" si="8"/>
        <v>7000</v>
      </c>
      <c r="AQ162" s="10"/>
    </row>
    <row r="163">
      <c r="A163" s="29" t="str">
        <f>'MASTER STOCK'!F160</f>
        <v>knee drat dalam 3/4 dim</v>
      </c>
      <c r="B163" s="30">
        <f>'AGS 25'!AI163</f>
        <v>8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23">
        <f t="shared" si="3"/>
        <v>0</v>
      </c>
      <c r="AI163" s="24">
        <v>0.0</v>
      </c>
      <c r="AJ163" s="32">
        <f t="shared" si="4"/>
        <v>8</v>
      </c>
      <c r="AK163" s="32">
        <f t="shared" si="5"/>
        <v>8</v>
      </c>
      <c r="AL163" s="25">
        <f>'MASTER STOCK'!I160</f>
        <v>4500</v>
      </c>
      <c r="AM163" s="27">
        <f>'MASTER STOCK'!L160</f>
        <v>4500</v>
      </c>
      <c r="AN163" s="27">
        <f t="shared" si="6"/>
        <v>0</v>
      </c>
      <c r="AO163" s="26">
        <f t="shared" si="7"/>
        <v>0</v>
      </c>
      <c r="AP163" s="114">
        <f t="shared" si="8"/>
        <v>0</v>
      </c>
      <c r="AQ163" s="10"/>
    </row>
    <row r="164">
      <c r="A164" s="29" t="str">
        <f>'MASTER STOCK'!F161</f>
        <v>paku 1 1/2</v>
      </c>
      <c r="B164" s="30">
        <f>'AGS 25'!AI164</f>
        <v>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23">
        <f t="shared" si="3"/>
        <v>0</v>
      </c>
      <c r="AI164" s="24">
        <v>0.0</v>
      </c>
      <c r="AJ164" s="32">
        <f t="shared" si="4"/>
        <v>1</v>
      </c>
      <c r="AK164" s="32">
        <f t="shared" si="5"/>
        <v>1</v>
      </c>
      <c r="AL164" s="25">
        <f>'MASTER STOCK'!I161</f>
        <v>25000</v>
      </c>
      <c r="AM164" s="27">
        <f>'MASTER STOCK'!L161</f>
        <v>25000</v>
      </c>
      <c r="AN164" s="27">
        <f t="shared" si="6"/>
        <v>0</v>
      </c>
      <c r="AO164" s="26">
        <f t="shared" si="7"/>
        <v>0</v>
      </c>
      <c r="AP164" s="114">
        <f t="shared" si="8"/>
        <v>0</v>
      </c>
      <c r="AQ164" s="10"/>
    </row>
    <row r="165">
      <c r="A165" s="29" t="str">
        <f>'MASTER STOCK'!F162</f>
        <v>paku 3/4</v>
      </c>
      <c r="B165" s="30">
        <f>'AGS 25'!AI165</f>
        <v>1</v>
      </c>
      <c r="C165" s="10"/>
      <c r="D165" s="22"/>
      <c r="E165" s="10"/>
      <c r="F165" s="10"/>
      <c r="G165" s="10"/>
      <c r="H165" s="22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23">
        <f t="shared" si="3"/>
        <v>0</v>
      </c>
      <c r="AI165" s="24">
        <v>0.0</v>
      </c>
      <c r="AJ165" s="32">
        <f t="shared" si="4"/>
        <v>1</v>
      </c>
      <c r="AK165" s="32">
        <f t="shared" si="5"/>
        <v>1</v>
      </c>
      <c r="AL165" s="25">
        <f>'MASTER STOCK'!I162</f>
        <v>25000</v>
      </c>
      <c r="AM165" s="27">
        <f>'MASTER STOCK'!L162</f>
        <v>25000</v>
      </c>
      <c r="AN165" s="27">
        <f t="shared" si="6"/>
        <v>0</v>
      </c>
      <c r="AO165" s="26">
        <f t="shared" si="7"/>
        <v>0</v>
      </c>
      <c r="AP165" s="114">
        <f t="shared" si="8"/>
        <v>0</v>
      </c>
      <c r="AQ165" s="10"/>
    </row>
    <row r="166">
      <c r="A166" s="29" t="str">
        <f>'MASTER STOCK'!F163</f>
        <v>t  1/2 dim</v>
      </c>
      <c r="B166" s="30">
        <f>'AGS 25'!AI166</f>
        <v>9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23">
        <f t="shared" si="3"/>
        <v>0</v>
      </c>
      <c r="AI166" s="24">
        <v>0.0</v>
      </c>
      <c r="AJ166" s="32">
        <f t="shared" si="4"/>
        <v>9</v>
      </c>
      <c r="AK166" s="32">
        <f t="shared" si="5"/>
        <v>9</v>
      </c>
      <c r="AL166" s="25">
        <f>'MASTER STOCK'!I163</f>
        <v>2500</v>
      </c>
      <c r="AM166" s="27">
        <f>'MASTER STOCK'!L163</f>
        <v>2500</v>
      </c>
      <c r="AN166" s="27">
        <f t="shared" si="6"/>
        <v>0</v>
      </c>
      <c r="AO166" s="26">
        <f t="shared" si="7"/>
        <v>0</v>
      </c>
      <c r="AP166" s="114">
        <f t="shared" si="8"/>
        <v>0</v>
      </c>
      <c r="AQ166" s="10"/>
    </row>
    <row r="167">
      <c r="A167" s="29" t="str">
        <f>'MASTER STOCK'!F164</f>
        <v>knee 1 dim</v>
      </c>
      <c r="B167" s="30">
        <f>'AGS 25'!AI167</f>
        <v>18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23">
        <f t="shared" si="3"/>
        <v>0</v>
      </c>
      <c r="AI167" s="24">
        <v>0.0</v>
      </c>
      <c r="AJ167" s="32">
        <f t="shared" si="4"/>
        <v>18</v>
      </c>
      <c r="AK167" s="32">
        <f t="shared" si="5"/>
        <v>18</v>
      </c>
      <c r="AL167" s="25">
        <f>'MASTER STOCK'!I164</f>
        <v>4000</v>
      </c>
      <c r="AM167" s="27">
        <f>'MASTER STOCK'!L164</f>
        <v>4000</v>
      </c>
      <c r="AN167" s="27">
        <f t="shared" si="6"/>
        <v>0</v>
      </c>
      <c r="AO167" s="26">
        <f t="shared" si="7"/>
        <v>0</v>
      </c>
      <c r="AP167" s="114">
        <f t="shared" si="8"/>
        <v>0</v>
      </c>
      <c r="AQ167" s="10"/>
    </row>
    <row r="168">
      <c r="A168" s="29" t="str">
        <f>'MASTER STOCK'!F165</f>
        <v>t 1/2 dim</v>
      </c>
      <c r="B168" s="30">
        <f>'AGS 25'!AI168</f>
        <v>15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23">
        <f t="shared" si="3"/>
        <v>0</v>
      </c>
      <c r="AI168" s="24">
        <v>0.0</v>
      </c>
      <c r="AJ168" s="32">
        <f t="shared" si="4"/>
        <v>15</v>
      </c>
      <c r="AK168" s="32">
        <f t="shared" si="5"/>
        <v>15</v>
      </c>
      <c r="AL168" s="25">
        <f>'MASTER STOCK'!I165</f>
        <v>2500</v>
      </c>
      <c r="AM168" s="27">
        <f>'MASTER STOCK'!L165</f>
        <v>2500</v>
      </c>
      <c r="AN168" s="27">
        <f t="shared" si="6"/>
        <v>0</v>
      </c>
      <c r="AO168" s="26">
        <f t="shared" si="7"/>
        <v>0</v>
      </c>
      <c r="AP168" s="114">
        <f t="shared" si="8"/>
        <v>0</v>
      </c>
      <c r="AQ168" s="10"/>
    </row>
    <row r="169">
      <c r="A169" s="29" t="str">
        <f>'MASTER STOCK'!F166</f>
        <v>t 1/4 dim</v>
      </c>
      <c r="B169" s="30">
        <f>'AGS 25'!AI169</f>
        <v>5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23">
        <f t="shared" si="3"/>
        <v>0</v>
      </c>
      <c r="AI169" s="24">
        <v>0.0</v>
      </c>
      <c r="AJ169" s="32">
        <f t="shared" si="4"/>
        <v>5</v>
      </c>
      <c r="AK169" s="32">
        <f t="shared" si="5"/>
        <v>5</v>
      </c>
      <c r="AL169" s="25">
        <f>'MASTER STOCK'!I166</f>
        <v>2500</v>
      </c>
      <c r="AM169" s="27">
        <f>'MASTER STOCK'!L166</f>
        <v>2500</v>
      </c>
      <c r="AN169" s="27">
        <f t="shared" si="6"/>
        <v>0</v>
      </c>
      <c r="AO169" s="26">
        <f t="shared" si="7"/>
        <v>0</v>
      </c>
      <c r="AP169" s="114">
        <f t="shared" si="8"/>
        <v>0</v>
      </c>
      <c r="AQ169" s="10"/>
    </row>
    <row r="170">
      <c r="A170" s="29" t="str">
        <f>'MASTER STOCK'!F167</f>
        <v>t 2 dim</v>
      </c>
      <c r="B170" s="30">
        <f>'AGS 25'!AI170</f>
        <v>24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23">
        <f t="shared" si="3"/>
        <v>0</v>
      </c>
      <c r="AI170" s="24">
        <v>0.0</v>
      </c>
      <c r="AJ170" s="32">
        <f t="shared" si="4"/>
        <v>24</v>
      </c>
      <c r="AK170" s="32">
        <f t="shared" si="5"/>
        <v>24</v>
      </c>
      <c r="AL170" s="25">
        <f>'MASTER STOCK'!I167</f>
        <v>5000</v>
      </c>
      <c r="AM170" s="27">
        <f>'MASTER STOCK'!L167</f>
        <v>5000</v>
      </c>
      <c r="AN170" s="27">
        <f t="shared" si="6"/>
        <v>0</v>
      </c>
      <c r="AO170" s="26">
        <f t="shared" si="7"/>
        <v>0</v>
      </c>
      <c r="AP170" s="114">
        <f t="shared" si="8"/>
        <v>0</v>
      </c>
      <c r="AQ170" s="10"/>
    </row>
    <row r="171">
      <c r="A171" s="29" t="str">
        <f>'MASTER STOCK'!F168</f>
        <v>t 3/4 dim</v>
      </c>
      <c r="B171" s="30">
        <f>'AGS 25'!AI171</f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23">
        <f t="shared" si="3"/>
        <v>0</v>
      </c>
      <c r="AI171" s="24">
        <v>0.0</v>
      </c>
      <c r="AJ171" s="32">
        <f t="shared" si="4"/>
        <v>11</v>
      </c>
      <c r="AK171" s="32">
        <f t="shared" si="5"/>
        <v>11</v>
      </c>
      <c r="AL171" s="25">
        <f>'MASTER STOCK'!I168</f>
        <v>3500</v>
      </c>
      <c r="AM171" s="27">
        <f>'MASTER STOCK'!L168</f>
        <v>3500</v>
      </c>
      <c r="AN171" s="27">
        <f t="shared" si="6"/>
        <v>0</v>
      </c>
      <c r="AO171" s="26">
        <f t="shared" si="7"/>
        <v>0</v>
      </c>
      <c r="AP171" s="114">
        <f t="shared" si="8"/>
        <v>0</v>
      </c>
      <c r="AQ171" s="10"/>
    </row>
    <row r="172">
      <c r="A172" s="29" t="str">
        <f>'MASTER STOCK'!F169</f>
        <v>knee 1 1/2</v>
      </c>
      <c r="B172" s="30">
        <f>'AGS 25'!AI172</f>
        <v>10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23">
        <f t="shared" si="3"/>
        <v>0</v>
      </c>
      <c r="AI172" s="24">
        <v>0.0</v>
      </c>
      <c r="AJ172" s="32">
        <f t="shared" si="4"/>
        <v>10</v>
      </c>
      <c r="AK172" s="32">
        <f t="shared" si="5"/>
        <v>10</v>
      </c>
      <c r="AL172" s="25">
        <f>'MASTER STOCK'!I169</f>
        <v>4500</v>
      </c>
      <c r="AM172" s="27">
        <f>'MASTER STOCK'!L169</f>
        <v>4500</v>
      </c>
      <c r="AN172" s="27">
        <f t="shared" si="6"/>
        <v>0</v>
      </c>
      <c r="AO172" s="26">
        <f t="shared" si="7"/>
        <v>0</v>
      </c>
      <c r="AP172" s="114">
        <f t="shared" si="8"/>
        <v>0</v>
      </c>
      <c r="AQ172" s="10"/>
    </row>
    <row r="173">
      <c r="A173" s="29" t="str">
        <f>'MASTER STOCK'!F170</f>
        <v>t drat dalam 1/2 dim</v>
      </c>
      <c r="B173" s="30">
        <f>'AGS 25'!AI173</f>
        <v>10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23">
        <f t="shared" si="3"/>
        <v>0</v>
      </c>
      <c r="AI173" s="24">
        <v>0.0</v>
      </c>
      <c r="AJ173" s="32">
        <f t="shared" si="4"/>
        <v>10</v>
      </c>
      <c r="AK173" s="32">
        <f t="shared" si="5"/>
        <v>10</v>
      </c>
      <c r="AL173" s="25">
        <f>'MASTER STOCK'!I170</f>
        <v>3000</v>
      </c>
      <c r="AM173" s="27">
        <f>'MASTER STOCK'!L170</f>
        <v>3000</v>
      </c>
      <c r="AN173" s="27">
        <f t="shared" si="6"/>
        <v>0</v>
      </c>
      <c r="AO173" s="26">
        <f t="shared" si="7"/>
        <v>0</v>
      </c>
      <c r="AP173" s="114">
        <f t="shared" si="8"/>
        <v>0</v>
      </c>
      <c r="AQ173" s="10"/>
    </row>
    <row r="174">
      <c r="A174" s="29" t="str">
        <f>'MASTER STOCK'!F171</f>
        <v>t drat dalam 3/4</v>
      </c>
      <c r="B174" s="30">
        <f>'AGS 25'!AI174</f>
        <v>7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23">
        <f t="shared" si="3"/>
        <v>0</v>
      </c>
      <c r="AI174" s="24">
        <v>0.0</v>
      </c>
      <c r="AJ174" s="32">
        <f t="shared" si="4"/>
        <v>7</v>
      </c>
      <c r="AK174" s="32">
        <f t="shared" si="5"/>
        <v>7</v>
      </c>
      <c r="AL174" s="25">
        <f>'MASTER STOCK'!I171</f>
        <v>4000</v>
      </c>
      <c r="AM174" s="27">
        <f>'MASTER STOCK'!L171</f>
        <v>4000</v>
      </c>
      <c r="AN174" s="27">
        <f t="shared" si="6"/>
        <v>0</v>
      </c>
      <c r="AO174" s="26">
        <f t="shared" si="7"/>
        <v>0</v>
      </c>
      <c r="AP174" s="114">
        <f t="shared" si="8"/>
        <v>0</v>
      </c>
      <c r="AQ174" s="10"/>
    </row>
    <row r="175">
      <c r="A175" s="29" t="str">
        <f>'MASTER STOCK'!F172</f>
        <v>sok darat luar 1/2</v>
      </c>
      <c r="B175" s="30">
        <f>'AGS 25'!AI175</f>
        <v>12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23">
        <f t="shared" si="3"/>
        <v>0</v>
      </c>
      <c r="AI175" s="24">
        <v>0.0</v>
      </c>
      <c r="AJ175" s="32">
        <f t="shared" si="4"/>
        <v>12</v>
      </c>
      <c r="AK175" s="32">
        <f t="shared" si="5"/>
        <v>12</v>
      </c>
      <c r="AL175" s="25">
        <f>'MASTER STOCK'!I172</f>
        <v>2500</v>
      </c>
      <c r="AM175" s="27">
        <f>'MASTER STOCK'!L172</f>
        <v>2500</v>
      </c>
      <c r="AN175" s="27">
        <f t="shared" si="6"/>
        <v>0</v>
      </c>
      <c r="AO175" s="26">
        <f t="shared" si="7"/>
        <v>0</v>
      </c>
      <c r="AP175" s="114">
        <f t="shared" si="8"/>
        <v>0</v>
      </c>
      <c r="AQ175" s="10"/>
    </row>
    <row r="176">
      <c r="A176" s="29" t="str">
        <f>'MASTER STOCK'!F173</f>
        <v>knee 1 1/4</v>
      </c>
      <c r="B176" s="30">
        <f>'AGS 25'!AI176</f>
        <v>13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23">
        <f t="shared" si="3"/>
        <v>0</v>
      </c>
      <c r="AI176" s="24">
        <v>0.0</v>
      </c>
      <c r="AJ176" s="32">
        <f t="shared" si="4"/>
        <v>13</v>
      </c>
      <c r="AK176" s="32">
        <f t="shared" si="5"/>
        <v>13</v>
      </c>
      <c r="AL176" s="25">
        <f>'MASTER STOCK'!I173</f>
        <v>3500</v>
      </c>
      <c r="AM176" s="27">
        <f>'MASTER STOCK'!L173</f>
        <v>3500</v>
      </c>
      <c r="AN176" s="27">
        <f t="shared" si="6"/>
        <v>0</v>
      </c>
      <c r="AO176" s="26">
        <f t="shared" si="7"/>
        <v>0</v>
      </c>
      <c r="AP176" s="114">
        <f t="shared" si="8"/>
        <v>0</v>
      </c>
      <c r="AQ176" s="10"/>
    </row>
    <row r="177">
      <c r="A177" s="29" t="str">
        <f>'MASTER STOCK'!F174</f>
        <v>sok drat dalam 1/2</v>
      </c>
      <c r="B177" s="30">
        <f>'AGS 25'!AI177</f>
        <v>320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23">
        <f t="shared" si="3"/>
        <v>0</v>
      </c>
      <c r="AI177" s="24">
        <v>0.0</v>
      </c>
      <c r="AJ177" s="32">
        <f t="shared" si="4"/>
        <v>320</v>
      </c>
      <c r="AK177" s="32">
        <f t="shared" si="5"/>
        <v>320</v>
      </c>
      <c r="AL177" s="25">
        <f>'MASTER STOCK'!I174</f>
        <v>930</v>
      </c>
      <c r="AM177" s="27">
        <f>'MASTER STOCK'!L174</f>
        <v>2500</v>
      </c>
      <c r="AN177" s="27">
        <f t="shared" si="6"/>
        <v>0</v>
      </c>
      <c r="AO177" s="26">
        <f t="shared" si="7"/>
        <v>0</v>
      </c>
      <c r="AP177" s="114">
        <f t="shared" si="8"/>
        <v>0</v>
      </c>
      <c r="AQ177" s="10"/>
    </row>
    <row r="178">
      <c r="A178" s="29" t="str">
        <f>'MASTER STOCK'!F175</f>
        <v>sok 1/2</v>
      </c>
      <c r="B178" s="30">
        <f>'AGS 25'!AI178</f>
        <v>350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23">
        <f t="shared" si="3"/>
        <v>0</v>
      </c>
      <c r="AI178" s="24">
        <v>0.0</v>
      </c>
      <c r="AJ178" s="32">
        <f t="shared" si="4"/>
        <v>350</v>
      </c>
      <c r="AK178" s="32">
        <f t="shared" si="5"/>
        <v>350</v>
      </c>
      <c r="AL178" s="25">
        <f>'MASTER STOCK'!I175</f>
        <v>622</v>
      </c>
      <c r="AM178" s="27">
        <f>'MASTER STOCK'!L175</f>
        <v>2000</v>
      </c>
      <c r="AN178" s="27">
        <f t="shared" si="6"/>
        <v>0</v>
      </c>
      <c r="AO178" s="26">
        <f t="shared" si="7"/>
        <v>0</v>
      </c>
      <c r="AP178" s="114">
        <f t="shared" si="8"/>
        <v>0</v>
      </c>
      <c r="AQ178" s="10"/>
    </row>
    <row r="179">
      <c r="A179" s="29" t="str">
        <f>'MASTER STOCK'!F176</f>
        <v>sok 3/4</v>
      </c>
      <c r="B179" s="30">
        <f>'AGS 25'!AI179</f>
        <v>350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22">
        <v>2.0</v>
      </c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22">
        <v>3.0</v>
      </c>
      <c r="AG179" s="22">
        <v>3.0</v>
      </c>
      <c r="AH179" s="23">
        <f t="shared" si="3"/>
        <v>8</v>
      </c>
      <c r="AI179" s="24">
        <v>0.0</v>
      </c>
      <c r="AJ179" s="32">
        <f t="shared" si="4"/>
        <v>342</v>
      </c>
      <c r="AK179" s="32">
        <f t="shared" si="5"/>
        <v>342</v>
      </c>
      <c r="AL179" s="25">
        <f>'MASTER STOCK'!I176</f>
        <v>835</v>
      </c>
      <c r="AM179" s="27">
        <f>'MASTER STOCK'!L176</f>
        <v>3000</v>
      </c>
      <c r="AN179" s="27">
        <f t="shared" si="6"/>
        <v>24000</v>
      </c>
      <c r="AO179" s="26">
        <f t="shared" si="7"/>
        <v>17320</v>
      </c>
      <c r="AP179" s="114">
        <f t="shared" si="8"/>
        <v>6680</v>
      </c>
      <c r="AQ179" s="10"/>
    </row>
    <row r="180">
      <c r="A180" s="29" t="str">
        <f>'MASTER STOCK'!F177</f>
        <v>sok 1 1/2</v>
      </c>
      <c r="B180" s="30">
        <f>'AGS 25'!AI180</f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23">
        <f t="shared" si="3"/>
        <v>0</v>
      </c>
      <c r="AI180" s="24">
        <v>0.0</v>
      </c>
      <c r="AJ180" s="32">
        <f t="shared" si="4"/>
        <v>11</v>
      </c>
      <c r="AK180" s="32">
        <f t="shared" si="5"/>
        <v>11</v>
      </c>
      <c r="AL180" s="25">
        <f>'MASTER STOCK'!I177</f>
        <v>3500</v>
      </c>
      <c r="AM180" s="27">
        <f>'MASTER STOCK'!L177</f>
        <v>3500</v>
      </c>
      <c r="AN180" s="27">
        <f t="shared" si="6"/>
        <v>0</v>
      </c>
      <c r="AO180" s="26">
        <f t="shared" si="7"/>
        <v>0</v>
      </c>
      <c r="AP180" s="114">
        <f t="shared" si="8"/>
        <v>0</v>
      </c>
      <c r="AQ180" s="10"/>
    </row>
    <row r="181">
      <c r="A181" s="29" t="str">
        <f>'MASTER STOCK'!F178</f>
        <v>sok 2</v>
      </c>
      <c r="B181" s="30">
        <f>'AGS 25'!AI181</f>
        <v>8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23">
        <f t="shared" si="3"/>
        <v>0</v>
      </c>
      <c r="AI181" s="24">
        <v>0.0</v>
      </c>
      <c r="AJ181" s="32">
        <f t="shared" si="4"/>
        <v>8</v>
      </c>
      <c r="AK181" s="32">
        <f t="shared" si="5"/>
        <v>8</v>
      </c>
      <c r="AL181" s="25">
        <f>'MASTER STOCK'!I178</f>
        <v>2000</v>
      </c>
      <c r="AM181" s="27">
        <f>'MASTER STOCK'!L178</f>
        <v>2000</v>
      </c>
      <c r="AN181" s="27">
        <f t="shared" si="6"/>
        <v>0</v>
      </c>
      <c r="AO181" s="26">
        <f t="shared" si="7"/>
        <v>0</v>
      </c>
      <c r="AP181" s="114">
        <f t="shared" si="8"/>
        <v>0</v>
      </c>
      <c r="AQ181" s="10"/>
    </row>
    <row r="182">
      <c r="A182" s="29" t="str">
        <f>'MASTER STOCK'!F179</f>
        <v>sok 1 1/4</v>
      </c>
      <c r="B182" s="30">
        <f>'AGS 25'!AI182</f>
        <v>17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23">
        <f t="shared" si="3"/>
        <v>0</v>
      </c>
      <c r="AI182" s="24">
        <v>0.0</v>
      </c>
      <c r="AJ182" s="32">
        <f t="shared" si="4"/>
        <v>17</v>
      </c>
      <c r="AK182" s="32">
        <f t="shared" si="5"/>
        <v>17</v>
      </c>
      <c r="AL182" s="25">
        <f>'MASTER STOCK'!I179</f>
        <v>3500</v>
      </c>
      <c r="AM182" s="27">
        <f>'MASTER STOCK'!L179</f>
        <v>3500</v>
      </c>
      <c r="AN182" s="27">
        <f t="shared" si="6"/>
        <v>0</v>
      </c>
      <c r="AO182" s="26">
        <f t="shared" si="7"/>
        <v>0</v>
      </c>
      <c r="AP182" s="114">
        <f t="shared" si="8"/>
        <v>0</v>
      </c>
      <c r="AQ182" s="10"/>
    </row>
    <row r="183">
      <c r="A183" s="29" t="str">
        <f>'MASTER STOCK'!F180</f>
        <v>sok 3</v>
      </c>
      <c r="B183" s="30">
        <f>'AGS 25'!AI183</f>
        <v>8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23">
        <f t="shared" si="3"/>
        <v>0</v>
      </c>
      <c r="AI183" s="24">
        <v>0.0</v>
      </c>
      <c r="AJ183" s="32">
        <f t="shared" si="4"/>
        <v>8</v>
      </c>
      <c r="AK183" s="32">
        <f t="shared" si="5"/>
        <v>8</v>
      </c>
      <c r="AL183" s="25">
        <f>'MASTER STOCK'!I180</f>
        <v>7500</v>
      </c>
      <c r="AM183" s="27">
        <f>'MASTER STOCK'!L180</f>
        <v>7500</v>
      </c>
      <c r="AN183" s="27">
        <f t="shared" si="6"/>
        <v>0</v>
      </c>
      <c r="AO183" s="26">
        <f t="shared" si="7"/>
        <v>0</v>
      </c>
      <c r="AP183" s="114">
        <f t="shared" si="8"/>
        <v>0</v>
      </c>
      <c r="AQ183" s="10"/>
    </row>
    <row r="184">
      <c r="A184" s="29" t="str">
        <f>'MASTER STOCK'!F181</f>
        <v>sok drat dalam 1</v>
      </c>
      <c r="B184" s="30">
        <f>'AGS 25'!AI184</f>
        <v>9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23">
        <f t="shared" si="3"/>
        <v>0</v>
      </c>
      <c r="AI184" s="24">
        <v>0.0</v>
      </c>
      <c r="AJ184" s="32">
        <f t="shared" si="4"/>
        <v>9</v>
      </c>
      <c r="AK184" s="32">
        <f t="shared" si="5"/>
        <v>9</v>
      </c>
      <c r="AL184" s="25">
        <f>'MASTER STOCK'!I181</f>
        <v>3500</v>
      </c>
      <c r="AM184" s="27">
        <f>'MASTER STOCK'!L181</f>
        <v>3500</v>
      </c>
      <c r="AN184" s="27">
        <f t="shared" si="6"/>
        <v>0</v>
      </c>
      <c r="AO184" s="26">
        <f t="shared" si="7"/>
        <v>0</v>
      </c>
      <c r="AP184" s="114">
        <f t="shared" si="8"/>
        <v>0</v>
      </c>
      <c r="AQ184" s="10"/>
    </row>
    <row r="185">
      <c r="A185" s="29" t="str">
        <f>'MASTER STOCK'!F182</f>
        <v>sok drat dalam 3/4</v>
      </c>
      <c r="B185" s="30">
        <f>'AGS 25'!AI185</f>
        <v>5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23">
        <f t="shared" si="3"/>
        <v>0</v>
      </c>
      <c r="AI185" s="24">
        <v>0.0</v>
      </c>
      <c r="AJ185" s="32">
        <f t="shared" si="4"/>
        <v>5</v>
      </c>
      <c r="AK185" s="32">
        <f t="shared" si="5"/>
        <v>5</v>
      </c>
      <c r="AL185" s="25">
        <f>'MASTER STOCK'!I182</f>
        <v>4000</v>
      </c>
      <c r="AM185" s="27">
        <f>'MASTER STOCK'!L182</f>
        <v>4000</v>
      </c>
      <c r="AN185" s="27">
        <f t="shared" si="6"/>
        <v>0</v>
      </c>
      <c r="AO185" s="26">
        <f t="shared" si="7"/>
        <v>0</v>
      </c>
      <c r="AP185" s="114">
        <f t="shared" si="8"/>
        <v>0</v>
      </c>
      <c r="AQ185" s="10"/>
    </row>
    <row r="186">
      <c r="A186" s="29" t="str">
        <f>'MASTER STOCK'!F183</f>
        <v>sok drat luar 3/4</v>
      </c>
      <c r="B186" s="30">
        <f>'AGS 25'!AI186</f>
        <v>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23">
        <f t="shared" si="3"/>
        <v>0</v>
      </c>
      <c r="AI186" s="24">
        <v>0.0</v>
      </c>
      <c r="AJ186" s="32">
        <f t="shared" si="4"/>
        <v>7</v>
      </c>
      <c r="AK186" s="32">
        <f t="shared" si="5"/>
        <v>7</v>
      </c>
      <c r="AL186" s="25">
        <f>'MASTER STOCK'!I183</f>
        <v>3000</v>
      </c>
      <c r="AM186" s="27">
        <f>'MASTER STOCK'!L183</f>
        <v>3000</v>
      </c>
      <c r="AN186" s="27">
        <f t="shared" si="6"/>
        <v>0</v>
      </c>
      <c r="AO186" s="26">
        <f t="shared" si="7"/>
        <v>0</v>
      </c>
      <c r="AP186" s="114">
        <f t="shared" si="8"/>
        <v>0</v>
      </c>
      <c r="AQ186" s="10"/>
    </row>
    <row r="187">
      <c r="A187" s="29" t="str">
        <f>'MASTER STOCK'!F184</f>
        <v>overlup 1 x 3/4</v>
      </c>
      <c r="B187" s="30">
        <f>'AGS 25'!AI187</f>
        <v>26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23">
        <f t="shared" si="3"/>
        <v>0</v>
      </c>
      <c r="AI187" s="24">
        <v>0.0</v>
      </c>
      <c r="AJ187" s="32">
        <f t="shared" si="4"/>
        <v>26</v>
      </c>
      <c r="AK187" s="32">
        <f t="shared" si="5"/>
        <v>26</v>
      </c>
      <c r="AL187" s="25">
        <f>'MASTER STOCK'!I184</f>
        <v>2500</v>
      </c>
      <c r="AM187" s="27">
        <f>'MASTER STOCK'!L184</f>
        <v>2500</v>
      </c>
      <c r="AN187" s="27">
        <f t="shared" si="6"/>
        <v>0</v>
      </c>
      <c r="AO187" s="26">
        <f t="shared" si="7"/>
        <v>0</v>
      </c>
      <c r="AP187" s="114">
        <f t="shared" si="8"/>
        <v>0</v>
      </c>
      <c r="AQ187" s="10"/>
    </row>
    <row r="188">
      <c r="A188" s="29" t="str">
        <f>'MASTER STOCK'!F185</f>
        <v>sok drat dalam 3/4 x 1/2</v>
      </c>
      <c r="B188" s="30">
        <f>'AGS 25'!AI188</f>
        <v>6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23">
        <f t="shared" si="3"/>
        <v>0</v>
      </c>
      <c r="AI188" s="24">
        <v>0.0</v>
      </c>
      <c r="AJ188" s="32">
        <f t="shared" si="4"/>
        <v>6</v>
      </c>
      <c r="AK188" s="32">
        <f t="shared" si="5"/>
        <v>6</v>
      </c>
      <c r="AL188" s="25">
        <f>'MASTER STOCK'!I185</f>
        <v>3000</v>
      </c>
      <c r="AM188" s="27">
        <f>'MASTER STOCK'!L185</f>
        <v>3000</v>
      </c>
      <c r="AN188" s="27">
        <f t="shared" si="6"/>
        <v>0</v>
      </c>
      <c r="AO188" s="26">
        <f t="shared" si="7"/>
        <v>0</v>
      </c>
      <c r="AP188" s="114">
        <f t="shared" si="8"/>
        <v>0</v>
      </c>
      <c r="AQ188" s="10"/>
    </row>
    <row r="189">
      <c r="A189" s="29" t="str">
        <f>'MASTER STOCK'!F186</f>
        <v>overlup 2 x 1</v>
      </c>
      <c r="B189" s="30">
        <f>'AGS 25'!AI189</f>
        <v>13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23">
        <f t="shared" si="3"/>
        <v>0</v>
      </c>
      <c r="AI189" s="24">
        <v>0.0</v>
      </c>
      <c r="AJ189" s="32">
        <f t="shared" si="4"/>
        <v>13</v>
      </c>
      <c r="AK189" s="32">
        <f t="shared" si="5"/>
        <v>13</v>
      </c>
      <c r="AL189" s="25">
        <f>'MASTER STOCK'!I186</f>
        <v>7500</v>
      </c>
      <c r="AM189" s="27">
        <f>'MASTER STOCK'!L186</f>
        <v>7500</v>
      </c>
      <c r="AN189" s="27">
        <f t="shared" si="6"/>
        <v>0</v>
      </c>
      <c r="AO189" s="26">
        <f t="shared" si="7"/>
        <v>0</v>
      </c>
      <c r="AP189" s="114">
        <f t="shared" si="8"/>
        <v>0</v>
      </c>
      <c r="AQ189" s="10"/>
    </row>
    <row r="190">
      <c r="A190" s="29" t="str">
        <f>'MASTER STOCK'!F187</f>
        <v>overlup 2 x 1 1/2</v>
      </c>
      <c r="B190" s="30">
        <f>'AGS 25'!AI190</f>
        <v>5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23">
        <f t="shared" si="3"/>
        <v>0</v>
      </c>
      <c r="AI190" s="24">
        <v>0.0</v>
      </c>
      <c r="AJ190" s="32">
        <f t="shared" si="4"/>
        <v>5</v>
      </c>
      <c r="AK190" s="32">
        <f t="shared" si="5"/>
        <v>5</v>
      </c>
      <c r="AL190" s="25">
        <f>'MASTER STOCK'!I187</f>
        <v>5500</v>
      </c>
      <c r="AM190" s="27">
        <f>'MASTER STOCK'!L187</f>
        <v>5500</v>
      </c>
      <c r="AN190" s="27">
        <f t="shared" si="6"/>
        <v>0</v>
      </c>
      <c r="AO190" s="26">
        <f t="shared" si="7"/>
        <v>0</v>
      </c>
      <c r="AP190" s="114">
        <f t="shared" si="8"/>
        <v>0</v>
      </c>
      <c r="AQ190" s="10"/>
    </row>
    <row r="191">
      <c r="A191" s="29" t="str">
        <f>'MASTER STOCK'!F188</f>
        <v>overlup 1 x 1 1/2</v>
      </c>
      <c r="B191" s="30">
        <f>'AGS 25'!AI191</f>
        <v>5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23">
        <f t="shared" si="3"/>
        <v>0</v>
      </c>
      <c r="AI191" s="24">
        <v>0.0</v>
      </c>
      <c r="AJ191" s="32">
        <f t="shared" si="4"/>
        <v>5</v>
      </c>
      <c r="AK191" s="32">
        <f t="shared" si="5"/>
        <v>5</v>
      </c>
      <c r="AL191" s="25">
        <f>'MASTER STOCK'!I188</f>
        <v>6500</v>
      </c>
      <c r="AM191" s="27">
        <f>'MASTER STOCK'!L188</f>
        <v>6500</v>
      </c>
      <c r="AN191" s="27">
        <f t="shared" si="6"/>
        <v>0</v>
      </c>
      <c r="AO191" s="26">
        <f t="shared" si="7"/>
        <v>0</v>
      </c>
      <c r="AP191" s="114">
        <f t="shared" si="8"/>
        <v>0</v>
      </c>
      <c r="AQ191" s="10"/>
    </row>
    <row r="192">
      <c r="A192" s="29" t="str">
        <f>'MASTER STOCK'!F189</f>
        <v>overlup 2 x 2 1/2</v>
      </c>
      <c r="B192" s="30">
        <f>'AGS 25'!AI192</f>
        <v>3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23">
        <f t="shared" si="3"/>
        <v>0</v>
      </c>
      <c r="AI192" s="24">
        <v>0.0</v>
      </c>
      <c r="AJ192" s="32">
        <f t="shared" si="4"/>
        <v>3</v>
      </c>
      <c r="AK192" s="32">
        <f t="shared" si="5"/>
        <v>3</v>
      </c>
      <c r="AL192" s="25">
        <f>'MASTER STOCK'!I189</f>
        <v>8000</v>
      </c>
      <c r="AM192" s="27">
        <f>'MASTER STOCK'!L189</f>
        <v>8000</v>
      </c>
      <c r="AN192" s="27">
        <f t="shared" si="6"/>
        <v>0</v>
      </c>
      <c r="AO192" s="26">
        <f t="shared" si="7"/>
        <v>0</v>
      </c>
      <c r="AP192" s="114">
        <f t="shared" si="8"/>
        <v>0</v>
      </c>
      <c r="AQ192" s="10"/>
    </row>
    <row r="193">
      <c r="A193" s="29" t="str">
        <f>'MASTER STOCK'!F190</f>
        <v>t  3/4 x 1</v>
      </c>
      <c r="B193" s="30">
        <f>'AGS 25'!AI193</f>
        <v>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23">
        <f t="shared" si="3"/>
        <v>0</v>
      </c>
      <c r="AI193" s="24">
        <v>0.0</v>
      </c>
      <c r="AJ193" s="32">
        <f t="shared" si="4"/>
        <v>1</v>
      </c>
      <c r="AK193" s="32">
        <f t="shared" si="5"/>
        <v>1</v>
      </c>
      <c r="AL193" s="25">
        <f>'MASTER STOCK'!I190</f>
        <v>3500</v>
      </c>
      <c r="AM193" s="27">
        <f>'MASTER STOCK'!L190</f>
        <v>3500</v>
      </c>
      <c r="AN193" s="27">
        <f t="shared" si="6"/>
        <v>0</v>
      </c>
      <c r="AO193" s="26">
        <f t="shared" si="7"/>
        <v>0</v>
      </c>
      <c r="AP193" s="114">
        <f t="shared" si="8"/>
        <v>0</v>
      </c>
      <c r="AQ193" s="10"/>
    </row>
    <row r="194">
      <c r="A194" s="29" t="str">
        <f>'MASTER STOCK'!F191</f>
        <v>knee 2 1/2</v>
      </c>
      <c r="B194" s="30">
        <f>'AGS 25'!AI194</f>
        <v>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23">
        <f t="shared" si="3"/>
        <v>0</v>
      </c>
      <c r="AI194" s="24">
        <v>0.0</v>
      </c>
      <c r="AJ194" s="32">
        <f t="shared" si="4"/>
        <v>8</v>
      </c>
      <c r="AK194" s="32">
        <f t="shared" si="5"/>
        <v>8</v>
      </c>
      <c r="AL194" s="25">
        <f>'MASTER STOCK'!I191</f>
        <v>7500</v>
      </c>
      <c r="AM194" s="27">
        <f>'MASTER STOCK'!L191</f>
        <v>7500</v>
      </c>
      <c r="AN194" s="27">
        <f t="shared" si="6"/>
        <v>0</v>
      </c>
      <c r="AO194" s="26">
        <f t="shared" si="7"/>
        <v>0</v>
      </c>
      <c r="AP194" s="114">
        <f t="shared" si="8"/>
        <v>0</v>
      </c>
      <c r="AQ194" s="10"/>
    </row>
    <row r="195">
      <c r="A195" s="29" t="str">
        <f>'MASTER STOCK'!F192</f>
        <v>sok 4</v>
      </c>
      <c r="B195" s="30">
        <f>'AGS 25'!AI195</f>
        <v>22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23">
        <f t="shared" si="3"/>
        <v>0</v>
      </c>
      <c r="AI195" s="24">
        <v>0.0</v>
      </c>
      <c r="AJ195" s="32">
        <f t="shared" si="4"/>
        <v>22</v>
      </c>
      <c r="AK195" s="32">
        <f t="shared" si="5"/>
        <v>22</v>
      </c>
      <c r="AL195" s="25">
        <f>'MASTER STOCK'!I192</f>
        <v>9000</v>
      </c>
      <c r="AM195" s="27">
        <f>'MASTER STOCK'!L192</f>
        <v>9000</v>
      </c>
      <c r="AN195" s="27">
        <f t="shared" si="6"/>
        <v>0</v>
      </c>
      <c r="AO195" s="26">
        <f t="shared" si="7"/>
        <v>0</v>
      </c>
      <c r="AP195" s="114">
        <f t="shared" si="8"/>
        <v>0</v>
      </c>
      <c r="AQ195" s="10"/>
    </row>
    <row r="196">
      <c r="A196" s="29" t="str">
        <f>'MASTER STOCK'!F193</f>
        <v>sok 2 1/2</v>
      </c>
      <c r="B196" s="30">
        <f>'AGS 25'!AI196</f>
        <v>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23">
        <f t="shared" si="3"/>
        <v>0</v>
      </c>
      <c r="AI196" s="24">
        <v>0.0</v>
      </c>
      <c r="AJ196" s="32">
        <f t="shared" si="4"/>
        <v>2</v>
      </c>
      <c r="AK196" s="32">
        <f t="shared" si="5"/>
        <v>2</v>
      </c>
      <c r="AL196" s="25">
        <f>'MASTER STOCK'!I193</f>
        <v>5500</v>
      </c>
      <c r="AM196" s="27">
        <f>'MASTER STOCK'!L193</f>
        <v>5500</v>
      </c>
      <c r="AN196" s="27">
        <f t="shared" si="6"/>
        <v>0</v>
      </c>
      <c r="AO196" s="26">
        <f t="shared" si="7"/>
        <v>0</v>
      </c>
      <c r="AP196" s="114">
        <f t="shared" si="8"/>
        <v>0</v>
      </c>
      <c r="AQ196" s="10"/>
    </row>
    <row r="197">
      <c r="A197" s="29" t="str">
        <f>'MASTER STOCK'!F194</f>
        <v>sok drat luar 2</v>
      </c>
      <c r="B197" s="30">
        <f>'AGS 25'!AI197</f>
        <v>5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23">
        <f t="shared" si="3"/>
        <v>0</v>
      </c>
      <c r="AI197" s="24">
        <v>0.0</v>
      </c>
      <c r="AJ197" s="32">
        <f t="shared" si="4"/>
        <v>5</v>
      </c>
      <c r="AK197" s="32">
        <f t="shared" si="5"/>
        <v>5</v>
      </c>
      <c r="AL197" s="25">
        <f>'MASTER STOCK'!I194</f>
        <v>7500</v>
      </c>
      <c r="AM197" s="27">
        <f>'MASTER STOCK'!L194</f>
        <v>7500</v>
      </c>
      <c r="AN197" s="27">
        <f t="shared" si="6"/>
        <v>0</v>
      </c>
      <c r="AO197" s="26">
        <f t="shared" si="7"/>
        <v>0</v>
      </c>
      <c r="AP197" s="114">
        <f t="shared" si="8"/>
        <v>0</v>
      </c>
      <c r="AQ197" s="10"/>
    </row>
    <row r="198">
      <c r="A198" s="29" t="str">
        <f>'MASTER STOCK'!F195</f>
        <v>t 4</v>
      </c>
      <c r="B198" s="30">
        <f>'AGS 25'!AI198</f>
        <v>10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23">
        <f t="shared" si="3"/>
        <v>0</v>
      </c>
      <c r="AI198" s="24">
        <v>0.0</v>
      </c>
      <c r="AJ198" s="32">
        <f t="shared" si="4"/>
        <v>10</v>
      </c>
      <c r="AK198" s="32">
        <f t="shared" si="5"/>
        <v>10</v>
      </c>
      <c r="AL198" s="25">
        <f>'MASTER STOCK'!I195</f>
        <v>16500</v>
      </c>
      <c r="AM198" s="27">
        <f>'MASTER STOCK'!L195</f>
        <v>16500</v>
      </c>
      <c r="AN198" s="27">
        <f t="shared" si="6"/>
        <v>0</v>
      </c>
      <c r="AO198" s="26">
        <f t="shared" si="7"/>
        <v>0</v>
      </c>
      <c r="AP198" s="114">
        <f t="shared" si="8"/>
        <v>0</v>
      </c>
      <c r="AQ198" s="10"/>
    </row>
    <row r="199">
      <c r="A199" s="29" t="str">
        <f>'MASTER STOCK'!F196</f>
        <v>t 3</v>
      </c>
      <c r="B199" s="30">
        <f>'AGS 25'!AI199</f>
        <v>7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23">
        <f t="shared" si="3"/>
        <v>0</v>
      </c>
      <c r="AI199" s="24">
        <v>0.0</v>
      </c>
      <c r="AJ199" s="32">
        <f t="shared" si="4"/>
        <v>7</v>
      </c>
      <c r="AK199" s="32">
        <f t="shared" si="5"/>
        <v>7</v>
      </c>
      <c r="AL199" s="25">
        <f>'MASTER STOCK'!I196</f>
        <v>10000</v>
      </c>
      <c r="AM199" s="27">
        <f>'MASTER STOCK'!L196</f>
        <v>10000</v>
      </c>
      <c r="AN199" s="27">
        <f t="shared" si="6"/>
        <v>0</v>
      </c>
      <c r="AO199" s="26">
        <f t="shared" si="7"/>
        <v>0</v>
      </c>
      <c r="AP199" s="114">
        <f t="shared" si="8"/>
        <v>0</v>
      </c>
      <c r="AQ199" s="10"/>
    </row>
    <row r="200">
      <c r="A200" s="29" t="str">
        <f>'MASTER STOCK'!F197</f>
        <v>knee 4</v>
      </c>
      <c r="B200" s="30">
        <f>'AGS 25'!AI200</f>
        <v>13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23">
        <f t="shared" si="3"/>
        <v>0</v>
      </c>
      <c r="AI200" s="24">
        <v>0.0</v>
      </c>
      <c r="AJ200" s="32">
        <f t="shared" si="4"/>
        <v>13</v>
      </c>
      <c r="AK200" s="32">
        <f t="shared" si="5"/>
        <v>13</v>
      </c>
      <c r="AL200" s="25">
        <f>'MASTER STOCK'!I197</f>
        <v>14000</v>
      </c>
      <c r="AM200" s="27">
        <f>'MASTER STOCK'!L197</f>
        <v>14000</v>
      </c>
      <c r="AN200" s="27">
        <f t="shared" si="6"/>
        <v>0</v>
      </c>
      <c r="AO200" s="26">
        <f t="shared" si="7"/>
        <v>0</v>
      </c>
      <c r="AP200" s="114">
        <f t="shared" si="8"/>
        <v>0</v>
      </c>
      <c r="AQ200" s="10"/>
    </row>
    <row r="201">
      <c r="A201" s="29" t="str">
        <f>'MASTER STOCK'!F198</f>
        <v>overlup 4 x 2 1/2</v>
      </c>
      <c r="B201" s="30">
        <f>'AGS 25'!AI201</f>
        <v>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23">
        <f t="shared" si="3"/>
        <v>0</v>
      </c>
      <c r="AI201" s="24">
        <v>0.0</v>
      </c>
      <c r="AJ201" s="32">
        <f t="shared" si="4"/>
        <v>1</v>
      </c>
      <c r="AK201" s="32">
        <f t="shared" si="5"/>
        <v>1</v>
      </c>
      <c r="AL201" s="25">
        <f>'MASTER STOCK'!I198</f>
        <v>12000</v>
      </c>
      <c r="AM201" s="27">
        <f>'MASTER STOCK'!L198</f>
        <v>12000</v>
      </c>
      <c r="AN201" s="27">
        <f t="shared" si="6"/>
        <v>0</v>
      </c>
      <c r="AO201" s="26">
        <f t="shared" si="7"/>
        <v>0</v>
      </c>
      <c r="AP201" s="114">
        <f t="shared" si="8"/>
        <v>0</v>
      </c>
      <c r="AQ201" s="10"/>
    </row>
    <row r="202">
      <c r="A202" s="29" t="str">
        <f>'MASTER STOCK'!F199</f>
        <v>overlup 4 x 3</v>
      </c>
      <c r="B202" s="30">
        <f>'AGS 25'!AI202</f>
        <v>2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23">
        <f t="shared" si="3"/>
        <v>0</v>
      </c>
      <c r="AI202" s="24">
        <v>0.0</v>
      </c>
      <c r="AJ202" s="32">
        <f t="shared" si="4"/>
        <v>2</v>
      </c>
      <c r="AK202" s="32">
        <f t="shared" si="5"/>
        <v>2</v>
      </c>
      <c r="AL202" s="25">
        <f>'MASTER STOCK'!I199</f>
        <v>12500</v>
      </c>
      <c r="AM202" s="27">
        <f>'MASTER STOCK'!L199</f>
        <v>12500</v>
      </c>
      <c r="AN202" s="27">
        <f t="shared" si="6"/>
        <v>0</v>
      </c>
      <c r="AO202" s="26">
        <f t="shared" si="7"/>
        <v>0</v>
      </c>
      <c r="AP202" s="114">
        <f t="shared" si="8"/>
        <v>0</v>
      </c>
      <c r="AQ202" s="10"/>
    </row>
    <row r="203">
      <c r="A203" s="29" t="str">
        <f>'MASTER STOCK'!F200</f>
        <v>knee 3</v>
      </c>
      <c r="B203" s="30">
        <f>'AGS 25'!AI203</f>
        <v>6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23">
        <f t="shared" si="3"/>
        <v>0</v>
      </c>
      <c r="AI203" s="24">
        <v>0.0</v>
      </c>
      <c r="AJ203" s="32">
        <f t="shared" si="4"/>
        <v>6</v>
      </c>
      <c r="AK203" s="32">
        <f t="shared" si="5"/>
        <v>6</v>
      </c>
      <c r="AL203" s="25">
        <f>'MASTER STOCK'!I200</f>
        <v>10000</v>
      </c>
      <c r="AM203" s="27">
        <f>'MASTER STOCK'!L200</f>
        <v>10000</v>
      </c>
      <c r="AN203" s="27">
        <f t="shared" si="6"/>
        <v>0</v>
      </c>
      <c r="AO203" s="26">
        <f t="shared" si="7"/>
        <v>0</v>
      </c>
      <c r="AP203" s="114">
        <f t="shared" si="8"/>
        <v>0</v>
      </c>
      <c r="AQ203" s="10"/>
    </row>
    <row r="204">
      <c r="A204" s="29" t="str">
        <f>'MASTER STOCK'!F201</f>
        <v>tutup pipa 3</v>
      </c>
      <c r="B204" s="30">
        <f>'AGS 25'!AI204</f>
        <v>4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23">
        <f t="shared" si="3"/>
        <v>0</v>
      </c>
      <c r="AI204" s="24">
        <v>0.0</v>
      </c>
      <c r="AJ204" s="32">
        <f t="shared" si="4"/>
        <v>4</v>
      </c>
      <c r="AK204" s="32">
        <f t="shared" si="5"/>
        <v>4</v>
      </c>
      <c r="AL204" s="25">
        <f>'MASTER STOCK'!I201</f>
        <v>8500</v>
      </c>
      <c r="AM204" s="27">
        <f>'MASTER STOCK'!L201</f>
        <v>8500</v>
      </c>
      <c r="AN204" s="27">
        <f t="shared" si="6"/>
        <v>0</v>
      </c>
      <c r="AO204" s="26">
        <f t="shared" si="7"/>
        <v>0</v>
      </c>
      <c r="AP204" s="114">
        <f t="shared" si="8"/>
        <v>0</v>
      </c>
      <c r="AQ204" s="10"/>
    </row>
    <row r="205">
      <c r="A205" s="29" t="str">
        <f>'MASTER STOCK'!F202</f>
        <v>tutup pipa 4</v>
      </c>
      <c r="B205" s="30">
        <f>'AGS 25'!AI205</f>
        <v>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23">
        <f t="shared" si="3"/>
        <v>0</v>
      </c>
      <c r="AI205" s="24">
        <v>0.0</v>
      </c>
      <c r="AJ205" s="32">
        <f t="shared" si="4"/>
        <v>1</v>
      </c>
      <c r="AK205" s="32">
        <f t="shared" si="5"/>
        <v>1</v>
      </c>
      <c r="AL205" s="25">
        <f>'MASTER STOCK'!I202</f>
        <v>9500</v>
      </c>
      <c r="AM205" s="27">
        <f>'MASTER STOCK'!L202</f>
        <v>9500</v>
      </c>
      <c r="AN205" s="27">
        <f t="shared" si="6"/>
        <v>0</v>
      </c>
      <c r="AO205" s="26">
        <f t="shared" si="7"/>
        <v>0</v>
      </c>
      <c r="AP205" s="114">
        <f t="shared" si="8"/>
        <v>0</v>
      </c>
      <c r="AQ205" s="10"/>
    </row>
    <row r="206">
      <c r="A206" s="29" t="str">
        <f>'MASTER STOCK'!F203</f>
        <v>tutup pipa 2 1/2</v>
      </c>
      <c r="B206" s="30">
        <f>'AGS 25'!AI206</f>
        <v>2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23">
        <f t="shared" si="3"/>
        <v>0</v>
      </c>
      <c r="AI206" s="24">
        <v>0.0</v>
      </c>
      <c r="AJ206" s="32">
        <f t="shared" si="4"/>
        <v>2</v>
      </c>
      <c r="AK206" s="32">
        <f t="shared" si="5"/>
        <v>2</v>
      </c>
      <c r="AL206" s="25">
        <f>'MASTER STOCK'!I203</f>
        <v>6500</v>
      </c>
      <c r="AM206" s="27">
        <f>'MASTER STOCK'!L203</f>
        <v>6500</v>
      </c>
      <c r="AN206" s="27">
        <f t="shared" si="6"/>
        <v>0</v>
      </c>
      <c r="AO206" s="26">
        <f t="shared" si="7"/>
        <v>0</v>
      </c>
      <c r="AP206" s="114">
        <f t="shared" si="8"/>
        <v>0</v>
      </c>
      <c r="AQ206" s="10"/>
    </row>
    <row r="207">
      <c r="A207" s="29" t="str">
        <f>'MASTER STOCK'!F204</f>
        <v>tutup pipa 2</v>
      </c>
      <c r="B207" s="30">
        <f>'AGS 25'!AI207</f>
        <v>2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23">
        <f t="shared" si="3"/>
        <v>0</v>
      </c>
      <c r="AI207" s="24">
        <v>0.0</v>
      </c>
      <c r="AJ207" s="32">
        <f t="shared" si="4"/>
        <v>2</v>
      </c>
      <c r="AK207" s="32">
        <f t="shared" si="5"/>
        <v>2</v>
      </c>
      <c r="AL207" s="25">
        <f>'MASTER STOCK'!I204</f>
        <v>6000</v>
      </c>
      <c r="AM207" s="27">
        <f>'MASTER STOCK'!L204</f>
        <v>6000</v>
      </c>
      <c r="AN207" s="27">
        <f t="shared" si="6"/>
        <v>0</v>
      </c>
      <c r="AO207" s="26">
        <f t="shared" si="7"/>
        <v>0</v>
      </c>
      <c r="AP207" s="114">
        <f t="shared" si="8"/>
        <v>0</v>
      </c>
      <c r="AQ207" s="10"/>
    </row>
    <row r="208">
      <c r="A208" s="29" t="str">
        <f>'MASTER STOCK'!F205</f>
        <v>pipa 1/2</v>
      </c>
      <c r="B208" s="30">
        <f>'AGS 25'!AI208</f>
        <v>3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23">
        <f t="shared" si="3"/>
        <v>0</v>
      </c>
      <c r="AI208" s="24">
        <v>0.0</v>
      </c>
      <c r="AJ208" s="32">
        <f t="shared" si="4"/>
        <v>3</v>
      </c>
      <c r="AK208" s="32">
        <f t="shared" si="5"/>
        <v>3</v>
      </c>
      <c r="AL208" s="25">
        <f>'MASTER STOCK'!I205</f>
        <v>2500</v>
      </c>
      <c r="AM208" s="27">
        <f>'MASTER STOCK'!L205</f>
        <v>2500</v>
      </c>
      <c r="AN208" s="27">
        <f t="shared" si="6"/>
        <v>0</v>
      </c>
      <c r="AO208" s="26">
        <f t="shared" si="7"/>
        <v>0</v>
      </c>
      <c r="AP208" s="114">
        <f t="shared" si="8"/>
        <v>0</v>
      </c>
      <c r="AQ208" s="10"/>
    </row>
    <row r="209">
      <c r="A209" s="29" t="str">
        <f>'MASTER STOCK'!F206</f>
        <v>pipa 3/4</v>
      </c>
      <c r="B209" s="30">
        <f>'AGS 25'!AI209</f>
        <v>6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22">
        <v>1.0</v>
      </c>
      <c r="AE209" s="10"/>
      <c r="AF209" s="10"/>
      <c r="AG209" s="10"/>
      <c r="AH209" s="23">
        <f t="shared" si="3"/>
        <v>1</v>
      </c>
      <c r="AI209" s="24">
        <v>0.0</v>
      </c>
      <c r="AJ209" s="32">
        <f t="shared" si="4"/>
        <v>5</v>
      </c>
      <c r="AK209" s="32">
        <f t="shared" si="5"/>
        <v>5</v>
      </c>
      <c r="AL209" s="25">
        <f>'MASTER STOCK'!I206</f>
        <v>27500</v>
      </c>
      <c r="AM209" s="27">
        <f>'MASTER STOCK'!L206</f>
        <v>27500</v>
      </c>
      <c r="AN209" s="27">
        <f t="shared" si="6"/>
        <v>27500</v>
      </c>
      <c r="AO209" s="26">
        <f t="shared" si="7"/>
        <v>0</v>
      </c>
      <c r="AP209" s="114">
        <f t="shared" si="8"/>
        <v>27500</v>
      </c>
      <c r="AQ209" s="10"/>
    </row>
    <row r="210">
      <c r="A210" s="29" t="str">
        <f>'MASTER STOCK'!F207</f>
        <v>pipa 5/8</v>
      </c>
      <c r="B210" s="30">
        <f>'AGS 25'!AI210</f>
        <v>4</v>
      </c>
      <c r="C210" s="10"/>
      <c r="D210" s="10"/>
      <c r="E210" s="10"/>
      <c r="F210" s="10"/>
      <c r="G210" s="10"/>
      <c r="H210" s="22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23">
        <f t="shared" si="3"/>
        <v>0</v>
      </c>
      <c r="AI210" s="24">
        <v>0.0</v>
      </c>
      <c r="AJ210" s="32">
        <f t="shared" si="4"/>
        <v>4</v>
      </c>
      <c r="AK210" s="32">
        <f t="shared" si="5"/>
        <v>4</v>
      </c>
      <c r="AL210" s="25">
        <f>'MASTER STOCK'!I207</f>
        <v>0</v>
      </c>
      <c r="AM210" s="27">
        <f>'MASTER STOCK'!L207</f>
        <v>0</v>
      </c>
      <c r="AN210" s="27">
        <f t="shared" si="6"/>
        <v>0</v>
      </c>
      <c r="AO210" s="26">
        <f t="shared" si="7"/>
        <v>0</v>
      </c>
      <c r="AP210" s="114">
        <f t="shared" si="8"/>
        <v>0</v>
      </c>
      <c r="AQ210" s="10"/>
    </row>
    <row r="211">
      <c r="A211" s="29" t="str">
        <f>'MASTER STOCK'!F208</f>
        <v>pipa 1 aw</v>
      </c>
      <c r="B211" s="30">
        <f>'AGS 25'!AI211</f>
        <v>3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23">
        <f t="shared" si="3"/>
        <v>0</v>
      </c>
      <c r="AI211" s="24">
        <v>0.0</v>
      </c>
      <c r="AJ211" s="32">
        <f t="shared" si="4"/>
        <v>3</v>
      </c>
      <c r="AK211" s="32">
        <f t="shared" si="5"/>
        <v>3</v>
      </c>
      <c r="AL211" s="25">
        <f>'MASTER STOCK'!I208</f>
        <v>38000</v>
      </c>
      <c r="AM211" s="27">
        <f>'MASTER STOCK'!L208</f>
        <v>38000</v>
      </c>
      <c r="AN211" s="27">
        <f t="shared" si="6"/>
        <v>0</v>
      </c>
      <c r="AO211" s="26">
        <f t="shared" si="7"/>
        <v>0</v>
      </c>
      <c r="AP211" s="114">
        <f t="shared" si="8"/>
        <v>0</v>
      </c>
      <c r="AQ211" s="10"/>
    </row>
    <row r="212">
      <c r="A212" s="29" t="str">
        <f>'MASTER STOCK'!F209</f>
        <v>pipa bluefin 1 1/2</v>
      </c>
      <c r="B212" s="30">
        <f>'AGS 25'!AI212</f>
        <v>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23">
        <f t="shared" si="3"/>
        <v>0</v>
      </c>
      <c r="AI212" s="24">
        <v>0.0</v>
      </c>
      <c r="AJ212" s="32">
        <f t="shared" si="4"/>
        <v>1</v>
      </c>
      <c r="AK212" s="32">
        <f t="shared" si="5"/>
        <v>1</v>
      </c>
      <c r="AL212" s="25">
        <f>'MASTER STOCK'!I209</f>
        <v>35000</v>
      </c>
      <c r="AM212" s="27">
        <f>'MASTER STOCK'!L209</f>
        <v>35000</v>
      </c>
      <c r="AN212" s="27">
        <f t="shared" si="6"/>
        <v>0</v>
      </c>
      <c r="AO212" s="26">
        <f t="shared" si="7"/>
        <v>0</v>
      </c>
      <c r="AP212" s="114">
        <f t="shared" si="8"/>
        <v>0</v>
      </c>
      <c r="AQ212" s="10"/>
    </row>
    <row r="213">
      <c r="A213" s="29" t="str">
        <f>'MASTER STOCK'!F210</f>
        <v>pipa quinlon 1 1/2</v>
      </c>
      <c r="B213" s="30">
        <f>'AGS 25'!AI213</f>
        <v>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23">
        <f t="shared" si="3"/>
        <v>0</v>
      </c>
      <c r="AI213" s="24">
        <v>0.0</v>
      </c>
      <c r="AJ213" s="32">
        <f t="shared" si="4"/>
        <v>1</v>
      </c>
      <c r="AK213" s="32">
        <f t="shared" si="5"/>
        <v>1</v>
      </c>
      <c r="AL213" s="25">
        <f>'MASTER STOCK'!I210</f>
        <v>32000</v>
      </c>
      <c r="AM213" s="27">
        <f>'MASTER STOCK'!L210</f>
        <v>32000</v>
      </c>
      <c r="AN213" s="27">
        <f t="shared" si="6"/>
        <v>0</v>
      </c>
      <c r="AO213" s="26">
        <f t="shared" si="7"/>
        <v>0</v>
      </c>
      <c r="AP213" s="114">
        <f t="shared" si="8"/>
        <v>0</v>
      </c>
      <c r="AQ213" s="10"/>
    </row>
    <row r="214">
      <c r="A214" s="29" t="str">
        <f>'MASTER STOCK'!F211</f>
        <v>pipa bluefin 2 dim c</v>
      </c>
      <c r="B214" s="30">
        <f>'AGS 25'!AI214</f>
        <v>6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23">
        <f t="shared" si="3"/>
        <v>0</v>
      </c>
      <c r="AI214" s="24">
        <v>0.0</v>
      </c>
      <c r="AJ214" s="32">
        <f t="shared" si="4"/>
        <v>6</v>
      </c>
      <c r="AK214" s="32">
        <f t="shared" si="5"/>
        <v>6</v>
      </c>
      <c r="AL214" s="25">
        <f>'MASTER STOCK'!I211</f>
        <v>41000</v>
      </c>
      <c r="AM214" s="27">
        <f>'MASTER STOCK'!L211</f>
        <v>41000</v>
      </c>
      <c r="AN214" s="27">
        <f t="shared" si="6"/>
        <v>0</v>
      </c>
      <c r="AO214" s="26">
        <f t="shared" si="7"/>
        <v>0</v>
      </c>
      <c r="AP214" s="114">
        <f t="shared" si="8"/>
        <v>0</v>
      </c>
      <c r="AQ214" s="10"/>
    </row>
    <row r="215">
      <c r="A215" s="29" t="str">
        <f>'MASTER STOCK'!F212</f>
        <v>pipa bluefin 2 dim d</v>
      </c>
      <c r="B215" s="30">
        <f>'AGS 25'!AI215</f>
        <v>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23">
        <f t="shared" si="3"/>
        <v>0</v>
      </c>
      <c r="AI215" s="24">
        <v>0.0</v>
      </c>
      <c r="AJ215" s="32">
        <f t="shared" si="4"/>
        <v>1</v>
      </c>
      <c r="AK215" s="32">
        <f t="shared" si="5"/>
        <v>1</v>
      </c>
      <c r="AL215" s="25">
        <f>'MASTER STOCK'!I212</f>
        <v>46000</v>
      </c>
      <c r="AM215" s="27">
        <f>'MASTER STOCK'!L212</f>
        <v>46000</v>
      </c>
      <c r="AN215" s="27">
        <f t="shared" si="6"/>
        <v>0</v>
      </c>
      <c r="AO215" s="26">
        <f t="shared" si="7"/>
        <v>0</v>
      </c>
      <c r="AP215" s="114">
        <f t="shared" si="8"/>
        <v>0</v>
      </c>
      <c r="AQ215" s="10"/>
    </row>
    <row r="216">
      <c r="A216" s="29" t="str">
        <f>'MASTER STOCK'!F213</f>
        <v>pipa interniti 2 dim</v>
      </c>
      <c r="B216" s="30">
        <f>'AGS 25'!AI216</f>
        <v>7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23">
        <f t="shared" si="3"/>
        <v>0</v>
      </c>
      <c r="AI216" s="24">
        <v>0.0</v>
      </c>
      <c r="AJ216" s="32">
        <f t="shared" si="4"/>
        <v>7</v>
      </c>
      <c r="AK216" s="32">
        <f t="shared" si="5"/>
        <v>7</v>
      </c>
      <c r="AL216" s="25">
        <f>'MASTER STOCK'!I213</f>
        <v>42000</v>
      </c>
      <c r="AM216" s="27">
        <f>'MASTER STOCK'!L213</f>
        <v>42000</v>
      </c>
      <c r="AN216" s="27">
        <f t="shared" si="6"/>
        <v>0</v>
      </c>
      <c r="AO216" s="26">
        <f t="shared" si="7"/>
        <v>0</v>
      </c>
      <c r="AP216" s="114">
        <f t="shared" si="8"/>
        <v>0</v>
      </c>
      <c r="AQ216" s="10"/>
    </row>
    <row r="217">
      <c r="A217" s="29" t="str">
        <f>'MASTER STOCK'!F214</f>
        <v>pipa bluefin 2 1/2 dim c</v>
      </c>
      <c r="B217" s="30">
        <f>'AGS 25'!AI217</f>
        <v>2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22">
        <v>1.0</v>
      </c>
      <c r="Z217" s="10"/>
      <c r="AA217" s="10"/>
      <c r="AB217" s="10"/>
      <c r="AC217" s="10"/>
      <c r="AD217" s="10"/>
      <c r="AE217" s="10"/>
      <c r="AF217" s="10"/>
      <c r="AG217" s="10"/>
      <c r="AH217" s="23">
        <f t="shared" si="3"/>
        <v>1</v>
      </c>
      <c r="AI217" s="24">
        <v>0.0</v>
      </c>
      <c r="AJ217" s="32">
        <f t="shared" si="4"/>
        <v>1</v>
      </c>
      <c r="AK217" s="32">
        <f t="shared" si="5"/>
        <v>1</v>
      </c>
      <c r="AL217" s="25">
        <f>'MASTER STOCK'!I214</f>
        <v>57500</v>
      </c>
      <c r="AM217" s="27">
        <f>'MASTER STOCK'!L214</f>
        <v>57500</v>
      </c>
      <c r="AN217" s="27">
        <f t="shared" si="6"/>
        <v>57500</v>
      </c>
      <c r="AO217" s="26">
        <f t="shared" si="7"/>
        <v>0</v>
      </c>
      <c r="AP217" s="114">
        <f t="shared" si="8"/>
        <v>57500</v>
      </c>
      <c r="AQ217" s="10"/>
    </row>
    <row r="218">
      <c r="A218" s="29" t="str">
        <f>'MASTER STOCK'!F215</f>
        <v>pipa quinlon 3 dim c</v>
      </c>
      <c r="B218" s="30">
        <f>'AGS 25'!AI218</f>
        <v>3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23">
        <f t="shared" si="3"/>
        <v>0</v>
      </c>
      <c r="AI218" s="24">
        <v>0.0</v>
      </c>
      <c r="AJ218" s="32">
        <f t="shared" si="4"/>
        <v>3</v>
      </c>
      <c r="AK218" s="32">
        <f t="shared" si="5"/>
        <v>3</v>
      </c>
      <c r="AL218" s="25">
        <f>'MASTER STOCK'!I215</f>
        <v>53000</v>
      </c>
      <c r="AM218" s="27">
        <f>'MASTER STOCK'!L215</f>
        <v>53000</v>
      </c>
      <c r="AN218" s="27">
        <f t="shared" si="6"/>
        <v>0</v>
      </c>
      <c r="AO218" s="26">
        <f t="shared" si="7"/>
        <v>0</v>
      </c>
      <c r="AP218" s="114">
        <f t="shared" si="8"/>
        <v>0</v>
      </c>
      <c r="AQ218" s="10"/>
    </row>
    <row r="219">
      <c r="A219" s="29" t="str">
        <f>'MASTER STOCK'!F216</f>
        <v>pipa quinlon 3 dim d</v>
      </c>
      <c r="B219" s="30">
        <f>'AGS 25'!AI219</f>
        <v>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23">
        <f t="shared" si="3"/>
        <v>0</v>
      </c>
      <c r="AI219" s="24">
        <v>0.0</v>
      </c>
      <c r="AJ219" s="32">
        <f t="shared" si="4"/>
        <v>1</v>
      </c>
      <c r="AK219" s="32">
        <f t="shared" si="5"/>
        <v>1</v>
      </c>
      <c r="AL219" s="25">
        <f>'MASTER STOCK'!I216</f>
        <v>78000</v>
      </c>
      <c r="AM219" s="27">
        <f>'MASTER STOCK'!L216</f>
        <v>78000</v>
      </c>
      <c r="AN219" s="27">
        <f t="shared" si="6"/>
        <v>0</v>
      </c>
      <c r="AO219" s="26">
        <f t="shared" si="7"/>
        <v>0</v>
      </c>
      <c r="AP219" s="114">
        <f t="shared" si="8"/>
        <v>0</v>
      </c>
      <c r="AQ219" s="10"/>
    </row>
    <row r="220">
      <c r="A220" s="29" t="str">
        <f>'MASTER STOCK'!F217</f>
        <v>asbes 180 x 1 m</v>
      </c>
      <c r="B220" s="30">
        <f>'AGS 25'!AI220</f>
        <v>2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23">
        <f t="shared" si="3"/>
        <v>0</v>
      </c>
      <c r="AI220" s="24">
        <v>0.0</v>
      </c>
      <c r="AJ220" s="32">
        <f t="shared" si="4"/>
        <v>2</v>
      </c>
      <c r="AK220" s="32">
        <f t="shared" si="5"/>
        <v>2</v>
      </c>
      <c r="AL220" s="25">
        <f>'MASTER STOCK'!I217</f>
        <v>59000</v>
      </c>
      <c r="AM220" s="27">
        <f>'MASTER STOCK'!L217</f>
        <v>59000</v>
      </c>
      <c r="AN220" s="27">
        <f t="shared" si="6"/>
        <v>0</v>
      </c>
      <c r="AO220" s="26">
        <f t="shared" si="7"/>
        <v>0</v>
      </c>
      <c r="AP220" s="114">
        <f t="shared" si="8"/>
        <v>0</v>
      </c>
      <c r="AQ220" s="10"/>
    </row>
    <row r="221">
      <c r="A221" s="29" t="str">
        <f>'MASTER STOCK'!F218</f>
        <v>asbes 240 x 1 m</v>
      </c>
      <c r="B221" s="30">
        <f>'AGS 25'!AI221</f>
        <v>2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22">
        <v>2.0</v>
      </c>
      <c r="Y221" s="10"/>
      <c r="Z221" s="10"/>
      <c r="AA221" s="10"/>
      <c r="AB221" s="10"/>
      <c r="AC221" s="10"/>
      <c r="AD221" s="10"/>
      <c r="AE221" s="10"/>
      <c r="AF221" s="10"/>
      <c r="AG221" s="10"/>
      <c r="AH221" s="23">
        <f t="shared" si="3"/>
        <v>2</v>
      </c>
      <c r="AI221" s="24">
        <v>0.0</v>
      </c>
      <c r="AJ221" s="32">
        <f t="shared" si="4"/>
        <v>0</v>
      </c>
      <c r="AK221" s="32">
        <f t="shared" si="5"/>
        <v>0</v>
      </c>
      <c r="AL221" s="25">
        <f>'MASTER STOCK'!I218</f>
        <v>72000</v>
      </c>
      <c r="AM221" s="27">
        <f>'MASTER STOCK'!L218</f>
        <v>72000</v>
      </c>
      <c r="AN221" s="27">
        <f t="shared" si="6"/>
        <v>144000</v>
      </c>
      <c r="AO221" s="26">
        <f t="shared" si="7"/>
        <v>0</v>
      </c>
      <c r="AP221" s="114">
        <f t="shared" si="8"/>
        <v>144000</v>
      </c>
      <c r="AQ221" s="10"/>
    </row>
    <row r="222">
      <c r="A222" s="29" t="str">
        <f>'MASTER STOCK'!F219</f>
        <v>fiber glass</v>
      </c>
      <c r="B222" s="30">
        <f>'AGS 25'!AI222</f>
        <v>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23">
        <f t="shared" si="3"/>
        <v>0</v>
      </c>
      <c r="AI222" s="24">
        <v>0.0</v>
      </c>
      <c r="AJ222" s="32">
        <f t="shared" si="4"/>
        <v>1</v>
      </c>
      <c r="AK222" s="32">
        <f t="shared" si="5"/>
        <v>1</v>
      </c>
      <c r="AL222" s="25">
        <f>'MASTER STOCK'!I219</f>
        <v>150000</v>
      </c>
      <c r="AM222" s="27">
        <f>'MASTER STOCK'!L219</f>
        <v>150000</v>
      </c>
      <c r="AN222" s="27">
        <f t="shared" si="6"/>
        <v>0</v>
      </c>
      <c r="AO222" s="26">
        <f t="shared" si="7"/>
        <v>0</v>
      </c>
      <c r="AP222" s="114">
        <f t="shared" si="8"/>
        <v>0</v>
      </c>
      <c r="AQ222" s="10"/>
    </row>
    <row r="223">
      <c r="A223" s="29" t="str">
        <f>'MASTER STOCK'!F220</f>
        <v>kasiboard 2 m</v>
      </c>
      <c r="B223" s="30">
        <f>'AGS 25'!AI223</f>
        <v>2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23">
        <f t="shared" si="3"/>
        <v>0</v>
      </c>
      <c r="AI223" s="24">
        <v>0.0</v>
      </c>
      <c r="AJ223" s="32">
        <f t="shared" si="4"/>
        <v>2</v>
      </c>
      <c r="AK223" s="32">
        <f t="shared" si="5"/>
        <v>2</v>
      </c>
      <c r="AL223" s="25">
        <f>'MASTER STOCK'!I220</f>
        <v>0</v>
      </c>
      <c r="AM223" s="27">
        <f>'MASTER STOCK'!L220</f>
        <v>0</v>
      </c>
      <c r="AN223" s="27">
        <f t="shared" si="6"/>
        <v>0</v>
      </c>
      <c r="AO223" s="26">
        <f t="shared" si="7"/>
        <v>0</v>
      </c>
      <c r="AP223" s="114">
        <f t="shared" si="8"/>
        <v>0</v>
      </c>
      <c r="AQ223" s="10"/>
    </row>
    <row r="224">
      <c r="A224" s="29" t="str">
        <f>'MASTER STOCK'!F221</f>
        <v>besi  p 10</v>
      </c>
      <c r="B224" s="30">
        <f>'AGS 25'!AI224</f>
        <v>4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23">
        <f t="shared" si="3"/>
        <v>0</v>
      </c>
      <c r="AI224" s="24">
        <v>0.0</v>
      </c>
      <c r="AJ224" s="32">
        <f t="shared" si="4"/>
        <v>4</v>
      </c>
      <c r="AK224" s="32">
        <f t="shared" si="5"/>
        <v>4</v>
      </c>
      <c r="AL224" s="25">
        <f>'MASTER STOCK'!I221</f>
        <v>71000</v>
      </c>
      <c r="AM224" s="27">
        <f>'MASTER STOCK'!L221</f>
        <v>71000</v>
      </c>
      <c r="AN224" s="27">
        <f t="shared" si="6"/>
        <v>0</v>
      </c>
      <c r="AO224" s="26">
        <f t="shared" si="7"/>
        <v>0</v>
      </c>
      <c r="AP224" s="114">
        <f t="shared" si="8"/>
        <v>0</v>
      </c>
      <c r="AQ224" s="10"/>
    </row>
    <row r="225">
      <c r="A225" s="29" t="str">
        <f>'MASTER STOCK'!F222</f>
        <v>besi  8</v>
      </c>
      <c r="B225" s="30">
        <f>'AGS 25'!AI225</f>
        <v>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23">
        <f t="shared" si="3"/>
        <v>0</v>
      </c>
      <c r="AI225" s="24">
        <v>0.0</v>
      </c>
      <c r="AJ225" s="32">
        <f t="shared" si="4"/>
        <v>1</v>
      </c>
      <c r="AK225" s="32">
        <f t="shared" si="5"/>
        <v>1</v>
      </c>
      <c r="AL225" s="25">
        <f>'MASTER STOCK'!I222</f>
        <v>43000</v>
      </c>
      <c r="AM225" s="27">
        <f>'MASTER STOCK'!L222</f>
        <v>43000</v>
      </c>
      <c r="AN225" s="27">
        <f t="shared" si="6"/>
        <v>0</v>
      </c>
      <c r="AO225" s="26">
        <f t="shared" si="7"/>
        <v>0</v>
      </c>
      <c r="AP225" s="114">
        <f t="shared" si="8"/>
        <v>0</v>
      </c>
      <c r="AQ225" s="10"/>
    </row>
    <row r="226">
      <c r="A226" s="29" t="str">
        <f>'MASTER STOCK'!F223</f>
        <v>talang seng gulung</v>
      </c>
      <c r="B226" s="30">
        <f>'AGS 25'!AI226</f>
        <v>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23">
        <f t="shared" si="3"/>
        <v>0</v>
      </c>
      <c r="AI226" s="24">
        <v>0.0</v>
      </c>
      <c r="AJ226" s="32">
        <f t="shared" si="4"/>
        <v>1</v>
      </c>
      <c r="AK226" s="32">
        <f t="shared" si="5"/>
        <v>1</v>
      </c>
      <c r="AL226" s="25">
        <f>'MASTER STOCK'!I223</f>
        <v>19000</v>
      </c>
      <c r="AM226" s="27">
        <f>'MASTER STOCK'!L223</f>
        <v>19000</v>
      </c>
      <c r="AN226" s="27">
        <f t="shared" si="6"/>
        <v>0</v>
      </c>
      <c r="AO226" s="26">
        <f t="shared" si="7"/>
        <v>0</v>
      </c>
      <c r="AP226" s="114">
        <f t="shared" si="8"/>
        <v>0</v>
      </c>
      <c r="AQ226" s="10"/>
    </row>
    <row r="227">
      <c r="A227" s="29" t="str">
        <f>'MASTER STOCK'!F224</f>
        <v>galvalum</v>
      </c>
      <c r="B227" s="30">
        <f>'AGS 25'!AI227</f>
        <v>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23">
        <f t="shared" si="3"/>
        <v>0</v>
      </c>
      <c r="AI227" s="24">
        <v>0.0</v>
      </c>
      <c r="AJ227" s="32">
        <f t="shared" si="4"/>
        <v>1</v>
      </c>
      <c r="AK227" s="32">
        <f t="shared" si="5"/>
        <v>1</v>
      </c>
      <c r="AL227" s="25">
        <f>'MASTER STOCK'!I224</f>
        <v>23000</v>
      </c>
      <c r="AM227" s="27">
        <f>'MASTER STOCK'!L224</f>
        <v>23000</v>
      </c>
      <c r="AN227" s="27">
        <f t="shared" si="6"/>
        <v>0</v>
      </c>
      <c r="AO227" s="26">
        <f t="shared" si="7"/>
        <v>0</v>
      </c>
      <c r="AP227" s="114">
        <f t="shared" si="8"/>
        <v>0</v>
      </c>
      <c r="AQ227" s="10"/>
    </row>
    <row r="228">
      <c r="A228" s="29" t="str">
        <f>'MASTER STOCK'!F225</f>
        <v>watermur 1/2</v>
      </c>
      <c r="B228" s="30">
        <f>'AGS 25'!AI228</f>
        <v>6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23">
        <f t="shared" si="3"/>
        <v>0</v>
      </c>
      <c r="AI228" s="24">
        <v>0.0</v>
      </c>
      <c r="AJ228" s="32">
        <f t="shared" si="4"/>
        <v>6</v>
      </c>
      <c r="AK228" s="32">
        <f t="shared" si="5"/>
        <v>6</v>
      </c>
      <c r="AL228" s="25">
        <f>'MASTER STOCK'!I225</f>
        <v>5000</v>
      </c>
      <c r="AM228" s="27">
        <f>'MASTER STOCK'!L225</f>
        <v>5000</v>
      </c>
      <c r="AN228" s="27">
        <f t="shared" si="6"/>
        <v>0</v>
      </c>
      <c r="AO228" s="26">
        <f t="shared" si="7"/>
        <v>0</v>
      </c>
      <c r="AP228" s="114">
        <f t="shared" si="8"/>
        <v>0</v>
      </c>
      <c r="AQ228" s="10"/>
    </row>
    <row r="229">
      <c r="A229" s="29" t="str">
        <f>'MASTER STOCK'!F226</f>
        <v>loster besar kotak</v>
      </c>
      <c r="B229" s="30">
        <f>'AGS 25'!AI229</f>
        <v>13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23">
        <f t="shared" si="3"/>
        <v>0</v>
      </c>
      <c r="AI229" s="24">
        <v>0.0</v>
      </c>
      <c r="AJ229" s="32">
        <f t="shared" si="4"/>
        <v>13</v>
      </c>
      <c r="AK229" s="32">
        <f t="shared" si="5"/>
        <v>13</v>
      </c>
      <c r="AL229" s="25">
        <f>'MASTER STOCK'!I226</f>
        <v>15500</v>
      </c>
      <c r="AM229" s="27">
        <f>'MASTER STOCK'!L226</f>
        <v>15500</v>
      </c>
      <c r="AN229" s="27">
        <f t="shared" si="6"/>
        <v>0</v>
      </c>
      <c r="AO229" s="26">
        <f t="shared" si="7"/>
        <v>0</v>
      </c>
      <c r="AP229" s="114">
        <f t="shared" si="8"/>
        <v>0</v>
      </c>
      <c r="AQ229" s="10"/>
    </row>
    <row r="230">
      <c r="A230" s="29" t="str">
        <f>'MASTER STOCK'!F227</f>
        <v>loster besar saringan</v>
      </c>
      <c r="B230" s="30">
        <f>'AGS 25'!AI230</f>
        <v>15</v>
      </c>
      <c r="C230" s="10"/>
      <c r="D230" s="10"/>
      <c r="E230" s="22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23">
        <f t="shared" si="3"/>
        <v>0</v>
      </c>
      <c r="AI230" s="24">
        <v>0.0</v>
      </c>
      <c r="AJ230" s="32">
        <f t="shared" si="4"/>
        <v>15</v>
      </c>
      <c r="AK230" s="32">
        <f t="shared" si="5"/>
        <v>15</v>
      </c>
      <c r="AL230" s="25">
        <f>'MASTER STOCK'!I227</f>
        <v>17500</v>
      </c>
      <c r="AM230" s="27">
        <f>'MASTER STOCK'!L227</f>
        <v>17500</v>
      </c>
      <c r="AN230" s="27">
        <f t="shared" si="6"/>
        <v>0</v>
      </c>
      <c r="AO230" s="26">
        <f t="shared" si="7"/>
        <v>0</v>
      </c>
      <c r="AP230" s="114">
        <f t="shared" si="8"/>
        <v>0</v>
      </c>
      <c r="AQ230" s="10"/>
    </row>
    <row r="231">
      <c r="A231" s="29" t="str">
        <f>'MASTER STOCK'!F228</f>
        <v>lem rajawali</v>
      </c>
      <c r="B231" s="30">
        <f>'AGS 25'!AI231</f>
        <v>19</v>
      </c>
      <c r="C231" s="10"/>
      <c r="D231" s="10"/>
      <c r="E231" s="22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22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23">
        <f t="shared" si="3"/>
        <v>0</v>
      </c>
      <c r="AI231" s="24">
        <v>0.0</v>
      </c>
      <c r="AJ231" s="32">
        <f t="shared" si="4"/>
        <v>19</v>
      </c>
      <c r="AK231" s="32">
        <f t="shared" si="5"/>
        <v>19</v>
      </c>
      <c r="AL231" s="25">
        <f>'MASTER STOCK'!I228</f>
        <v>19500</v>
      </c>
      <c r="AM231" s="27">
        <f>'MASTER STOCK'!L228</f>
        <v>21500</v>
      </c>
      <c r="AN231" s="27">
        <f t="shared" si="6"/>
        <v>0</v>
      </c>
      <c r="AO231" s="26">
        <f t="shared" si="7"/>
        <v>0</v>
      </c>
      <c r="AP231" s="114">
        <f t="shared" si="8"/>
        <v>0</v>
      </c>
      <c r="AQ231" s="10"/>
    </row>
    <row r="232">
      <c r="A232" s="29" t="str">
        <f>'MASTER STOCK'!F229</f>
        <v>pain roller nippon pain</v>
      </c>
      <c r="B232" s="30">
        <f>'AGS 25'!AI232</f>
        <v>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23">
        <f t="shared" si="3"/>
        <v>0</v>
      </c>
      <c r="AI232" s="24">
        <v>0.0</v>
      </c>
      <c r="AJ232" s="32">
        <f t="shared" si="4"/>
        <v>1</v>
      </c>
      <c r="AK232" s="32">
        <f t="shared" si="5"/>
        <v>1</v>
      </c>
      <c r="AL232" s="25">
        <f>'MASTER STOCK'!I229</f>
        <v>30000</v>
      </c>
      <c r="AM232" s="27">
        <f>'MASTER STOCK'!L229</f>
        <v>30000</v>
      </c>
      <c r="AN232" s="27">
        <f t="shared" si="6"/>
        <v>0</v>
      </c>
      <c r="AO232" s="26">
        <f t="shared" si="7"/>
        <v>0</v>
      </c>
      <c r="AP232" s="114">
        <f t="shared" si="8"/>
        <v>0</v>
      </c>
      <c r="AQ232" s="10"/>
    </row>
    <row r="233">
      <c r="A233" s="29" t="str">
        <f>'MASTER STOCK'!F230</f>
        <v>pain roller index </v>
      </c>
      <c r="B233" s="30">
        <f>'AGS 25'!AI233</f>
        <v>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23">
        <f t="shared" si="3"/>
        <v>0</v>
      </c>
      <c r="AI233" s="24">
        <v>0.0</v>
      </c>
      <c r="AJ233" s="32">
        <f t="shared" si="4"/>
        <v>1</v>
      </c>
      <c r="AK233" s="32">
        <f t="shared" si="5"/>
        <v>1</v>
      </c>
      <c r="AL233" s="25">
        <f>'MASTER STOCK'!I230</f>
        <v>25000</v>
      </c>
      <c r="AM233" s="27">
        <f>'MASTER STOCK'!L230</f>
        <v>25000</v>
      </c>
      <c r="AN233" s="27">
        <f t="shared" si="6"/>
        <v>0</v>
      </c>
      <c r="AO233" s="26">
        <f t="shared" si="7"/>
        <v>0</v>
      </c>
      <c r="AP233" s="114">
        <f t="shared" si="8"/>
        <v>0</v>
      </c>
      <c r="AQ233" s="10"/>
    </row>
    <row r="234">
      <c r="A234" s="29" t="str">
        <f>'MASTER STOCK'!F231</f>
        <v>timba</v>
      </c>
      <c r="B234" s="30">
        <f>'AGS 25'!AI234</f>
        <v>8</v>
      </c>
      <c r="C234" s="22">
        <v>2.0</v>
      </c>
      <c r="D234" s="10"/>
      <c r="E234" s="10"/>
      <c r="F234" s="10"/>
      <c r="G234" s="10"/>
      <c r="H234" s="10"/>
      <c r="I234" s="22">
        <v>1.0</v>
      </c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22">
        <v>1.0</v>
      </c>
      <c r="AH234" s="23">
        <f t="shared" si="3"/>
        <v>4</v>
      </c>
      <c r="AI234" s="24">
        <v>0.0</v>
      </c>
      <c r="AJ234" s="32">
        <f t="shared" si="4"/>
        <v>4</v>
      </c>
      <c r="AK234" s="32">
        <f t="shared" si="5"/>
        <v>4</v>
      </c>
      <c r="AL234" s="25">
        <f>'MASTER STOCK'!I231</f>
        <v>10000</v>
      </c>
      <c r="AM234" s="27">
        <f>'MASTER STOCK'!L231</f>
        <v>10000</v>
      </c>
      <c r="AN234" s="27">
        <f t="shared" si="6"/>
        <v>40000</v>
      </c>
      <c r="AO234" s="26">
        <f t="shared" si="7"/>
        <v>0</v>
      </c>
      <c r="AP234" s="114">
        <f t="shared" si="8"/>
        <v>40000</v>
      </c>
      <c r="AQ234" s="10"/>
    </row>
    <row r="235">
      <c r="A235" s="29" t="str">
        <f>'MASTER STOCK'!F232</f>
        <v>paku 5</v>
      </c>
      <c r="B235" s="30">
        <f>'AGS 25'!AI235</f>
        <v>0.4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22">
        <v>1.0</v>
      </c>
      <c r="Z235" s="10"/>
      <c r="AA235" s="10"/>
      <c r="AB235" s="10"/>
      <c r="AC235" s="10"/>
      <c r="AD235" s="10"/>
      <c r="AE235" s="10"/>
      <c r="AF235" s="10"/>
      <c r="AG235" s="10"/>
      <c r="AH235" s="23">
        <f t="shared" si="3"/>
        <v>1</v>
      </c>
      <c r="AI235" s="24">
        <v>0.0</v>
      </c>
      <c r="AJ235" s="32">
        <f t="shared" si="4"/>
        <v>-0.6</v>
      </c>
      <c r="AK235" s="32">
        <f t="shared" si="5"/>
        <v>-0.6</v>
      </c>
      <c r="AL235" s="25">
        <f>'MASTER STOCK'!I232</f>
        <v>26000</v>
      </c>
      <c r="AM235" s="27">
        <f>'MASTER STOCK'!L232</f>
        <v>26000</v>
      </c>
      <c r="AN235" s="27">
        <f t="shared" si="6"/>
        <v>26000</v>
      </c>
      <c r="AO235" s="26">
        <f t="shared" si="7"/>
        <v>0</v>
      </c>
      <c r="AP235" s="114">
        <f t="shared" si="8"/>
        <v>26000</v>
      </c>
      <c r="AQ235" s="10"/>
    </row>
    <row r="236">
      <c r="A236" s="29" t="str">
        <f>'MASTER STOCK'!F233</f>
        <v>paku 3 1/2</v>
      </c>
      <c r="B236" s="30">
        <f>'AGS 25'!AI236</f>
        <v>5.5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23">
        <f t="shared" si="3"/>
        <v>0</v>
      </c>
      <c r="AI236" s="24">
        <v>0.0</v>
      </c>
      <c r="AJ236" s="32">
        <f t="shared" si="4"/>
        <v>5.5</v>
      </c>
      <c r="AK236" s="32">
        <f t="shared" si="5"/>
        <v>5.5</v>
      </c>
      <c r="AL236" s="25">
        <f>'MASTER STOCK'!I233</f>
        <v>24000</v>
      </c>
      <c r="AM236" s="27">
        <f>'MASTER STOCK'!L233</f>
        <v>24000</v>
      </c>
      <c r="AN236" s="27">
        <f t="shared" si="6"/>
        <v>0</v>
      </c>
      <c r="AO236" s="26">
        <f t="shared" si="7"/>
        <v>0</v>
      </c>
      <c r="AP236" s="114">
        <f t="shared" si="8"/>
        <v>0</v>
      </c>
      <c r="AQ236" s="10"/>
    </row>
    <row r="237">
      <c r="A237" s="29" t="str">
        <f>'MASTER STOCK'!F234</f>
        <v>geraji</v>
      </c>
      <c r="B237" s="30">
        <f>'AGS 25'!AI237</f>
        <v>8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23">
        <f t="shared" si="3"/>
        <v>0</v>
      </c>
      <c r="AI237" s="24">
        <v>0.0</v>
      </c>
      <c r="AJ237" s="32">
        <f t="shared" si="4"/>
        <v>8</v>
      </c>
      <c r="AK237" s="32">
        <f t="shared" si="5"/>
        <v>8</v>
      </c>
      <c r="AL237" s="25">
        <f>'MASTER STOCK'!I234</f>
        <v>30000</v>
      </c>
      <c r="AM237" s="27">
        <f>'MASTER STOCK'!L234</f>
        <v>30000</v>
      </c>
      <c r="AN237" s="27">
        <f t="shared" si="6"/>
        <v>0</v>
      </c>
      <c r="AO237" s="26">
        <f t="shared" si="7"/>
        <v>0</v>
      </c>
      <c r="AP237" s="114">
        <f t="shared" si="8"/>
        <v>0</v>
      </c>
      <c r="AQ237" s="10"/>
    </row>
    <row r="238">
      <c r="A238" s="29" t="str">
        <f>'MASTER STOCK'!F235</f>
        <v>cutter</v>
      </c>
      <c r="B238" s="30">
        <f>'AGS 25'!AI238</f>
        <v>10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23">
        <f t="shared" si="3"/>
        <v>0</v>
      </c>
      <c r="AI238" s="24">
        <v>0.0</v>
      </c>
      <c r="AJ238" s="32">
        <f t="shared" si="4"/>
        <v>10</v>
      </c>
      <c r="AK238" s="32">
        <f t="shared" si="5"/>
        <v>10</v>
      </c>
      <c r="AL238" s="25">
        <f>'MASTER STOCK'!I235</f>
        <v>3000</v>
      </c>
      <c r="AM238" s="27">
        <f>'MASTER STOCK'!L235</f>
        <v>3000</v>
      </c>
      <c r="AN238" s="27">
        <f t="shared" si="6"/>
        <v>0</v>
      </c>
      <c r="AO238" s="26">
        <f t="shared" si="7"/>
        <v>0</v>
      </c>
      <c r="AP238" s="114">
        <f t="shared" si="8"/>
        <v>0</v>
      </c>
      <c r="AQ238" s="10"/>
    </row>
    <row r="239">
      <c r="A239" s="29" t="str">
        <f>'MASTER STOCK'!F236</f>
        <v>cutter joyko</v>
      </c>
      <c r="B239" s="30">
        <f>'AGS 25'!AI239</f>
        <v>3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23">
        <f t="shared" si="3"/>
        <v>0</v>
      </c>
      <c r="AI239" s="24">
        <v>0.0</v>
      </c>
      <c r="AJ239" s="32">
        <f t="shared" si="4"/>
        <v>3</v>
      </c>
      <c r="AK239" s="32">
        <f t="shared" si="5"/>
        <v>3</v>
      </c>
      <c r="AL239" s="25">
        <f>'MASTER STOCK'!I236</f>
        <v>5000</v>
      </c>
      <c r="AM239" s="27">
        <f>'MASTER STOCK'!L236</f>
        <v>5000</v>
      </c>
      <c r="AN239" s="27">
        <f t="shared" si="6"/>
        <v>0</v>
      </c>
      <c r="AO239" s="26">
        <f t="shared" si="7"/>
        <v>0</v>
      </c>
      <c r="AP239" s="114">
        <f t="shared" si="8"/>
        <v>0</v>
      </c>
      <c r="AQ239" s="10"/>
    </row>
    <row r="240">
      <c r="A240" s="29" t="str">
        <f>'MASTER STOCK'!F237</f>
        <v>tang</v>
      </c>
      <c r="B240" s="30">
        <f>'AGS 25'!AI240</f>
        <v>2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23">
        <f t="shared" si="3"/>
        <v>0</v>
      </c>
      <c r="AI240" s="24">
        <v>0.0</v>
      </c>
      <c r="AJ240" s="32">
        <f t="shared" si="4"/>
        <v>2</v>
      </c>
      <c r="AK240" s="32">
        <f t="shared" si="5"/>
        <v>2</v>
      </c>
      <c r="AL240" s="25">
        <f>'MASTER STOCK'!I237</f>
        <v>29500</v>
      </c>
      <c r="AM240" s="27">
        <f>'MASTER STOCK'!L237</f>
        <v>29500</v>
      </c>
      <c r="AN240" s="27">
        <f t="shared" si="6"/>
        <v>0</v>
      </c>
      <c r="AO240" s="26">
        <f t="shared" si="7"/>
        <v>0</v>
      </c>
      <c r="AP240" s="114">
        <f t="shared" si="8"/>
        <v>0</v>
      </c>
      <c r="AQ240" s="10"/>
    </row>
    <row r="241">
      <c r="A241" s="29" t="str">
        <f>'MASTER STOCK'!F238</f>
        <v>sarung tangan karet</v>
      </c>
      <c r="B241" s="30">
        <f>'AGS 25'!AI241</f>
        <v>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23">
        <f t="shared" si="3"/>
        <v>0</v>
      </c>
      <c r="AI241" s="24">
        <v>0.0</v>
      </c>
      <c r="AJ241" s="32">
        <f t="shared" si="4"/>
        <v>1</v>
      </c>
      <c r="AK241" s="32">
        <f t="shared" si="5"/>
        <v>1</v>
      </c>
      <c r="AL241" s="25">
        <f>'MASTER STOCK'!I238</f>
        <v>1600</v>
      </c>
      <c r="AM241" s="27">
        <f>'MASTER STOCK'!L238</f>
        <v>1600</v>
      </c>
      <c r="AN241" s="27">
        <f t="shared" si="6"/>
        <v>0</v>
      </c>
      <c r="AO241" s="26">
        <f t="shared" si="7"/>
        <v>0</v>
      </c>
      <c r="AP241" s="114">
        <f t="shared" si="8"/>
        <v>0</v>
      </c>
      <c r="AQ241" s="10"/>
    </row>
    <row r="242">
      <c r="A242" s="29" t="str">
        <f>'MASTER STOCK'!F239</f>
        <v>batrai panasonic 1,5 volt AAA</v>
      </c>
      <c r="B242" s="30">
        <f>'AGS 25'!AI242</f>
        <v>4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23">
        <f t="shared" si="3"/>
        <v>0</v>
      </c>
      <c r="AI242" s="24">
        <v>0.0</v>
      </c>
      <c r="AJ242" s="32">
        <f t="shared" si="4"/>
        <v>4</v>
      </c>
      <c r="AK242" s="32">
        <f t="shared" si="5"/>
        <v>4</v>
      </c>
      <c r="AL242" s="25">
        <f>'MASTER STOCK'!I239</f>
        <v>4500</v>
      </c>
      <c r="AM242" s="27">
        <f>'MASTER STOCK'!L239</f>
        <v>3000</v>
      </c>
      <c r="AN242" s="27">
        <f t="shared" si="6"/>
        <v>0</v>
      </c>
      <c r="AO242" s="26">
        <f t="shared" si="7"/>
        <v>0</v>
      </c>
      <c r="AP242" s="114">
        <f t="shared" si="8"/>
        <v>0</v>
      </c>
      <c r="AQ242" s="10"/>
    </row>
    <row r="243">
      <c r="A243" s="29" t="str">
        <f>'MASTER STOCK'!F240</f>
        <v>penggaris siku</v>
      </c>
      <c r="B243" s="30">
        <f>'AGS 25'!AI243</f>
        <v>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23">
        <f t="shared" si="3"/>
        <v>0</v>
      </c>
      <c r="AI243" s="24">
        <v>0.0</v>
      </c>
      <c r="AJ243" s="32">
        <f t="shared" si="4"/>
        <v>1</v>
      </c>
      <c r="AK243" s="32">
        <f t="shared" si="5"/>
        <v>1</v>
      </c>
      <c r="AL243" s="25">
        <f>'MASTER STOCK'!I240</f>
        <v>41500</v>
      </c>
      <c r="AM243" s="27">
        <f>'MASTER STOCK'!L240</f>
        <v>41500</v>
      </c>
      <c r="AN243" s="27">
        <f t="shared" si="6"/>
        <v>0</v>
      </c>
      <c r="AO243" s="26">
        <f t="shared" si="7"/>
        <v>0</v>
      </c>
      <c r="AP243" s="114">
        <f t="shared" si="8"/>
        <v>0</v>
      </c>
      <c r="AQ243" s="10"/>
    </row>
    <row r="244">
      <c r="A244" s="29" t="str">
        <f>'MASTER STOCK'!F241</f>
        <v>turbo cut 1,2 mm</v>
      </c>
      <c r="B244" s="30">
        <f>'AGS 25'!AI244</f>
        <v>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23">
        <f t="shared" si="3"/>
        <v>0</v>
      </c>
      <c r="AI244" s="24">
        <v>0.0</v>
      </c>
      <c r="AJ244" s="32">
        <f t="shared" si="4"/>
        <v>1</v>
      </c>
      <c r="AK244" s="32">
        <f t="shared" si="5"/>
        <v>1</v>
      </c>
      <c r="AL244" s="25">
        <f>'MASTER STOCK'!I241</f>
        <v>35000</v>
      </c>
      <c r="AM244" s="27">
        <f>'MASTER STOCK'!L241</f>
        <v>35000</v>
      </c>
      <c r="AN244" s="27">
        <f t="shared" si="6"/>
        <v>0</v>
      </c>
      <c r="AO244" s="26">
        <f t="shared" si="7"/>
        <v>0</v>
      </c>
      <c r="AP244" s="114">
        <f t="shared" si="8"/>
        <v>0</v>
      </c>
      <c r="AQ244" s="10"/>
    </row>
    <row r="245">
      <c r="A245" s="29" t="str">
        <f>'MASTER STOCK'!F242</f>
        <v>diamond cutting well</v>
      </c>
      <c r="B245" s="30">
        <f>'AGS 25'!AI245</f>
        <v>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23">
        <f t="shared" si="3"/>
        <v>0</v>
      </c>
      <c r="AI245" s="24">
        <v>0.0</v>
      </c>
      <c r="AJ245" s="32">
        <f t="shared" si="4"/>
        <v>1</v>
      </c>
      <c r="AK245" s="32">
        <f t="shared" si="5"/>
        <v>1</v>
      </c>
      <c r="AL245" s="25">
        <f>'MASTER STOCK'!I242</f>
        <v>35000</v>
      </c>
      <c r="AM245" s="27">
        <f>'MASTER STOCK'!L242</f>
        <v>35000</v>
      </c>
      <c r="AN245" s="27">
        <f t="shared" si="6"/>
        <v>0</v>
      </c>
      <c r="AO245" s="26">
        <f t="shared" si="7"/>
        <v>0</v>
      </c>
      <c r="AP245" s="114">
        <f t="shared" si="8"/>
        <v>0</v>
      </c>
      <c r="AQ245" s="10"/>
    </row>
    <row r="246">
      <c r="A246" s="29" t="str">
        <f>'MASTER STOCK'!F243</f>
        <v>paku 1 1/4</v>
      </c>
      <c r="B246" s="30">
        <f>'AGS 25'!AI246</f>
        <v>0.5</v>
      </c>
      <c r="C246" s="10"/>
      <c r="D246" s="10"/>
      <c r="E246" s="22"/>
      <c r="F246" s="10"/>
      <c r="G246" s="10"/>
      <c r="H246" s="10"/>
      <c r="I246" s="10"/>
      <c r="J246" s="22">
        <v>0.35</v>
      </c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23">
        <f t="shared" si="3"/>
        <v>0.35</v>
      </c>
      <c r="AI246" s="24">
        <v>0.0</v>
      </c>
      <c r="AJ246" s="32">
        <f t="shared" si="4"/>
        <v>0.15</v>
      </c>
      <c r="AK246" s="32">
        <f t="shared" si="5"/>
        <v>0.15</v>
      </c>
      <c r="AL246" s="25">
        <f>'MASTER STOCK'!I243</f>
        <v>25000</v>
      </c>
      <c r="AM246" s="27">
        <f>'MASTER STOCK'!L243</f>
        <v>25000</v>
      </c>
      <c r="AN246" s="27">
        <f t="shared" si="6"/>
        <v>8750</v>
      </c>
      <c r="AO246" s="26">
        <f t="shared" si="7"/>
        <v>0</v>
      </c>
      <c r="AP246" s="114">
        <f t="shared" si="8"/>
        <v>8750</v>
      </c>
      <c r="AQ246" s="10"/>
    </row>
    <row r="247">
      <c r="A247" s="29" t="str">
        <f>'MASTER STOCK'!F244</f>
        <v>siku  kecil</v>
      </c>
      <c r="B247" s="30">
        <f>'AGS 25'!AI247</f>
        <v>7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23">
        <f t="shared" si="3"/>
        <v>0</v>
      </c>
      <c r="AI247" s="24">
        <v>0.0</v>
      </c>
      <c r="AJ247" s="32">
        <f t="shared" si="4"/>
        <v>7</v>
      </c>
      <c r="AK247" s="32">
        <f t="shared" si="5"/>
        <v>7</v>
      </c>
      <c r="AL247" s="25">
        <f>'MASTER STOCK'!I244</f>
        <v>7500</v>
      </c>
      <c r="AM247" s="27">
        <f>'MASTER STOCK'!L244</f>
        <v>7500</v>
      </c>
      <c r="AN247" s="27">
        <f t="shared" si="6"/>
        <v>0</v>
      </c>
      <c r="AO247" s="26">
        <f t="shared" si="7"/>
        <v>0</v>
      </c>
      <c r="AP247" s="114">
        <f t="shared" si="8"/>
        <v>0</v>
      </c>
      <c r="AQ247" s="10"/>
    </row>
    <row r="248">
      <c r="A248" s="29" t="str">
        <f>'MASTER STOCK'!F245</f>
        <v>paku 6</v>
      </c>
      <c r="B248" s="30">
        <f>'AGS 25'!AI248</f>
        <v>0.5</v>
      </c>
      <c r="C248" s="10"/>
      <c r="D248" s="10"/>
      <c r="E248" s="10"/>
      <c r="F248" s="10"/>
      <c r="G248" s="10"/>
      <c r="H248" s="10"/>
      <c r="I248" s="22">
        <v>1.0</v>
      </c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22">
        <v>1.0</v>
      </c>
      <c r="Z248" s="10"/>
      <c r="AA248" s="10"/>
      <c r="AB248" s="10"/>
      <c r="AC248" s="10"/>
      <c r="AD248" s="10"/>
      <c r="AE248" s="10"/>
      <c r="AF248" s="10"/>
      <c r="AG248" s="10"/>
      <c r="AH248" s="23">
        <f t="shared" si="3"/>
        <v>2</v>
      </c>
      <c r="AI248" s="24">
        <v>0.0</v>
      </c>
      <c r="AJ248" s="32">
        <f t="shared" si="4"/>
        <v>-1.5</v>
      </c>
      <c r="AK248" s="32">
        <f t="shared" si="5"/>
        <v>-1.5</v>
      </c>
      <c r="AL248" s="25">
        <f>'MASTER STOCK'!I245</f>
        <v>26000</v>
      </c>
      <c r="AM248" s="27">
        <f>'MASTER STOCK'!L245</f>
        <v>26000</v>
      </c>
      <c r="AN248" s="27">
        <f t="shared" si="6"/>
        <v>52000</v>
      </c>
      <c r="AO248" s="26">
        <f t="shared" si="7"/>
        <v>0</v>
      </c>
      <c r="AP248" s="114">
        <f t="shared" si="8"/>
        <v>52000</v>
      </c>
      <c r="AQ248" s="10"/>
    </row>
    <row r="249">
      <c r="A249" s="29" t="str">
        <f>'MASTER STOCK'!F246</f>
        <v>paku 4</v>
      </c>
      <c r="B249" s="30">
        <f>'AGS 25'!AI249</f>
        <v>5.5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22">
        <v>1.5</v>
      </c>
      <c r="Z249" s="10"/>
      <c r="AA249" s="10"/>
      <c r="AB249" s="10"/>
      <c r="AC249" s="10"/>
      <c r="AD249" s="10"/>
      <c r="AE249" s="10"/>
      <c r="AF249" s="10"/>
      <c r="AG249" s="10"/>
      <c r="AH249" s="23">
        <f t="shared" si="3"/>
        <v>1.5</v>
      </c>
      <c r="AI249" s="24">
        <v>0.0</v>
      </c>
      <c r="AJ249" s="32">
        <f t="shared" si="4"/>
        <v>4</v>
      </c>
      <c r="AK249" s="32">
        <f t="shared" si="5"/>
        <v>4</v>
      </c>
      <c r="AL249" s="25">
        <f>'MASTER STOCK'!I246</f>
        <v>2600</v>
      </c>
      <c r="AM249" s="27">
        <f>'MASTER STOCK'!L246</f>
        <v>2600</v>
      </c>
      <c r="AN249" s="27">
        <f t="shared" si="6"/>
        <v>3900</v>
      </c>
      <c r="AO249" s="26">
        <f t="shared" si="7"/>
        <v>0</v>
      </c>
      <c r="AP249" s="114">
        <f t="shared" si="8"/>
        <v>3900</v>
      </c>
      <c r="AQ249" s="10"/>
    </row>
    <row r="250">
      <c r="A250" s="29" t="str">
        <f>'MASTER STOCK'!F247</f>
        <v>kasutan /  trowel</v>
      </c>
      <c r="B250" s="30">
        <f>'AGS 25'!AI250</f>
        <v>4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23">
        <f t="shared" si="3"/>
        <v>0</v>
      </c>
      <c r="AI250" s="24">
        <v>0.0</v>
      </c>
      <c r="AJ250" s="32">
        <f t="shared" si="4"/>
        <v>4</v>
      </c>
      <c r="AK250" s="32">
        <f t="shared" si="5"/>
        <v>4</v>
      </c>
      <c r="AL250" s="25">
        <f>'MASTER STOCK'!I247</f>
        <v>13500</v>
      </c>
      <c r="AM250" s="27">
        <f>'MASTER STOCK'!L247</f>
        <v>13500</v>
      </c>
      <c r="AN250" s="27">
        <f t="shared" si="6"/>
        <v>0</v>
      </c>
      <c r="AO250" s="26">
        <f t="shared" si="7"/>
        <v>0</v>
      </c>
      <c r="AP250" s="114">
        <f t="shared" si="8"/>
        <v>0</v>
      </c>
      <c r="AQ250" s="10"/>
    </row>
    <row r="251">
      <c r="A251" s="29" t="str">
        <f>'MASTER STOCK'!F248</f>
        <v>kapi 3 dim</v>
      </c>
      <c r="B251" s="30">
        <f>'AGS 25'!AI251</f>
        <v>2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23">
        <f t="shared" si="3"/>
        <v>0</v>
      </c>
      <c r="AI251" s="24">
        <v>0.0</v>
      </c>
      <c r="AJ251" s="32">
        <f t="shared" si="4"/>
        <v>2</v>
      </c>
      <c r="AK251" s="32">
        <f t="shared" si="5"/>
        <v>2</v>
      </c>
      <c r="AL251" s="25">
        <f>'MASTER STOCK'!I248</f>
        <v>5500</v>
      </c>
      <c r="AM251" s="27">
        <f>'MASTER STOCK'!L248</f>
        <v>5500</v>
      </c>
      <c r="AN251" s="27">
        <f t="shared" si="6"/>
        <v>0</v>
      </c>
      <c r="AO251" s="26">
        <f t="shared" si="7"/>
        <v>0</v>
      </c>
      <c r="AP251" s="114">
        <f t="shared" si="8"/>
        <v>0</v>
      </c>
      <c r="AQ251" s="10"/>
    </row>
    <row r="252">
      <c r="A252" s="29" t="str">
        <f>'MASTER STOCK'!F249</f>
        <v>kapi 5 dim</v>
      </c>
      <c r="B252" s="30">
        <f>'AGS 25'!AI252</f>
        <v>3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23">
        <f t="shared" si="3"/>
        <v>0</v>
      </c>
      <c r="AI252" s="24">
        <v>0.0</v>
      </c>
      <c r="AJ252" s="32">
        <f t="shared" si="4"/>
        <v>3</v>
      </c>
      <c r="AK252" s="32">
        <f t="shared" si="5"/>
        <v>3</v>
      </c>
      <c r="AL252" s="25">
        <f>'MASTER STOCK'!I249</f>
        <v>7500</v>
      </c>
      <c r="AM252" s="27">
        <f>'MASTER STOCK'!L249</f>
        <v>7500</v>
      </c>
      <c r="AN252" s="27">
        <f t="shared" si="6"/>
        <v>0</v>
      </c>
      <c r="AO252" s="26">
        <f t="shared" si="7"/>
        <v>0</v>
      </c>
      <c r="AP252" s="114">
        <f t="shared" si="8"/>
        <v>0</v>
      </c>
      <c r="AQ252" s="10"/>
    </row>
    <row r="253">
      <c r="A253" s="29" t="str">
        <f>'MASTER STOCK'!F250</f>
        <v>cetok sukun hitam</v>
      </c>
      <c r="B253" s="30">
        <f>'AGS 25'!AI253</f>
        <v>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23">
        <f t="shared" si="3"/>
        <v>0</v>
      </c>
      <c r="AI253" s="24">
        <v>0.0</v>
      </c>
      <c r="AJ253" s="32">
        <f t="shared" si="4"/>
        <v>1</v>
      </c>
      <c r="AK253" s="32">
        <f t="shared" si="5"/>
        <v>1</v>
      </c>
      <c r="AL253" s="25">
        <f>'MASTER STOCK'!I250</f>
        <v>25000</v>
      </c>
      <c r="AM253" s="27">
        <f>'MASTER STOCK'!L250</f>
        <v>25000</v>
      </c>
      <c r="AN253" s="27">
        <f t="shared" si="6"/>
        <v>0</v>
      </c>
      <c r="AO253" s="26">
        <f t="shared" si="7"/>
        <v>0</v>
      </c>
      <c r="AP253" s="114">
        <f t="shared" si="8"/>
        <v>0</v>
      </c>
      <c r="AQ253" s="10"/>
    </row>
    <row r="254">
      <c r="A254" s="29" t="str">
        <f>'MASTER STOCK'!F251</f>
        <v>cetok sukun sedang</v>
      </c>
      <c r="B254" s="30">
        <f>'AGS 25'!AI254</f>
        <v>2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23">
        <f t="shared" si="3"/>
        <v>0</v>
      </c>
      <c r="AI254" s="24">
        <v>0.0</v>
      </c>
      <c r="AJ254" s="32">
        <f t="shared" si="4"/>
        <v>2</v>
      </c>
      <c r="AK254" s="32">
        <f t="shared" si="5"/>
        <v>2</v>
      </c>
      <c r="AL254" s="25">
        <f>'MASTER STOCK'!I251</f>
        <v>17000</v>
      </c>
      <c r="AM254" s="27">
        <f>'MASTER STOCK'!L251</f>
        <v>17000</v>
      </c>
      <c r="AN254" s="27">
        <f t="shared" si="6"/>
        <v>0</v>
      </c>
      <c r="AO254" s="26">
        <f t="shared" si="7"/>
        <v>0</v>
      </c>
      <c r="AP254" s="114">
        <f t="shared" si="8"/>
        <v>0</v>
      </c>
      <c r="AQ254" s="10"/>
    </row>
    <row r="255">
      <c r="A255" s="29" t="str">
        <f>'MASTER STOCK'!F252</f>
        <v>cetak sukun kecil</v>
      </c>
      <c r="B255" s="30">
        <f>'AGS 25'!AI255</f>
        <v>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23">
        <f t="shared" si="3"/>
        <v>0</v>
      </c>
      <c r="AI255" s="24">
        <v>0.0</v>
      </c>
      <c r="AJ255" s="32">
        <f t="shared" si="4"/>
        <v>1</v>
      </c>
      <c r="AK255" s="32">
        <f t="shared" si="5"/>
        <v>1</v>
      </c>
      <c r="AL255" s="25">
        <f>'MASTER STOCK'!I252</f>
        <v>14000</v>
      </c>
      <c r="AM255" s="27">
        <f>'MASTER STOCK'!L252</f>
        <v>14000</v>
      </c>
      <c r="AN255" s="27">
        <f t="shared" si="6"/>
        <v>0</v>
      </c>
      <c r="AO255" s="26">
        <f t="shared" si="7"/>
        <v>0</v>
      </c>
      <c r="AP255" s="114">
        <f t="shared" si="8"/>
        <v>0</v>
      </c>
      <c r="AQ255" s="10"/>
    </row>
    <row r="256">
      <c r="A256" s="29" t="str">
        <f>'MASTER STOCK'!F253</f>
        <v>paku payung</v>
      </c>
      <c r="B256" s="30">
        <f>'AGS 25'!AI256</f>
        <v>57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23">
        <f t="shared" si="3"/>
        <v>0</v>
      </c>
      <c r="AI256" s="24">
        <v>0.0</v>
      </c>
      <c r="AJ256" s="32">
        <f t="shared" si="4"/>
        <v>57</v>
      </c>
      <c r="AK256" s="32">
        <f t="shared" si="5"/>
        <v>57</v>
      </c>
      <c r="AL256" s="25">
        <f>'MASTER STOCK'!I253</f>
        <v>25000</v>
      </c>
      <c r="AM256" s="27">
        <f>'MASTER STOCK'!L253</f>
        <v>25000</v>
      </c>
      <c r="AN256" s="27">
        <f t="shared" si="6"/>
        <v>0</v>
      </c>
      <c r="AO256" s="26">
        <f t="shared" si="7"/>
        <v>0</v>
      </c>
      <c r="AP256" s="114">
        <f t="shared" si="8"/>
        <v>0</v>
      </c>
      <c r="AQ256" s="10"/>
    </row>
    <row r="257">
      <c r="A257" s="29" t="str">
        <f>'MASTER STOCK'!F254</f>
        <v>pinnes</v>
      </c>
      <c r="B257" s="30">
        <f>'AGS 25'!AI257</f>
        <v>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23">
        <f t="shared" si="3"/>
        <v>0</v>
      </c>
      <c r="AI257" s="24">
        <v>0.0</v>
      </c>
      <c r="AJ257" s="32">
        <f t="shared" si="4"/>
        <v>1</v>
      </c>
      <c r="AK257" s="32">
        <f t="shared" si="5"/>
        <v>1</v>
      </c>
      <c r="AL257" s="25">
        <f>'MASTER STOCK'!I254</f>
        <v>6000</v>
      </c>
      <c r="AM257" s="27">
        <f>'MASTER STOCK'!L254</f>
        <v>6000</v>
      </c>
      <c r="AN257" s="27">
        <f t="shared" si="6"/>
        <v>0</v>
      </c>
      <c r="AO257" s="26">
        <f t="shared" si="7"/>
        <v>0</v>
      </c>
      <c r="AP257" s="114">
        <f t="shared" si="8"/>
        <v>0</v>
      </c>
      <c r="AQ257" s="10"/>
    </row>
    <row r="258">
      <c r="A258" s="29" t="str">
        <f>'MASTER STOCK'!F255</f>
        <v>jaring kawat 1/2</v>
      </c>
      <c r="B258" s="30">
        <f>'AGS 25'!AI258</f>
        <v>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23">
        <f t="shared" si="3"/>
        <v>0</v>
      </c>
      <c r="AI258" s="24">
        <v>0.0</v>
      </c>
      <c r="AJ258" s="32">
        <f t="shared" si="4"/>
        <v>1</v>
      </c>
      <c r="AK258" s="32">
        <f t="shared" si="5"/>
        <v>1</v>
      </c>
      <c r="AL258" s="25">
        <f>'MASTER STOCK'!I255</f>
        <v>14000</v>
      </c>
      <c r="AM258" s="27">
        <f>'MASTER STOCK'!L255</f>
        <v>14000</v>
      </c>
      <c r="AN258" s="27">
        <f t="shared" si="6"/>
        <v>0</v>
      </c>
      <c r="AO258" s="26">
        <f t="shared" si="7"/>
        <v>0</v>
      </c>
      <c r="AP258" s="114">
        <f t="shared" si="8"/>
        <v>0</v>
      </c>
      <c r="AQ258" s="10"/>
    </row>
    <row r="259">
      <c r="A259" s="29" t="str">
        <f>'MASTER STOCK'!F256</f>
        <v>jaring kawat 1/4</v>
      </c>
      <c r="B259" s="30">
        <f>'AGS 25'!AI259</f>
        <v>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23">
        <f t="shared" si="3"/>
        <v>0</v>
      </c>
      <c r="AI259" s="24">
        <v>0.0</v>
      </c>
      <c r="AJ259" s="32">
        <f t="shared" si="4"/>
        <v>1</v>
      </c>
      <c r="AK259" s="32">
        <f t="shared" si="5"/>
        <v>1</v>
      </c>
      <c r="AL259" s="25">
        <f>'MASTER STOCK'!I256</f>
        <v>15000</v>
      </c>
      <c r="AM259" s="27">
        <f>'MASTER STOCK'!L256</f>
        <v>15000</v>
      </c>
      <c r="AN259" s="27">
        <f t="shared" si="6"/>
        <v>0</v>
      </c>
      <c r="AO259" s="26">
        <f t="shared" si="7"/>
        <v>0</v>
      </c>
      <c r="AP259" s="114">
        <f t="shared" si="8"/>
        <v>0</v>
      </c>
      <c r="AQ259" s="10"/>
    </row>
    <row r="260">
      <c r="A260" s="29" t="str">
        <f>'MASTER STOCK'!F257</f>
        <v>lampu kepala</v>
      </c>
      <c r="B260" s="30">
        <f>'AGS 25'!AI260</f>
        <v>4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23">
        <f t="shared" si="3"/>
        <v>0</v>
      </c>
      <c r="AI260" s="24">
        <v>0.0</v>
      </c>
      <c r="AJ260" s="32">
        <f t="shared" si="4"/>
        <v>4</v>
      </c>
      <c r="AK260" s="32">
        <f t="shared" si="5"/>
        <v>4</v>
      </c>
      <c r="AL260" s="25">
        <f>'MASTER STOCK'!I257</f>
        <v>31500</v>
      </c>
      <c r="AM260" s="27">
        <f>'MASTER STOCK'!L257</f>
        <v>31500</v>
      </c>
      <c r="AN260" s="27">
        <f t="shared" si="6"/>
        <v>0</v>
      </c>
      <c r="AO260" s="26">
        <f t="shared" si="7"/>
        <v>0</v>
      </c>
      <c r="AP260" s="114">
        <f t="shared" si="8"/>
        <v>0</v>
      </c>
      <c r="AQ260" s="10"/>
    </row>
    <row r="261">
      <c r="A261" s="29" t="str">
        <f>'MASTER STOCK'!F258</f>
        <v>lampu led muxindo 25 watt</v>
      </c>
      <c r="B261" s="30">
        <f>'AGS 25'!AI261</f>
        <v>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23">
        <f t="shared" si="3"/>
        <v>0</v>
      </c>
      <c r="AI261" s="24">
        <v>0.0</v>
      </c>
      <c r="AJ261" s="32">
        <f t="shared" si="4"/>
        <v>1</v>
      </c>
      <c r="AK261" s="32">
        <f t="shared" si="5"/>
        <v>1</v>
      </c>
      <c r="AL261" s="25">
        <f>'MASTER STOCK'!I258</f>
        <v>25000</v>
      </c>
      <c r="AM261" s="27">
        <f>'MASTER STOCK'!L258</f>
        <v>25000</v>
      </c>
      <c r="AN261" s="27">
        <f t="shared" si="6"/>
        <v>0</v>
      </c>
      <c r="AO261" s="26">
        <f t="shared" si="7"/>
        <v>0</v>
      </c>
      <c r="AP261" s="114">
        <f t="shared" si="8"/>
        <v>0</v>
      </c>
      <c r="AQ261" s="10"/>
    </row>
    <row r="262">
      <c r="A262" s="29" t="str">
        <f>'MASTER STOCK'!F259</f>
        <v>lampu hemat  5 watt</v>
      </c>
      <c r="B262" s="30">
        <f>'AGS 25'!AI262</f>
        <v>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23">
        <f t="shared" si="3"/>
        <v>0</v>
      </c>
      <c r="AI262" s="24">
        <v>0.0</v>
      </c>
      <c r="AJ262" s="32">
        <f t="shared" si="4"/>
        <v>4</v>
      </c>
      <c r="AK262" s="32">
        <f t="shared" si="5"/>
        <v>4</v>
      </c>
      <c r="AL262" s="25">
        <f>'MASTER STOCK'!I259</f>
        <v>6000</v>
      </c>
      <c r="AM262" s="27">
        <f>'MASTER STOCK'!L259</f>
        <v>7000</v>
      </c>
      <c r="AN262" s="27">
        <f t="shared" si="6"/>
        <v>0</v>
      </c>
      <c r="AO262" s="26">
        <f t="shared" si="7"/>
        <v>0</v>
      </c>
      <c r="AP262" s="114">
        <f t="shared" si="8"/>
        <v>0</v>
      </c>
      <c r="AQ262" s="10"/>
    </row>
    <row r="263">
      <c r="A263" s="29" t="str">
        <f>'MASTER STOCK'!F260</f>
        <v>skrup atap  sedang</v>
      </c>
      <c r="B263" s="30">
        <f>'AGS 25'!AI263</f>
        <v>20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23">
        <f t="shared" si="3"/>
        <v>0</v>
      </c>
      <c r="AI263" s="24">
        <v>0.0</v>
      </c>
      <c r="AJ263" s="32">
        <f t="shared" si="4"/>
        <v>20</v>
      </c>
      <c r="AK263" s="32">
        <f t="shared" si="5"/>
        <v>20</v>
      </c>
      <c r="AL263" s="25">
        <f>'MASTER STOCK'!I260</f>
        <v>0</v>
      </c>
      <c r="AM263" s="27">
        <f>'MASTER STOCK'!L260</f>
        <v>0</v>
      </c>
      <c r="AN263" s="27">
        <f t="shared" si="6"/>
        <v>0</v>
      </c>
      <c r="AO263" s="26">
        <f t="shared" si="7"/>
        <v>0</v>
      </c>
      <c r="AP263" s="114">
        <f t="shared" si="8"/>
        <v>0</v>
      </c>
      <c r="AQ263" s="10"/>
    </row>
    <row r="264">
      <c r="A264" s="29" t="str">
        <f>'MASTER STOCK'!F261</f>
        <v>waseo led panel 3+3w</v>
      </c>
      <c r="B264" s="30">
        <f>'AGS 25'!AI264</f>
        <v>2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23">
        <f t="shared" si="3"/>
        <v>0</v>
      </c>
      <c r="AI264" s="24">
        <v>0.0</v>
      </c>
      <c r="AJ264" s="32">
        <f t="shared" si="4"/>
        <v>2</v>
      </c>
      <c r="AK264" s="32">
        <f t="shared" si="5"/>
        <v>2</v>
      </c>
      <c r="AL264" s="25">
        <f>'MASTER STOCK'!I261</f>
        <v>23000</v>
      </c>
      <c r="AM264" s="27">
        <f>'MASTER STOCK'!L261</f>
        <v>23000</v>
      </c>
      <c r="AN264" s="27">
        <f t="shared" si="6"/>
        <v>0</v>
      </c>
      <c r="AO264" s="26">
        <f t="shared" si="7"/>
        <v>0</v>
      </c>
      <c r="AP264" s="114">
        <f t="shared" si="8"/>
        <v>0</v>
      </c>
      <c r="AQ264" s="10"/>
    </row>
    <row r="265">
      <c r="A265" s="29" t="str">
        <f>'MASTER STOCK'!F262</f>
        <v>distribution box</v>
      </c>
      <c r="B265" s="30">
        <f>'AGS 25'!AI265</f>
        <v>2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23">
        <f t="shared" si="3"/>
        <v>0</v>
      </c>
      <c r="AI265" s="24">
        <v>0.0</v>
      </c>
      <c r="AJ265" s="32">
        <f t="shared" si="4"/>
        <v>2</v>
      </c>
      <c r="AK265" s="32">
        <f t="shared" si="5"/>
        <v>2</v>
      </c>
      <c r="AL265" s="25">
        <f>'MASTER STOCK'!I262</f>
        <v>15000</v>
      </c>
      <c r="AM265" s="27">
        <f>'MASTER STOCK'!L262</f>
        <v>15000</v>
      </c>
      <c r="AN265" s="27">
        <f t="shared" si="6"/>
        <v>0</v>
      </c>
      <c r="AO265" s="26">
        <f t="shared" si="7"/>
        <v>0</v>
      </c>
      <c r="AP265" s="114">
        <f t="shared" si="8"/>
        <v>0</v>
      </c>
      <c r="AQ265" s="10"/>
    </row>
    <row r="266">
      <c r="A266" s="29" t="str">
        <f>'MASTER STOCK'!F263</f>
        <v>skrup kecil</v>
      </c>
      <c r="B266" s="30">
        <f>'AGS 25'!AI266</f>
        <v>10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23">
        <f t="shared" si="3"/>
        <v>0</v>
      </c>
      <c r="AI266" s="24">
        <v>0.0</v>
      </c>
      <c r="AJ266" s="32">
        <f t="shared" si="4"/>
        <v>10</v>
      </c>
      <c r="AK266" s="32">
        <f t="shared" si="5"/>
        <v>10</v>
      </c>
      <c r="AL266" s="25">
        <f>'MASTER STOCK'!I263</f>
        <v>0</v>
      </c>
      <c r="AM266" s="27">
        <f>'MASTER STOCK'!L263</f>
        <v>0</v>
      </c>
      <c r="AN266" s="27">
        <f t="shared" si="6"/>
        <v>0</v>
      </c>
      <c r="AO266" s="26">
        <f t="shared" si="7"/>
        <v>0</v>
      </c>
      <c r="AP266" s="114">
        <f t="shared" si="8"/>
        <v>0</v>
      </c>
      <c r="AQ266" s="10"/>
    </row>
    <row r="267">
      <c r="A267" s="29" t="str">
        <f>'MASTER STOCK'!F264</f>
        <v>skrup besar</v>
      </c>
      <c r="B267" s="30">
        <f>'AGS 25'!AI267</f>
        <v>41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23">
        <f t="shared" si="3"/>
        <v>0</v>
      </c>
      <c r="AI267" s="24">
        <v>0.0</v>
      </c>
      <c r="AJ267" s="32">
        <f t="shared" si="4"/>
        <v>41</v>
      </c>
      <c r="AK267" s="32">
        <f t="shared" si="5"/>
        <v>41</v>
      </c>
      <c r="AL267" s="25">
        <f>'MASTER STOCK'!I264</f>
        <v>0</v>
      </c>
      <c r="AM267" s="27">
        <f>'MASTER STOCK'!L264</f>
        <v>0</v>
      </c>
      <c r="AN267" s="27">
        <f t="shared" si="6"/>
        <v>0</v>
      </c>
      <c r="AO267" s="26">
        <f t="shared" si="7"/>
        <v>0</v>
      </c>
      <c r="AP267" s="114">
        <f t="shared" si="8"/>
        <v>0</v>
      </c>
      <c r="AQ267" s="10"/>
    </row>
    <row r="268">
      <c r="A268" s="29" t="str">
        <f>'MASTER STOCK'!F265</f>
        <v>floor stainer plastik</v>
      </c>
      <c r="B268" s="30">
        <f>'AGS 25'!AI268</f>
        <v>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23">
        <f t="shared" si="3"/>
        <v>0</v>
      </c>
      <c r="AI268" s="24">
        <v>0.0</v>
      </c>
      <c r="AJ268" s="32">
        <f t="shared" si="4"/>
        <v>1</v>
      </c>
      <c r="AK268" s="32">
        <f t="shared" si="5"/>
        <v>1</v>
      </c>
      <c r="AL268" s="25">
        <f>'MASTER STOCK'!I265</f>
        <v>24000</v>
      </c>
      <c r="AM268" s="27">
        <f>'MASTER STOCK'!L265</f>
        <v>24000</v>
      </c>
      <c r="AN268" s="27">
        <f t="shared" si="6"/>
        <v>0</v>
      </c>
      <c r="AO268" s="26">
        <f t="shared" si="7"/>
        <v>0</v>
      </c>
      <c r="AP268" s="114">
        <f t="shared" si="8"/>
        <v>0</v>
      </c>
      <c r="AQ268" s="10"/>
    </row>
    <row r="269">
      <c r="A269" s="29" t="str">
        <f>'MASTER STOCK'!F266</f>
        <v>skrup atap  kecil</v>
      </c>
      <c r="B269" s="30">
        <f>'AGS 25'!AI269</f>
        <v>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23">
        <f t="shared" si="3"/>
        <v>0</v>
      </c>
      <c r="AI269" s="24">
        <v>0.0</v>
      </c>
      <c r="AJ269" s="32">
        <f t="shared" si="4"/>
        <v>1</v>
      </c>
      <c r="AK269" s="32">
        <f t="shared" si="5"/>
        <v>1</v>
      </c>
      <c r="AL269" s="25">
        <f>'MASTER STOCK'!I266</f>
        <v>0</v>
      </c>
      <c r="AM269" s="27">
        <f>'MASTER STOCK'!L266</f>
        <v>0</v>
      </c>
      <c r="AN269" s="27">
        <f t="shared" si="6"/>
        <v>0</v>
      </c>
      <c r="AO269" s="26">
        <f t="shared" si="7"/>
        <v>0</v>
      </c>
      <c r="AP269" s="114">
        <f t="shared" si="8"/>
        <v>0</v>
      </c>
      <c r="AQ269" s="10"/>
    </row>
    <row r="270">
      <c r="A270" s="29" t="str">
        <f>'MASTER STOCK'!F267</f>
        <v>lampu led</v>
      </c>
      <c r="B270" s="30">
        <f>'AGS 25'!AI270</f>
        <v>10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23">
        <f t="shared" si="3"/>
        <v>0</v>
      </c>
      <c r="AI270" s="24">
        <v>0.0</v>
      </c>
      <c r="AJ270" s="32">
        <f t="shared" si="4"/>
        <v>10</v>
      </c>
      <c r="AK270" s="32">
        <f t="shared" si="5"/>
        <v>10</v>
      </c>
      <c r="AL270" s="25">
        <f>'MASTER STOCK'!I267</f>
        <v>11000</v>
      </c>
      <c r="AM270" s="27">
        <f>'MASTER STOCK'!L267</f>
        <v>11000</v>
      </c>
      <c r="AN270" s="27">
        <f t="shared" si="6"/>
        <v>0</v>
      </c>
      <c r="AO270" s="26">
        <f t="shared" si="7"/>
        <v>0</v>
      </c>
      <c r="AP270" s="114">
        <f t="shared" si="8"/>
        <v>0</v>
      </c>
      <c r="AQ270" s="10"/>
    </row>
    <row r="271">
      <c r="A271" s="29" t="str">
        <f>'MASTER STOCK'!F268</f>
        <v>waterpres magnet (alat ukur)</v>
      </c>
      <c r="B271" s="30">
        <f>'AGS 25'!AI271</f>
        <v>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23">
        <f t="shared" si="3"/>
        <v>0</v>
      </c>
      <c r="AI271" s="24">
        <v>0.0</v>
      </c>
      <c r="AJ271" s="32">
        <f t="shared" si="4"/>
        <v>1</v>
      </c>
      <c r="AK271" s="32">
        <f t="shared" si="5"/>
        <v>1</v>
      </c>
      <c r="AL271" s="25">
        <f>'MASTER STOCK'!I268</f>
        <v>33000</v>
      </c>
      <c r="AM271" s="27">
        <f>'MASTER STOCK'!L268</f>
        <v>33000</v>
      </c>
      <c r="AN271" s="27">
        <f t="shared" si="6"/>
        <v>0</v>
      </c>
      <c r="AO271" s="26">
        <f t="shared" si="7"/>
        <v>0</v>
      </c>
      <c r="AP271" s="114">
        <f t="shared" si="8"/>
        <v>0</v>
      </c>
      <c r="AQ271" s="10"/>
    </row>
    <row r="272">
      <c r="A272" s="29" t="str">
        <f>'MASTER STOCK'!F269</f>
        <v>round kabel klip 6 mm</v>
      </c>
      <c r="B272" s="30">
        <f>'AGS 25'!AI272</f>
        <v>15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23">
        <f t="shared" si="3"/>
        <v>0</v>
      </c>
      <c r="AI272" s="24">
        <v>0.0</v>
      </c>
      <c r="AJ272" s="32">
        <f t="shared" si="4"/>
        <v>15</v>
      </c>
      <c r="AK272" s="32">
        <f t="shared" si="5"/>
        <v>15</v>
      </c>
      <c r="AL272" s="25">
        <f>'MASTER STOCK'!I269</f>
        <v>2000</v>
      </c>
      <c r="AM272" s="27">
        <f>'MASTER STOCK'!L269</f>
        <v>2000</v>
      </c>
      <c r="AN272" s="27">
        <f t="shared" si="6"/>
        <v>0</v>
      </c>
      <c r="AO272" s="26">
        <f t="shared" si="7"/>
        <v>0</v>
      </c>
      <c r="AP272" s="114">
        <f t="shared" si="8"/>
        <v>0</v>
      </c>
      <c r="AQ272" s="10"/>
    </row>
    <row r="273">
      <c r="A273" s="29" t="str">
        <f>'MASTER STOCK'!F270</f>
        <v>round kabel klip 7 mm</v>
      </c>
      <c r="B273" s="30">
        <f>'AGS 25'!AI273</f>
        <v>6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22">
        <v>2.0</v>
      </c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23">
        <f t="shared" si="3"/>
        <v>2</v>
      </c>
      <c r="AI273" s="24">
        <v>0.0</v>
      </c>
      <c r="AJ273" s="32">
        <f t="shared" si="4"/>
        <v>4</v>
      </c>
      <c r="AK273" s="32">
        <f t="shared" si="5"/>
        <v>4</v>
      </c>
      <c r="AL273" s="25">
        <f>'MASTER STOCK'!I270</f>
        <v>2000</v>
      </c>
      <c r="AM273" s="27">
        <f>'MASTER STOCK'!L270</f>
        <v>2000</v>
      </c>
      <c r="AN273" s="27">
        <f t="shared" si="6"/>
        <v>4000</v>
      </c>
      <c r="AO273" s="26">
        <f t="shared" si="7"/>
        <v>0</v>
      </c>
      <c r="AP273" s="114">
        <f t="shared" si="8"/>
        <v>4000</v>
      </c>
      <c r="AQ273" s="10"/>
    </row>
    <row r="274">
      <c r="A274" s="29" t="str">
        <f>'MASTER STOCK'!F271</f>
        <v>round kabel klip 9 mm</v>
      </c>
      <c r="B274" s="30">
        <f>'AGS 25'!AI274</f>
        <v>12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23">
        <f t="shared" si="3"/>
        <v>0</v>
      </c>
      <c r="AI274" s="24">
        <v>0.0</v>
      </c>
      <c r="AJ274" s="32">
        <f t="shared" si="4"/>
        <v>12</v>
      </c>
      <c r="AK274" s="32">
        <f t="shared" si="5"/>
        <v>12</v>
      </c>
      <c r="AL274" s="25">
        <f>'MASTER STOCK'!I271</f>
        <v>2500</v>
      </c>
      <c r="AM274" s="27">
        <f>'MASTER STOCK'!L271</f>
        <v>2500</v>
      </c>
      <c r="AN274" s="27">
        <f t="shared" si="6"/>
        <v>0</v>
      </c>
      <c r="AO274" s="26">
        <f t="shared" si="7"/>
        <v>0</v>
      </c>
      <c r="AP274" s="114">
        <f t="shared" si="8"/>
        <v>0</v>
      </c>
      <c r="AQ274" s="10"/>
    </row>
    <row r="275">
      <c r="A275" s="29" t="str">
        <f>'MASTER STOCK'!F272</f>
        <v>round kabel klip 10 mm</v>
      </c>
      <c r="B275" s="30">
        <f>'AGS 25'!AI275</f>
        <v>16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23">
        <f t="shared" si="3"/>
        <v>0</v>
      </c>
      <c r="AI275" s="24">
        <v>0.0</v>
      </c>
      <c r="AJ275" s="32">
        <f t="shared" si="4"/>
        <v>16</v>
      </c>
      <c r="AK275" s="32">
        <f t="shared" si="5"/>
        <v>16</v>
      </c>
      <c r="AL275" s="25">
        <f>'MASTER STOCK'!I272</f>
        <v>2500</v>
      </c>
      <c r="AM275" s="27">
        <f>'MASTER STOCK'!L272</f>
        <v>2500</v>
      </c>
      <c r="AN275" s="27">
        <f t="shared" si="6"/>
        <v>0</v>
      </c>
      <c r="AO275" s="26">
        <f t="shared" si="7"/>
        <v>0</v>
      </c>
      <c r="AP275" s="114">
        <f t="shared" si="8"/>
        <v>0</v>
      </c>
      <c r="AQ275" s="10"/>
    </row>
    <row r="276">
      <c r="A276" s="29" t="str">
        <f>'MASTER STOCK'!F273</f>
        <v>floor stainer stainless</v>
      </c>
      <c r="B276" s="30">
        <f>'AGS 25'!AI276</f>
        <v>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23">
        <f t="shared" si="3"/>
        <v>0</v>
      </c>
      <c r="AI276" s="24">
        <v>0.0</v>
      </c>
      <c r="AJ276" s="32">
        <f t="shared" si="4"/>
        <v>1</v>
      </c>
      <c r="AK276" s="32">
        <f t="shared" si="5"/>
        <v>1</v>
      </c>
      <c r="AL276" s="25">
        <f>'MASTER STOCK'!I273</f>
        <v>24000</v>
      </c>
      <c r="AM276" s="27">
        <f>'MASTER STOCK'!L273</f>
        <v>24000</v>
      </c>
      <c r="AN276" s="27">
        <f t="shared" si="6"/>
        <v>0</v>
      </c>
      <c r="AO276" s="26">
        <f t="shared" si="7"/>
        <v>0</v>
      </c>
      <c r="AP276" s="114">
        <f t="shared" si="8"/>
        <v>0</v>
      </c>
      <c r="AQ276" s="10"/>
    </row>
    <row r="277">
      <c r="A277" s="29" t="str">
        <f>'MASTER STOCK'!F274</f>
        <v>amplass bunder</v>
      </c>
      <c r="B277" s="30">
        <f>'AGS 25'!AI277</f>
        <v>8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23">
        <f t="shared" si="3"/>
        <v>0</v>
      </c>
      <c r="AI277" s="24">
        <v>0.0</v>
      </c>
      <c r="AJ277" s="32">
        <f t="shared" si="4"/>
        <v>8</v>
      </c>
      <c r="AK277" s="32">
        <f t="shared" si="5"/>
        <v>8</v>
      </c>
      <c r="AL277" s="25">
        <f>'MASTER STOCK'!I274</f>
        <v>2500</v>
      </c>
      <c r="AM277" s="27">
        <f>'MASTER STOCK'!L274</f>
        <v>2500</v>
      </c>
      <c r="AN277" s="27">
        <f t="shared" si="6"/>
        <v>0</v>
      </c>
      <c r="AO277" s="26">
        <f t="shared" si="7"/>
        <v>0</v>
      </c>
      <c r="AP277" s="114">
        <f t="shared" si="8"/>
        <v>0</v>
      </c>
      <c r="AQ277" s="10"/>
    </row>
    <row r="278">
      <c r="A278" s="29" t="str">
        <f>'MASTER STOCK'!F275</f>
        <v>paku beton 1 1/2</v>
      </c>
      <c r="B278" s="30">
        <f>'AGS 25'!AI278</f>
        <v>2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23">
        <f t="shared" si="3"/>
        <v>0</v>
      </c>
      <c r="AI278" s="24">
        <v>0.0</v>
      </c>
      <c r="AJ278" s="32">
        <f t="shared" si="4"/>
        <v>2</v>
      </c>
      <c r="AK278" s="32">
        <f t="shared" si="5"/>
        <v>2</v>
      </c>
      <c r="AL278" s="25">
        <f>'MASTER STOCK'!I275</f>
        <v>14000</v>
      </c>
      <c r="AM278" s="27">
        <f>'MASTER STOCK'!L275</f>
        <v>14000</v>
      </c>
      <c r="AN278" s="27">
        <f t="shared" si="6"/>
        <v>0</v>
      </c>
      <c r="AO278" s="26">
        <f t="shared" si="7"/>
        <v>0</v>
      </c>
      <c r="AP278" s="114">
        <f t="shared" si="8"/>
        <v>0</v>
      </c>
      <c r="AQ278" s="10"/>
    </row>
    <row r="279">
      <c r="A279" s="29" t="str">
        <f>'MASTER STOCK'!F276</f>
        <v>tusen klep air</v>
      </c>
      <c r="B279" s="30">
        <f>'AGS 25'!AI279</f>
        <v>4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23">
        <f t="shared" si="3"/>
        <v>0</v>
      </c>
      <c r="AI279" s="24">
        <v>0.0</v>
      </c>
      <c r="AJ279" s="32">
        <f t="shared" si="4"/>
        <v>4</v>
      </c>
      <c r="AK279" s="32">
        <f t="shared" si="5"/>
        <v>4</v>
      </c>
      <c r="AL279" s="25">
        <f>'MASTER STOCK'!I276</f>
        <v>0</v>
      </c>
      <c r="AM279" s="27">
        <f>'MASTER STOCK'!L276</f>
        <v>0</v>
      </c>
      <c r="AN279" s="27">
        <f t="shared" si="6"/>
        <v>0</v>
      </c>
      <c r="AO279" s="26">
        <f t="shared" si="7"/>
        <v>0</v>
      </c>
      <c r="AP279" s="114">
        <f t="shared" si="8"/>
        <v>0</v>
      </c>
      <c r="AQ279" s="10"/>
    </row>
    <row r="280">
      <c r="A280" s="29" t="str">
        <f>'MASTER STOCK'!F277</f>
        <v>saringan plastik biasa</v>
      </c>
      <c r="B280" s="30">
        <f>'AGS 25'!AI280</f>
        <v>3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23">
        <f t="shared" si="3"/>
        <v>0</v>
      </c>
      <c r="AI280" s="24">
        <v>0.0</v>
      </c>
      <c r="AJ280" s="32">
        <f t="shared" si="4"/>
        <v>3</v>
      </c>
      <c r="AK280" s="32">
        <f t="shared" si="5"/>
        <v>3</v>
      </c>
      <c r="AL280" s="25">
        <f>'MASTER STOCK'!I277</f>
        <v>12000</v>
      </c>
      <c r="AM280" s="27">
        <f>'MASTER STOCK'!L277</f>
        <v>12000</v>
      </c>
      <c r="AN280" s="27">
        <f t="shared" si="6"/>
        <v>0</v>
      </c>
      <c r="AO280" s="26">
        <f t="shared" si="7"/>
        <v>0</v>
      </c>
      <c r="AP280" s="114">
        <f t="shared" si="8"/>
        <v>0</v>
      </c>
      <c r="AQ280" s="10"/>
    </row>
    <row r="281">
      <c r="A281" s="29" t="str">
        <f>'MASTER STOCK'!F278</f>
        <v>kuas  2</v>
      </c>
      <c r="B281" s="30">
        <f>'AGS 25'!AI281</f>
        <v>2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23">
        <f t="shared" si="3"/>
        <v>0</v>
      </c>
      <c r="AI281" s="24">
        <v>0.0</v>
      </c>
      <c r="AJ281" s="32">
        <f t="shared" si="4"/>
        <v>2</v>
      </c>
      <c r="AK281" s="32">
        <f t="shared" si="5"/>
        <v>2</v>
      </c>
      <c r="AL281" s="25">
        <f>'MASTER STOCK'!I278</f>
        <v>8000</v>
      </c>
      <c r="AM281" s="27">
        <f>'MASTER STOCK'!L278</f>
        <v>8000</v>
      </c>
      <c r="AN281" s="27">
        <f t="shared" si="6"/>
        <v>0</v>
      </c>
      <c r="AO281" s="26">
        <f t="shared" si="7"/>
        <v>0</v>
      </c>
      <c r="AP281" s="114">
        <f t="shared" si="8"/>
        <v>0</v>
      </c>
      <c r="AQ281" s="10"/>
    </row>
    <row r="282">
      <c r="A282" s="29" t="str">
        <f>'MASTER STOCK'!F279</f>
        <v>afur hpp</v>
      </c>
      <c r="B282" s="30">
        <f>'AGS 25'!AI282</f>
        <v>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23">
        <f t="shared" si="3"/>
        <v>0</v>
      </c>
      <c r="AI282" s="24">
        <v>0.0</v>
      </c>
      <c r="AJ282" s="32">
        <f t="shared" si="4"/>
        <v>1</v>
      </c>
      <c r="AK282" s="32">
        <f t="shared" si="5"/>
        <v>1</v>
      </c>
      <c r="AL282" s="25">
        <f>'MASTER STOCK'!I279</f>
        <v>27000</v>
      </c>
      <c r="AM282" s="27">
        <f>'MASTER STOCK'!L279</f>
        <v>27000</v>
      </c>
      <c r="AN282" s="27">
        <f t="shared" si="6"/>
        <v>0</v>
      </c>
      <c r="AO282" s="26">
        <f t="shared" si="7"/>
        <v>0</v>
      </c>
      <c r="AP282" s="114">
        <f t="shared" si="8"/>
        <v>0</v>
      </c>
      <c r="AQ282" s="10"/>
    </row>
    <row r="283">
      <c r="A283" s="29" t="str">
        <f>'MASTER STOCK'!F280</f>
        <v>afur klasik</v>
      </c>
      <c r="B283" s="30">
        <f>'AGS 25'!AI283</f>
        <v>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23">
        <f t="shared" si="3"/>
        <v>0</v>
      </c>
      <c r="AI283" s="24">
        <v>0.0</v>
      </c>
      <c r="AJ283" s="32">
        <f t="shared" si="4"/>
        <v>1</v>
      </c>
      <c r="AK283" s="32">
        <f t="shared" si="5"/>
        <v>1</v>
      </c>
      <c r="AL283" s="25">
        <f>'MASTER STOCK'!I280</f>
        <v>32000</v>
      </c>
      <c r="AM283" s="27">
        <f>'MASTER STOCK'!L280</f>
        <v>32000</v>
      </c>
      <c r="AN283" s="27">
        <f t="shared" si="6"/>
        <v>0</v>
      </c>
      <c r="AO283" s="26">
        <f t="shared" si="7"/>
        <v>0</v>
      </c>
      <c r="AP283" s="114">
        <f t="shared" si="8"/>
        <v>0</v>
      </c>
      <c r="AQ283" s="10"/>
    </row>
    <row r="284">
      <c r="A284" s="29" t="str">
        <f>'MASTER STOCK'!F281</f>
        <v>kuas cat garis</v>
      </c>
      <c r="B284" s="30">
        <f>'AGS 25'!AI284</f>
        <v>4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23">
        <f t="shared" si="3"/>
        <v>0</v>
      </c>
      <c r="AI284" s="24">
        <v>0.0</v>
      </c>
      <c r="AJ284" s="32">
        <f t="shared" si="4"/>
        <v>4</v>
      </c>
      <c r="AK284" s="32">
        <f t="shared" si="5"/>
        <v>4</v>
      </c>
      <c r="AL284" s="25">
        <f>'MASTER STOCK'!I281</f>
        <v>9000</v>
      </c>
      <c r="AM284" s="27">
        <f>'MASTER STOCK'!L281</f>
        <v>9000</v>
      </c>
      <c r="AN284" s="27">
        <f t="shared" si="6"/>
        <v>0</v>
      </c>
      <c r="AO284" s="26">
        <f t="shared" si="7"/>
        <v>0</v>
      </c>
      <c r="AP284" s="114">
        <f t="shared" si="8"/>
        <v>0</v>
      </c>
      <c r="AQ284" s="10"/>
    </row>
    <row r="285">
      <c r="A285" s="29" t="str">
        <f>'MASTER STOCK'!F282</f>
        <v>pilox</v>
      </c>
      <c r="B285" s="30">
        <f>'AGS 25'!AI285</f>
        <v>4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23">
        <f t="shared" si="3"/>
        <v>0</v>
      </c>
      <c r="AI285" s="24">
        <v>0.0</v>
      </c>
      <c r="AJ285" s="32">
        <f t="shared" si="4"/>
        <v>4</v>
      </c>
      <c r="AK285" s="32">
        <f t="shared" si="5"/>
        <v>4</v>
      </c>
      <c r="AL285" s="25">
        <f>'MASTER STOCK'!I282</f>
        <v>29000</v>
      </c>
      <c r="AM285" s="27">
        <f>'MASTER STOCK'!L282</f>
        <v>29000</v>
      </c>
      <c r="AN285" s="27">
        <f t="shared" si="6"/>
        <v>0</v>
      </c>
      <c r="AO285" s="26">
        <f t="shared" si="7"/>
        <v>0</v>
      </c>
      <c r="AP285" s="114">
        <f t="shared" si="8"/>
        <v>0</v>
      </c>
      <c r="AQ285" s="10"/>
    </row>
    <row r="286">
      <c r="A286" s="29" t="str">
        <f>'MASTER STOCK'!F283</f>
        <v>sikring</v>
      </c>
      <c r="B286" s="30">
        <f>'AGS 25'!AI286</f>
        <v>5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23">
        <f t="shared" si="3"/>
        <v>0</v>
      </c>
      <c r="AI286" s="24">
        <v>0.0</v>
      </c>
      <c r="AJ286" s="32">
        <f t="shared" si="4"/>
        <v>5</v>
      </c>
      <c r="AK286" s="32">
        <f t="shared" si="5"/>
        <v>5</v>
      </c>
      <c r="AL286" s="25">
        <f>'MASTER STOCK'!I283</f>
        <v>3500</v>
      </c>
      <c r="AM286" s="27">
        <f>'MASTER STOCK'!L283</f>
        <v>3500</v>
      </c>
      <c r="AN286" s="27">
        <f t="shared" si="6"/>
        <v>0</v>
      </c>
      <c r="AO286" s="26">
        <f t="shared" si="7"/>
        <v>0</v>
      </c>
      <c r="AP286" s="114">
        <f t="shared" si="8"/>
        <v>0</v>
      </c>
      <c r="AQ286" s="10"/>
    </row>
    <row r="287">
      <c r="A287" s="29" t="str">
        <f>'MASTER STOCK'!F284</f>
        <v>Tutup  skring</v>
      </c>
      <c r="B287" s="30">
        <f>'AGS 25'!AI287</f>
        <v>14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23">
        <f t="shared" si="3"/>
        <v>0</v>
      </c>
      <c r="AI287" s="24">
        <v>0.0</v>
      </c>
      <c r="AJ287" s="32">
        <f t="shared" si="4"/>
        <v>14</v>
      </c>
      <c r="AK287" s="32">
        <f t="shared" si="5"/>
        <v>14</v>
      </c>
      <c r="AL287" s="25">
        <f>'MASTER STOCK'!I284</f>
        <v>3500</v>
      </c>
      <c r="AM287" s="27">
        <f>'MASTER STOCK'!L284</f>
        <v>3500</v>
      </c>
      <c r="AN287" s="27">
        <f t="shared" si="6"/>
        <v>0</v>
      </c>
      <c r="AO287" s="26">
        <f t="shared" si="7"/>
        <v>0</v>
      </c>
      <c r="AP287" s="114">
        <f t="shared" si="8"/>
        <v>0</v>
      </c>
      <c r="AQ287" s="10"/>
    </row>
    <row r="288">
      <c r="A288" s="29" t="str">
        <f>'MASTER STOCK'!F285</f>
        <v>kabel serabut 0.75 mm</v>
      </c>
      <c r="B288" s="30">
        <f>'AGS 25'!AI288</f>
        <v>0.5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23">
        <f t="shared" si="3"/>
        <v>0</v>
      </c>
      <c r="AI288" s="24">
        <v>0.0</v>
      </c>
      <c r="AJ288" s="32">
        <f t="shared" si="4"/>
        <v>0.5</v>
      </c>
      <c r="AK288" s="32">
        <f t="shared" si="5"/>
        <v>0.5</v>
      </c>
      <c r="AL288" s="25">
        <f>'MASTER STOCK'!I285</f>
        <v>2000</v>
      </c>
      <c r="AM288" s="27">
        <f>'MASTER STOCK'!L285</f>
        <v>2000</v>
      </c>
      <c r="AN288" s="27">
        <f t="shared" si="6"/>
        <v>0</v>
      </c>
      <c r="AO288" s="26">
        <f t="shared" si="7"/>
        <v>0</v>
      </c>
      <c r="AP288" s="114">
        <f t="shared" si="8"/>
        <v>0</v>
      </c>
      <c r="AQ288" s="10"/>
    </row>
    <row r="289">
      <c r="A289" s="29" t="str">
        <f>'MASTER STOCK'!F286</f>
        <v>Steker Gepeng</v>
      </c>
      <c r="B289" s="30">
        <f>'AGS 25'!AI289</f>
        <v>6</v>
      </c>
      <c r="C289" s="10"/>
      <c r="D289" s="10"/>
      <c r="E289" s="10"/>
      <c r="F289" s="10"/>
      <c r="G289" s="10"/>
      <c r="H289" s="10"/>
      <c r="I289" s="10"/>
      <c r="J289" s="10"/>
      <c r="K289" s="22">
        <v>1.0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23">
        <f t="shared" si="3"/>
        <v>1</v>
      </c>
      <c r="AI289" s="24">
        <v>0.0</v>
      </c>
      <c r="AJ289" s="32">
        <f t="shared" si="4"/>
        <v>5</v>
      </c>
      <c r="AK289" s="32">
        <f t="shared" si="5"/>
        <v>5</v>
      </c>
      <c r="AL289" s="25">
        <f>'MASTER STOCK'!I286</f>
        <v>4000</v>
      </c>
      <c r="AM289" s="27">
        <f>'MASTER STOCK'!L286</f>
        <v>4000</v>
      </c>
      <c r="AN289" s="27">
        <f t="shared" si="6"/>
        <v>4000</v>
      </c>
      <c r="AO289" s="26">
        <f t="shared" si="7"/>
        <v>0</v>
      </c>
      <c r="AP289" s="114">
        <f t="shared" si="8"/>
        <v>4000</v>
      </c>
      <c r="AQ289" s="10"/>
    </row>
    <row r="290">
      <c r="A290" s="29" t="str">
        <f>'MASTER STOCK'!F287</f>
        <v>Skalar Tunggal</v>
      </c>
      <c r="B290" s="30">
        <f>'AGS 25'!AI290</f>
        <v>3</v>
      </c>
      <c r="C290" s="22">
        <v>1.0</v>
      </c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23">
        <f t="shared" si="3"/>
        <v>1</v>
      </c>
      <c r="AI290" s="24">
        <v>0.0</v>
      </c>
      <c r="AJ290" s="32">
        <f t="shared" si="4"/>
        <v>2</v>
      </c>
      <c r="AK290" s="32">
        <f t="shared" si="5"/>
        <v>2</v>
      </c>
      <c r="AL290" s="25">
        <f>'MASTER STOCK'!I287</f>
        <v>6500</v>
      </c>
      <c r="AM290" s="27">
        <f>'MASTER STOCK'!L287</f>
        <v>6500</v>
      </c>
      <c r="AN290" s="27">
        <f t="shared" si="6"/>
        <v>6500</v>
      </c>
      <c r="AO290" s="26">
        <f t="shared" si="7"/>
        <v>0</v>
      </c>
      <c r="AP290" s="114">
        <f t="shared" si="8"/>
        <v>6500</v>
      </c>
      <c r="AQ290" s="10"/>
    </row>
    <row r="291">
      <c r="A291" s="29" t="str">
        <f>'MASTER STOCK'!F288</f>
        <v>Saklar Ganda</v>
      </c>
      <c r="B291" s="30">
        <f>'AGS 25'!AI291</f>
        <v>3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23">
        <f t="shared" si="3"/>
        <v>0</v>
      </c>
      <c r="AI291" s="24">
        <v>0.0</v>
      </c>
      <c r="AJ291" s="32">
        <f t="shared" si="4"/>
        <v>3</v>
      </c>
      <c r="AK291" s="32">
        <f t="shared" si="5"/>
        <v>3</v>
      </c>
      <c r="AL291" s="25">
        <f>'MASTER STOCK'!I288</f>
        <v>8000</v>
      </c>
      <c r="AM291" s="27">
        <f>'MASTER STOCK'!L288</f>
        <v>8000</v>
      </c>
      <c r="AN291" s="27">
        <f t="shared" si="6"/>
        <v>0</v>
      </c>
      <c r="AO291" s="26">
        <f t="shared" si="7"/>
        <v>0</v>
      </c>
      <c r="AP291" s="114">
        <f t="shared" si="8"/>
        <v>0</v>
      </c>
      <c r="AQ291" s="10"/>
    </row>
    <row r="292">
      <c r="A292" s="29" t="str">
        <f>'MASTER STOCK'!F289</f>
        <v>Kabel audio 2 x 1 1/2</v>
      </c>
      <c r="B292" s="30">
        <f>'AGS 25'!AI292</f>
        <v>100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23">
        <f t="shared" si="3"/>
        <v>0</v>
      </c>
      <c r="AI292" s="24">
        <v>0.0</v>
      </c>
      <c r="AJ292" s="32">
        <f t="shared" si="4"/>
        <v>100</v>
      </c>
      <c r="AK292" s="32">
        <f t="shared" si="5"/>
        <v>100</v>
      </c>
      <c r="AL292" s="25">
        <f>'MASTER STOCK'!I289</f>
        <v>3000</v>
      </c>
      <c r="AM292" s="27">
        <f>'MASTER STOCK'!L289</f>
        <v>3000</v>
      </c>
      <c r="AN292" s="27">
        <f t="shared" si="6"/>
        <v>0</v>
      </c>
      <c r="AO292" s="26">
        <f t="shared" si="7"/>
        <v>0</v>
      </c>
      <c r="AP292" s="114">
        <f t="shared" si="8"/>
        <v>0</v>
      </c>
      <c r="AQ292" s="10"/>
    </row>
    <row r="293">
      <c r="A293" s="29" t="str">
        <f>'MASTER STOCK'!F290</f>
        <v>Skalar Triple</v>
      </c>
      <c r="B293" s="30">
        <f>'AGS 25'!AI293</f>
        <v>2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23">
        <f t="shared" si="3"/>
        <v>0</v>
      </c>
      <c r="AI293" s="24">
        <v>0.0</v>
      </c>
      <c r="AJ293" s="32">
        <f t="shared" si="4"/>
        <v>2</v>
      </c>
      <c r="AK293" s="32">
        <f t="shared" si="5"/>
        <v>2</v>
      </c>
      <c r="AL293" s="25">
        <f>'MASTER STOCK'!I290</f>
        <v>35000</v>
      </c>
      <c r="AM293" s="27">
        <f>'MASTER STOCK'!L290</f>
        <v>35000</v>
      </c>
      <c r="AN293" s="27">
        <f t="shared" si="6"/>
        <v>0</v>
      </c>
      <c r="AO293" s="26">
        <f t="shared" si="7"/>
        <v>0</v>
      </c>
      <c r="AP293" s="114">
        <f t="shared" si="8"/>
        <v>0</v>
      </c>
      <c r="AQ293" s="10"/>
    </row>
    <row r="294">
      <c r="A294" s="29" t="str">
        <f>'MASTER STOCK'!F291</f>
        <v>Senter</v>
      </c>
      <c r="B294" s="30">
        <f>'AGS 25'!AI294</f>
        <v>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23">
        <f t="shared" si="3"/>
        <v>0</v>
      </c>
      <c r="AI294" s="24">
        <v>0.0</v>
      </c>
      <c r="AJ294" s="32">
        <f t="shared" si="4"/>
        <v>1</v>
      </c>
      <c r="AK294" s="32">
        <f t="shared" si="5"/>
        <v>1</v>
      </c>
      <c r="AL294" s="25">
        <f>'MASTER STOCK'!I291</f>
        <v>25000</v>
      </c>
      <c r="AM294" s="27">
        <f>'MASTER STOCK'!L291</f>
        <v>25000</v>
      </c>
      <c r="AN294" s="27">
        <f t="shared" si="6"/>
        <v>0</v>
      </c>
      <c r="AO294" s="26">
        <f t="shared" si="7"/>
        <v>0</v>
      </c>
      <c r="AP294" s="114">
        <f t="shared" si="8"/>
        <v>0</v>
      </c>
      <c r="AQ294" s="10"/>
    </row>
    <row r="295">
      <c r="A295" s="29" t="str">
        <f>'MASTER STOCK'!F292</f>
        <v>Fittingan</v>
      </c>
      <c r="B295" s="30">
        <f>'AGS 25'!AI295</f>
        <v>7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23">
        <f t="shared" si="3"/>
        <v>0</v>
      </c>
      <c r="AI295" s="24">
        <v>0.0</v>
      </c>
      <c r="AJ295" s="32">
        <f t="shared" si="4"/>
        <v>7</v>
      </c>
      <c r="AK295" s="32">
        <f t="shared" si="5"/>
        <v>7</v>
      </c>
      <c r="AL295" s="25">
        <f>'MASTER STOCK'!I292</f>
        <v>5000</v>
      </c>
      <c r="AM295" s="27">
        <f>'MASTER STOCK'!L292</f>
        <v>5000</v>
      </c>
      <c r="AN295" s="27">
        <f t="shared" si="6"/>
        <v>0</v>
      </c>
      <c r="AO295" s="26">
        <f t="shared" si="7"/>
        <v>0</v>
      </c>
      <c r="AP295" s="114">
        <f t="shared" si="8"/>
        <v>0</v>
      </c>
      <c r="AQ295" s="10"/>
    </row>
    <row r="296">
      <c r="A296" s="29" t="str">
        <f>'MASTER STOCK'!F293</f>
        <v>Fittingan bagus</v>
      </c>
      <c r="B296" s="30">
        <f>'AGS 25'!AI296</f>
        <v>2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23">
        <f t="shared" si="3"/>
        <v>0</v>
      </c>
      <c r="AI296" s="24">
        <v>0.0</v>
      </c>
      <c r="AJ296" s="32">
        <f t="shared" si="4"/>
        <v>2</v>
      </c>
      <c r="AK296" s="32">
        <f t="shared" si="5"/>
        <v>2</v>
      </c>
      <c r="AL296" s="25">
        <f>'MASTER STOCK'!I293</f>
        <v>9000</v>
      </c>
      <c r="AM296" s="27">
        <f>'MASTER STOCK'!L293</f>
        <v>9000</v>
      </c>
      <c r="AN296" s="27">
        <f t="shared" si="6"/>
        <v>0</v>
      </c>
      <c r="AO296" s="26">
        <f t="shared" si="7"/>
        <v>0</v>
      </c>
      <c r="AP296" s="114">
        <f t="shared" si="8"/>
        <v>0</v>
      </c>
      <c r="AQ296" s="10"/>
    </row>
    <row r="297">
      <c r="A297" s="29" t="str">
        <f>'MASTER STOCK'!F294</f>
        <v>Kassa gibsum</v>
      </c>
      <c r="B297" s="30">
        <f>'AGS 25'!AI297</f>
        <v>3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23">
        <f t="shared" si="3"/>
        <v>0</v>
      </c>
      <c r="AI297" s="24">
        <v>0.0</v>
      </c>
      <c r="AJ297" s="32">
        <f t="shared" si="4"/>
        <v>3</v>
      </c>
      <c r="AK297" s="32">
        <f t="shared" si="5"/>
        <v>3</v>
      </c>
      <c r="AL297" s="25">
        <f>'MASTER STOCK'!I294</f>
        <v>7000</v>
      </c>
      <c r="AM297" s="27">
        <f>'MASTER STOCK'!L294</f>
        <v>7000</v>
      </c>
      <c r="AN297" s="27">
        <f t="shared" si="6"/>
        <v>0</v>
      </c>
      <c r="AO297" s="26">
        <f t="shared" si="7"/>
        <v>0</v>
      </c>
      <c r="AP297" s="114">
        <f t="shared" si="8"/>
        <v>0</v>
      </c>
      <c r="AQ297" s="10"/>
    </row>
    <row r="298">
      <c r="A298" s="29" t="str">
        <f>'MASTER STOCK'!F295</f>
        <v>Lampu Tidur</v>
      </c>
      <c r="B298" s="30">
        <f>'AGS 25'!AI298</f>
        <v>2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23">
        <f t="shared" si="3"/>
        <v>0</v>
      </c>
      <c r="AI298" s="24">
        <v>0.0</v>
      </c>
      <c r="AJ298" s="32">
        <f t="shared" si="4"/>
        <v>2</v>
      </c>
      <c r="AK298" s="32">
        <f t="shared" si="5"/>
        <v>2</v>
      </c>
      <c r="AL298" s="25">
        <f>'MASTER STOCK'!I295</f>
        <v>8000</v>
      </c>
      <c r="AM298" s="27">
        <f>'MASTER STOCK'!L295</f>
        <v>8000</v>
      </c>
      <c r="AN298" s="27">
        <f t="shared" si="6"/>
        <v>0</v>
      </c>
      <c r="AO298" s="26">
        <f t="shared" si="7"/>
        <v>0</v>
      </c>
      <c r="AP298" s="114">
        <f t="shared" si="8"/>
        <v>0</v>
      </c>
      <c r="AQ298" s="10"/>
    </row>
    <row r="299">
      <c r="A299" s="29" t="str">
        <f>'MASTER STOCK'!F296</f>
        <v>Steker Bulat</v>
      </c>
      <c r="B299" s="30">
        <f>'AGS 25'!AI299</f>
        <v>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23">
        <f t="shared" si="3"/>
        <v>0</v>
      </c>
      <c r="AI299" s="24">
        <v>0.0</v>
      </c>
      <c r="AJ299" s="32">
        <f t="shared" si="4"/>
        <v>1</v>
      </c>
      <c r="AK299" s="32">
        <f t="shared" si="5"/>
        <v>1</v>
      </c>
      <c r="AL299" s="25">
        <f>'MASTER STOCK'!I296</f>
        <v>6000</v>
      </c>
      <c r="AM299" s="27">
        <f>'MASTER STOCK'!L296</f>
        <v>6000</v>
      </c>
      <c r="AN299" s="27">
        <f t="shared" si="6"/>
        <v>0</v>
      </c>
      <c r="AO299" s="26">
        <f t="shared" si="7"/>
        <v>0</v>
      </c>
      <c r="AP299" s="114">
        <f t="shared" si="8"/>
        <v>0</v>
      </c>
      <c r="AQ299" s="10"/>
    </row>
    <row r="300">
      <c r="A300" s="29" t="str">
        <f>'MASTER STOCK'!F297</f>
        <v>Soket Lampu</v>
      </c>
      <c r="B300" s="30">
        <f>'AGS 25'!AI300</f>
        <v>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23">
        <f t="shared" si="3"/>
        <v>0</v>
      </c>
      <c r="AI300" s="24">
        <v>0.0</v>
      </c>
      <c r="AJ300" s="32">
        <f t="shared" si="4"/>
        <v>1</v>
      </c>
      <c r="AK300" s="32">
        <f t="shared" si="5"/>
        <v>1</v>
      </c>
      <c r="AL300" s="25">
        <f>'MASTER STOCK'!I297</f>
        <v>11000</v>
      </c>
      <c r="AM300" s="27">
        <f>'MASTER STOCK'!L297</f>
        <v>11000</v>
      </c>
      <c r="AN300" s="27">
        <f t="shared" si="6"/>
        <v>0</v>
      </c>
      <c r="AO300" s="26">
        <f t="shared" si="7"/>
        <v>0</v>
      </c>
      <c r="AP300" s="114">
        <f t="shared" si="8"/>
        <v>0</v>
      </c>
      <c r="AQ300" s="10"/>
    </row>
    <row r="301">
      <c r="A301" s="29" t="str">
        <f>'MASTER STOCK'!F298</f>
        <v>Sarung tangan kain</v>
      </c>
      <c r="B301" s="30">
        <f>'AGS 25'!AI301</f>
        <v>16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23">
        <f t="shared" si="3"/>
        <v>0</v>
      </c>
      <c r="AI301" s="24">
        <v>0.0</v>
      </c>
      <c r="AJ301" s="32">
        <f t="shared" si="4"/>
        <v>16</v>
      </c>
      <c r="AK301" s="32">
        <f t="shared" si="5"/>
        <v>16</v>
      </c>
      <c r="AL301" s="25">
        <f>'MASTER STOCK'!I298</f>
        <v>6000</v>
      </c>
      <c r="AM301" s="27">
        <f>'MASTER STOCK'!L298</f>
        <v>6000</v>
      </c>
      <c r="AN301" s="27">
        <f t="shared" si="6"/>
        <v>0</v>
      </c>
      <c r="AO301" s="26">
        <f t="shared" si="7"/>
        <v>0</v>
      </c>
      <c r="AP301" s="114">
        <f t="shared" si="8"/>
        <v>0</v>
      </c>
      <c r="AQ301" s="10"/>
    </row>
    <row r="302">
      <c r="A302" s="29" t="str">
        <f>'MASTER STOCK'!F299</f>
        <v>Grendel Double</v>
      </c>
      <c r="B302" s="30">
        <f>'AGS 25'!AI302</f>
        <v>2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23">
        <f t="shared" si="3"/>
        <v>0</v>
      </c>
      <c r="AI302" s="24">
        <v>0.0</v>
      </c>
      <c r="AJ302" s="32">
        <f t="shared" si="4"/>
        <v>2</v>
      </c>
      <c r="AK302" s="32">
        <f t="shared" si="5"/>
        <v>2</v>
      </c>
      <c r="AL302" s="25">
        <f>'MASTER STOCK'!I299</f>
        <v>0</v>
      </c>
      <c r="AM302" s="27">
        <f>'MASTER STOCK'!L299</f>
        <v>0</v>
      </c>
      <c r="AN302" s="27">
        <f t="shared" si="6"/>
        <v>0</v>
      </c>
      <c r="AO302" s="26">
        <f t="shared" si="7"/>
        <v>0</v>
      </c>
      <c r="AP302" s="114">
        <f t="shared" si="8"/>
        <v>0</v>
      </c>
      <c r="AQ302" s="10"/>
    </row>
    <row r="303">
      <c r="A303" s="29" t="str">
        <f>'MASTER STOCK'!F300</f>
        <v>Kunci Oval pintu</v>
      </c>
      <c r="B303" s="30">
        <f>'AGS 25'!AI303</f>
        <v>2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23">
        <f t="shared" si="3"/>
        <v>0</v>
      </c>
      <c r="AI303" s="24">
        <v>0.0</v>
      </c>
      <c r="AJ303" s="32">
        <f t="shared" si="4"/>
        <v>2</v>
      </c>
      <c r="AK303" s="32">
        <f t="shared" si="5"/>
        <v>2</v>
      </c>
      <c r="AL303" s="25">
        <f>'MASTER STOCK'!I300</f>
        <v>0</v>
      </c>
      <c r="AM303" s="27">
        <f>'MASTER STOCK'!L300</f>
        <v>0</v>
      </c>
      <c r="AN303" s="27">
        <f t="shared" si="6"/>
        <v>0</v>
      </c>
      <c r="AO303" s="26">
        <f t="shared" si="7"/>
        <v>0</v>
      </c>
      <c r="AP303" s="114">
        <f t="shared" si="8"/>
        <v>0</v>
      </c>
      <c r="AQ303" s="10"/>
    </row>
    <row r="304">
      <c r="A304" s="29" t="str">
        <f>'MASTER STOCK'!F301</f>
        <v>Benang ris  sedang</v>
      </c>
      <c r="B304" s="30">
        <f>'AGS 25'!AI304</f>
        <v>4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23">
        <f t="shared" si="3"/>
        <v>0</v>
      </c>
      <c r="AI304" s="24">
        <v>0.0</v>
      </c>
      <c r="AJ304" s="32">
        <f t="shared" si="4"/>
        <v>4</v>
      </c>
      <c r="AK304" s="32">
        <f t="shared" si="5"/>
        <v>4</v>
      </c>
      <c r="AL304" s="25">
        <f>'MASTER STOCK'!I301</f>
        <v>5000</v>
      </c>
      <c r="AM304" s="27">
        <f>'MASTER STOCK'!L301</f>
        <v>5000</v>
      </c>
      <c r="AN304" s="27">
        <f t="shared" si="6"/>
        <v>0</v>
      </c>
      <c r="AO304" s="26">
        <f t="shared" si="7"/>
        <v>0</v>
      </c>
      <c r="AP304" s="114">
        <f t="shared" si="8"/>
        <v>0</v>
      </c>
      <c r="AQ304" s="10"/>
    </row>
    <row r="305">
      <c r="A305" s="29" t="str">
        <f>'MASTER STOCK'!F302</f>
        <v>Jepitan Udang grendel</v>
      </c>
      <c r="B305" s="30">
        <f>'AGS 25'!AI305</f>
        <v>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23">
        <f t="shared" si="3"/>
        <v>0</v>
      </c>
      <c r="AI305" s="24">
        <v>0.0</v>
      </c>
      <c r="AJ305" s="32">
        <f t="shared" si="4"/>
        <v>1</v>
      </c>
      <c r="AK305" s="32">
        <f t="shared" si="5"/>
        <v>1</v>
      </c>
      <c r="AL305" s="25">
        <f>'MASTER STOCK'!I302</f>
        <v>0</v>
      </c>
      <c r="AM305" s="27">
        <f>'MASTER STOCK'!L302</f>
        <v>0</v>
      </c>
      <c r="AN305" s="27">
        <f t="shared" si="6"/>
        <v>0</v>
      </c>
      <c r="AO305" s="26">
        <f t="shared" si="7"/>
        <v>0</v>
      </c>
      <c r="AP305" s="114">
        <f t="shared" si="8"/>
        <v>0</v>
      </c>
      <c r="AQ305" s="10"/>
    </row>
    <row r="306">
      <c r="A306" s="29" t="str">
        <f>'MASTER STOCK'!F303</f>
        <v>Cengkal jendela panjang lurus</v>
      </c>
      <c r="B306" s="30">
        <f>'AGS 25'!AI306</f>
        <v>4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23">
        <f t="shared" si="3"/>
        <v>0</v>
      </c>
      <c r="AI306" s="24">
        <v>0.0</v>
      </c>
      <c r="AJ306" s="32">
        <f t="shared" si="4"/>
        <v>4</v>
      </c>
      <c r="AK306" s="32">
        <f t="shared" si="5"/>
        <v>4</v>
      </c>
      <c r="AL306" s="25">
        <f>'MASTER STOCK'!I303</f>
        <v>11000</v>
      </c>
      <c r="AM306" s="27">
        <f>'MASTER STOCK'!L303</f>
        <v>11000</v>
      </c>
      <c r="AN306" s="27">
        <f t="shared" si="6"/>
        <v>0</v>
      </c>
      <c r="AO306" s="26">
        <f t="shared" si="7"/>
        <v>0</v>
      </c>
      <c r="AP306" s="114">
        <f t="shared" si="8"/>
        <v>0</v>
      </c>
      <c r="AQ306" s="10"/>
    </row>
    <row r="307">
      <c r="A307" s="29" t="str">
        <f>'MASTER STOCK'!F304</f>
        <v>Gagang Pintu</v>
      </c>
      <c r="B307" s="30">
        <f>'AGS 25'!AI307</f>
        <v>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23">
        <f t="shared" si="3"/>
        <v>0</v>
      </c>
      <c r="AI307" s="24">
        <v>0.0</v>
      </c>
      <c r="AJ307" s="32">
        <f t="shared" si="4"/>
        <v>1</v>
      </c>
      <c r="AK307" s="32">
        <f t="shared" si="5"/>
        <v>1</v>
      </c>
      <c r="AL307" s="25">
        <f>'MASTER STOCK'!I304</f>
        <v>18000</v>
      </c>
      <c r="AM307" s="27">
        <f>'MASTER STOCK'!L304</f>
        <v>18000</v>
      </c>
      <c r="AN307" s="27">
        <f t="shared" si="6"/>
        <v>0</v>
      </c>
      <c r="AO307" s="26">
        <f t="shared" si="7"/>
        <v>0</v>
      </c>
      <c r="AP307" s="114">
        <f t="shared" si="8"/>
        <v>0</v>
      </c>
      <c r="AQ307" s="10"/>
    </row>
    <row r="308">
      <c r="A308" s="29" t="str">
        <f>'MASTER STOCK'!F305</f>
        <v>Sekrup  3cm</v>
      </c>
      <c r="B308" s="30">
        <f>'AGS 25'!AI308</f>
        <v>20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23">
        <f t="shared" si="3"/>
        <v>0</v>
      </c>
      <c r="AI308" s="24">
        <v>0.0</v>
      </c>
      <c r="AJ308" s="32">
        <f t="shared" si="4"/>
        <v>20</v>
      </c>
      <c r="AK308" s="32">
        <f t="shared" si="5"/>
        <v>20</v>
      </c>
      <c r="AL308" s="25">
        <f>'MASTER STOCK'!I305</f>
        <v>0</v>
      </c>
      <c r="AM308" s="27">
        <f>'MASTER STOCK'!L305</f>
        <v>0</v>
      </c>
      <c r="AN308" s="27">
        <f t="shared" si="6"/>
        <v>0</v>
      </c>
      <c r="AO308" s="26">
        <f t="shared" si="7"/>
        <v>0</v>
      </c>
      <c r="AP308" s="114">
        <f t="shared" si="8"/>
        <v>0</v>
      </c>
      <c r="AQ308" s="10"/>
    </row>
    <row r="309">
      <c r="A309" s="29" t="str">
        <f>'MASTER STOCK'!F306</f>
        <v>Sekrup  2.5</v>
      </c>
      <c r="B309" s="30">
        <f>'AGS 25'!AI309</f>
        <v>10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23">
        <f t="shared" si="3"/>
        <v>0</v>
      </c>
      <c r="AI309" s="24">
        <v>0.0</v>
      </c>
      <c r="AJ309" s="32">
        <f t="shared" si="4"/>
        <v>10</v>
      </c>
      <c r="AK309" s="32">
        <f t="shared" si="5"/>
        <v>10</v>
      </c>
      <c r="AL309" s="25">
        <f>'MASTER STOCK'!I306</f>
        <v>0</v>
      </c>
      <c r="AM309" s="27">
        <f>'MASTER STOCK'!L306</f>
        <v>0</v>
      </c>
      <c r="AN309" s="27">
        <f t="shared" si="6"/>
        <v>0</v>
      </c>
      <c r="AO309" s="26">
        <f t="shared" si="7"/>
        <v>0</v>
      </c>
      <c r="AP309" s="114">
        <f t="shared" si="8"/>
        <v>0</v>
      </c>
      <c r="AQ309" s="10"/>
    </row>
    <row r="310">
      <c r="A310" s="29" t="str">
        <f>'MASTER STOCK'!F307</f>
        <v>Roda etalase</v>
      </c>
      <c r="B310" s="30">
        <f>'AGS 25'!AI310</f>
        <v>4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23">
        <f t="shared" si="3"/>
        <v>0</v>
      </c>
      <c r="AI310" s="24">
        <v>0.0</v>
      </c>
      <c r="AJ310" s="32">
        <f t="shared" si="4"/>
        <v>4</v>
      </c>
      <c r="AK310" s="32">
        <f t="shared" si="5"/>
        <v>4</v>
      </c>
      <c r="AL310" s="25">
        <f>'MASTER STOCK'!I307</f>
        <v>35000</v>
      </c>
      <c r="AM310" s="27">
        <f>'MASTER STOCK'!L307</f>
        <v>35000</v>
      </c>
      <c r="AN310" s="27">
        <f t="shared" si="6"/>
        <v>0</v>
      </c>
      <c r="AO310" s="26">
        <f t="shared" si="7"/>
        <v>0</v>
      </c>
      <c r="AP310" s="114">
        <f t="shared" si="8"/>
        <v>0</v>
      </c>
      <c r="AQ310" s="10"/>
    </row>
    <row r="311">
      <c r="A311" s="29" t="str">
        <f>'MASTER STOCK'!F308</f>
        <v>Gagang pintu besi  besar</v>
      </c>
      <c r="B311" s="30">
        <f>'AGS 25'!AI311</f>
        <v>7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23">
        <f t="shared" si="3"/>
        <v>0</v>
      </c>
      <c r="AI311" s="24">
        <v>0.0</v>
      </c>
      <c r="AJ311" s="32">
        <f t="shared" si="4"/>
        <v>7</v>
      </c>
      <c r="AK311" s="32">
        <f t="shared" si="5"/>
        <v>7</v>
      </c>
      <c r="AL311" s="25">
        <f>'MASTER STOCK'!I308</f>
        <v>4500</v>
      </c>
      <c r="AM311" s="27">
        <f>'MASTER STOCK'!L308</f>
        <v>4500</v>
      </c>
      <c r="AN311" s="27">
        <f t="shared" si="6"/>
        <v>0</v>
      </c>
      <c r="AO311" s="26">
        <f t="shared" si="7"/>
        <v>0</v>
      </c>
      <c r="AP311" s="114">
        <f t="shared" si="8"/>
        <v>0</v>
      </c>
      <c r="AQ311" s="10"/>
    </row>
    <row r="312">
      <c r="A312" s="29" t="str">
        <f>'MASTER STOCK'!F309</f>
        <v>Gagang pintu besi  Kecil</v>
      </c>
      <c r="B312" s="30">
        <f>'AGS 25'!AI312</f>
        <v>2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23">
        <f t="shared" si="3"/>
        <v>0</v>
      </c>
      <c r="AI312" s="24">
        <v>0.0</v>
      </c>
      <c r="AJ312" s="32">
        <f t="shared" si="4"/>
        <v>2</v>
      </c>
      <c r="AK312" s="32">
        <f t="shared" si="5"/>
        <v>2</v>
      </c>
      <c r="AL312" s="25">
        <f>'MASTER STOCK'!I309</f>
        <v>2000</v>
      </c>
      <c r="AM312" s="27">
        <f>'MASTER STOCK'!L309</f>
        <v>2000</v>
      </c>
      <c r="AN312" s="27">
        <f t="shared" si="6"/>
        <v>0</v>
      </c>
      <c r="AO312" s="26">
        <f t="shared" si="7"/>
        <v>0</v>
      </c>
      <c r="AP312" s="114">
        <f t="shared" si="8"/>
        <v>0</v>
      </c>
      <c r="AQ312" s="10"/>
    </row>
    <row r="313">
      <c r="A313" s="29" t="str">
        <f>'MASTER STOCK'!F310</f>
        <v>Sekrup  6 x 1</v>
      </c>
      <c r="B313" s="30">
        <f>'AGS 25'!AI313</f>
        <v>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23">
        <f t="shared" si="3"/>
        <v>0</v>
      </c>
      <c r="AI313" s="24">
        <v>0.0</v>
      </c>
      <c r="AJ313" s="32">
        <f t="shared" si="4"/>
        <v>1</v>
      </c>
      <c r="AK313" s="32">
        <f t="shared" si="5"/>
        <v>1</v>
      </c>
      <c r="AL313" s="25">
        <f>'MASTER STOCK'!I310</f>
        <v>0</v>
      </c>
      <c r="AM313" s="27">
        <f>'MASTER STOCK'!L310</f>
        <v>0</v>
      </c>
      <c r="AN313" s="27">
        <f t="shared" si="6"/>
        <v>0</v>
      </c>
      <c r="AO313" s="26">
        <f t="shared" si="7"/>
        <v>0</v>
      </c>
      <c r="AP313" s="114">
        <f t="shared" si="8"/>
        <v>0</v>
      </c>
      <c r="AQ313" s="10"/>
    </row>
    <row r="314">
      <c r="A314" s="29" t="str">
        <f>'MASTER STOCK'!F311</f>
        <v>Klem kabel  8 mm</v>
      </c>
      <c r="B314" s="30">
        <f>'AGS 25'!AI314</f>
        <v>4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23">
        <f t="shared" si="3"/>
        <v>0</v>
      </c>
      <c r="AI314" s="24">
        <v>0.0</v>
      </c>
      <c r="AJ314" s="32">
        <f t="shared" si="4"/>
        <v>4</v>
      </c>
      <c r="AK314" s="32">
        <f t="shared" si="5"/>
        <v>4</v>
      </c>
      <c r="AL314" s="25">
        <f>'MASTER STOCK'!I311</f>
        <v>14000</v>
      </c>
      <c r="AM314" s="27">
        <f>'MASTER STOCK'!L311</f>
        <v>14000</v>
      </c>
      <c r="AN314" s="27">
        <f t="shared" si="6"/>
        <v>0</v>
      </c>
      <c r="AO314" s="26">
        <f t="shared" si="7"/>
        <v>0</v>
      </c>
      <c r="AP314" s="114">
        <f t="shared" si="8"/>
        <v>0</v>
      </c>
      <c r="AQ314" s="10"/>
    </row>
    <row r="315">
      <c r="A315" s="29" t="str">
        <f>'MASTER STOCK'!F312</f>
        <v>Klem kabel  9 mm</v>
      </c>
      <c r="B315" s="30">
        <f>'AGS 25'!AI315</f>
        <v>2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23">
        <f t="shared" si="3"/>
        <v>0</v>
      </c>
      <c r="AI315" s="24">
        <v>0.0</v>
      </c>
      <c r="AJ315" s="32">
        <f t="shared" si="4"/>
        <v>2</v>
      </c>
      <c r="AK315" s="32">
        <f t="shared" si="5"/>
        <v>2</v>
      </c>
      <c r="AL315" s="25">
        <f>'MASTER STOCK'!I312</f>
        <v>14000</v>
      </c>
      <c r="AM315" s="27">
        <f>'MASTER STOCK'!L312</f>
        <v>14000</v>
      </c>
      <c r="AN315" s="27">
        <f t="shared" si="6"/>
        <v>0</v>
      </c>
      <c r="AO315" s="26">
        <f t="shared" si="7"/>
        <v>0</v>
      </c>
      <c r="AP315" s="114">
        <f t="shared" si="8"/>
        <v>0</v>
      </c>
      <c r="AQ315" s="10"/>
    </row>
    <row r="316">
      <c r="A316" s="29" t="str">
        <f>'MASTER STOCK'!F313</f>
        <v>Fishcer 8 mm</v>
      </c>
      <c r="B316" s="30">
        <f>'AGS 25'!AI316</f>
        <v>4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23">
        <f t="shared" si="3"/>
        <v>0</v>
      </c>
      <c r="AI316" s="24">
        <v>0.0</v>
      </c>
      <c r="AJ316" s="32">
        <f t="shared" si="4"/>
        <v>4</v>
      </c>
      <c r="AK316" s="32">
        <f t="shared" si="5"/>
        <v>4</v>
      </c>
      <c r="AL316" s="25">
        <f>'MASTER STOCK'!I313</f>
        <v>15000</v>
      </c>
      <c r="AM316" s="27">
        <f>'MASTER STOCK'!L313</f>
        <v>15000</v>
      </c>
      <c r="AN316" s="27">
        <f t="shared" si="6"/>
        <v>0</v>
      </c>
      <c r="AO316" s="26">
        <f t="shared" si="7"/>
        <v>0</v>
      </c>
      <c r="AP316" s="114">
        <f t="shared" si="8"/>
        <v>0</v>
      </c>
      <c r="AQ316" s="10"/>
    </row>
    <row r="317">
      <c r="A317" s="29" t="str">
        <f>'MASTER STOCK'!F314</f>
        <v>Fishcer 5 mm</v>
      </c>
      <c r="B317" s="30">
        <f>'AGS 25'!AI317</f>
        <v>3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23">
        <f t="shared" si="3"/>
        <v>0</v>
      </c>
      <c r="AI317" s="24">
        <v>0.0</v>
      </c>
      <c r="AJ317" s="32">
        <f t="shared" si="4"/>
        <v>3</v>
      </c>
      <c r="AK317" s="32">
        <f t="shared" si="5"/>
        <v>3</v>
      </c>
      <c r="AL317" s="25">
        <f>'MASTER STOCK'!I314</f>
        <v>10000</v>
      </c>
      <c r="AM317" s="27">
        <f>'MASTER STOCK'!L314</f>
        <v>10000</v>
      </c>
      <c r="AN317" s="27">
        <f t="shared" si="6"/>
        <v>0</v>
      </c>
      <c r="AO317" s="26">
        <f t="shared" si="7"/>
        <v>0</v>
      </c>
      <c r="AP317" s="114">
        <f t="shared" si="8"/>
        <v>0</v>
      </c>
      <c r="AQ317" s="10"/>
    </row>
    <row r="318">
      <c r="A318" s="29" t="str">
        <f>'MASTER STOCK'!F315</f>
        <v>Kran besi 3/4</v>
      </c>
      <c r="B318" s="30">
        <f>'AGS 25'!AI318</f>
        <v>2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22">
        <v>1.0</v>
      </c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23">
        <f t="shared" si="3"/>
        <v>1</v>
      </c>
      <c r="AI318" s="24">
        <v>0.0</v>
      </c>
      <c r="AJ318" s="32">
        <f t="shared" si="4"/>
        <v>1</v>
      </c>
      <c r="AK318" s="32">
        <f t="shared" si="5"/>
        <v>1</v>
      </c>
      <c r="AL318" s="25">
        <f>'MASTER STOCK'!I315</f>
        <v>27500</v>
      </c>
      <c r="AM318" s="27">
        <f>'MASTER STOCK'!L315</f>
        <v>27500</v>
      </c>
      <c r="AN318" s="27">
        <f t="shared" si="6"/>
        <v>27500</v>
      </c>
      <c r="AO318" s="26">
        <f t="shared" si="7"/>
        <v>0</v>
      </c>
      <c r="AP318" s="114">
        <f t="shared" si="8"/>
        <v>27500</v>
      </c>
      <c r="AQ318" s="10"/>
    </row>
    <row r="319">
      <c r="A319" s="29" t="str">
        <f>'MASTER STOCK'!F316</f>
        <v>Gunting tanggung</v>
      </c>
      <c r="B319" s="30">
        <f>'AGS 25'!AI319</f>
        <v>2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23">
        <f t="shared" si="3"/>
        <v>0</v>
      </c>
      <c r="AI319" s="24">
        <v>0.0</v>
      </c>
      <c r="AJ319" s="32">
        <f t="shared" si="4"/>
        <v>2</v>
      </c>
      <c r="AK319" s="32">
        <f t="shared" si="5"/>
        <v>2</v>
      </c>
      <c r="AL319" s="25">
        <f>'MASTER STOCK'!I316</f>
        <v>10000</v>
      </c>
      <c r="AM319" s="27">
        <f>'MASTER STOCK'!L316</f>
        <v>10000</v>
      </c>
      <c r="AN319" s="27">
        <f t="shared" si="6"/>
        <v>0</v>
      </c>
      <c r="AO319" s="26">
        <f t="shared" si="7"/>
        <v>0</v>
      </c>
      <c r="AP319" s="114">
        <f t="shared" si="8"/>
        <v>0</v>
      </c>
      <c r="AQ319" s="10"/>
    </row>
    <row r="320">
      <c r="A320" s="29" t="str">
        <f>'MASTER STOCK'!F317</f>
        <v>Stop kran PVC onda 3/4</v>
      </c>
      <c r="B320" s="30">
        <f>'AGS 25'!AI320</f>
        <v>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22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23">
        <f t="shared" si="3"/>
        <v>0</v>
      </c>
      <c r="AI320" s="24">
        <v>0.0</v>
      </c>
      <c r="AJ320" s="32">
        <f t="shared" si="4"/>
        <v>1</v>
      </c>
      <c r="AK320" s="32">
        <f t="shared" si="5"/>
        <v>1</v>
      </c>
      <c r="AL320" s="25">
        <f>'MASTER STOCK'!I317</f>
        <v>31000</v>
      </c>
      <c r="AM320" s="27">
        <f>'MASTER STOCK'!L317</f>
        <v>31000</v>
      </c>
      <c r="AN320" s="27">
        <f t="shared" si="6"/>
        <v>0</v>
      </c>
      <c r="AO320" s="26">
        <f t="shared" si="7"/>
        <v>0</v>
      </c>
      <c r="AP320" s="114">
        <f t="shared" si="8"/>
        <v>0</v>
      </c>
      <c r="AQ320" s="10"/>
    </row>
    <row r="321">
      <c r="A321" s="29" t="str">
        <f>'MASTER STOCK'!F318</f>
        <v>Stop kran PVC move 1/2</v>
      </c>
      <c r="B321" s="30">
        <f>'AGS 25'!AI321</f>
        <v>3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22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23">
        <f t="shared" si="3"/>
        <v>0</v>
      </c>
      <c r="AI321" s="24">
        <v>0.0</v>
      </c>
      <c r="AJ321" s="32">
        <f t="shared" si="4"/>
        <v>3</v>
      </c>
      <c r="AK321" s="32">
        <f t="shared" si="5"/>
        <v>3</v>
      </c>
      <c r="AL321" s="25">
        <f>'MASTER STOCK'!I318</f>
        <v>21000</v>
      </c>
      <c r="AM321" s="27">
        <f>'MASTER STOCK'!L318</f>
        <v>21000</v>
      </c>
      <c r="AN321" s="27">
        <f t="shared" si="6"/>
        <v>0</v>
      </c>
      <c r="AO321" s="26">
        <f t="shared" si="7"/>
        <v>0</v>
      </c>
      <c r="AP321" s="114">
        <f t="shared" si="8"/>
        <v>0</v>
      </c>
      <c r="AQ321" s="10"/>
    </row>
    <row r="322">
      <c r="A322" s="29" t="str">
        <f>'MASTER STOCK'!F319</f>
        <v>Ungkal</v>
      </c>
      <c r="B322" s="30">
        <f>'AGS 25'!AI322</f>
        <v>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23">
        <f t="shared" si="3"/>
        <v>0</v>
      </c>
      <c r="AI322" s="24">
        <v>0.0</v>
      </c>
      <c r="AJ322" s="32">
        <f t="shared" si="4"/>
        <v>1</v>
      </c>
      <c r="AK322" s="32">
        <f t="shared" si="5"/>
        <v>1</v>
      </c>
      <c r="AL322" s="25">
        <f>'MASTER STOCK'!I319</f>
        <v>22500</v>
      </c>
      <c r="AM322" s="27">
        <f>'MASTER STOCK'!L319</f>
        <v>22500</v>
      </c>
      <c r="AN322" s="27">
        <f t="shared" si="6"/>
        <v>0</v>
      </c>
      <c r="AO322" s="26">
        <f t="shared" si="7"/>
        <v>0</v>
      </c>
      <c r="AP322" s="114">
        <f t="shared" si="8"/>
        <v>0</v>
      </c>
      <c r="AQ322" s="10"/>
    </row>
    <row r="323">
      <c r="A323" s="29" t="str">
        <f>'MASTER STOCK'!F320</f>
        <v>Stop kran PVC jia rong 1</v>
      </c>
      <c r="B323" s="30">
        <f>'AGS 25'!AI323</f>
        <v>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23">
        <f t="shared" si="3"/>
        <v>0</v>
      </c>
      <c r="AI323" s="24">
        <v>0.0</v>
      </c>
      <c r="AJ323" s="32">
        <f t="shared" si="4"/>
        <v>1</v>
      </c>
      <c r="AK323" s="32">
        <f t="shared" si="5"/>
        <v>1</v>
      </c>
      <c r="AL323" s="25">
        <f>'MASTER STOCK'!I320</f>
        <v>28500</v>
      </c>
      <c r="AM323" s="27">
        <f>'MASTER STOCK'!L320</f>
        <v>28500</v>
      </c>
      <c r="AN323" s="27">
        <f t="shared" si="6"/>
        <v>0</v>
      </c>
      <c r="AO323" s="26">
        <f t="shared" si="7"/>
        <v>0</v>
      </c>
      <c r="AP323" s="114">
        <f t="shared" si="8"/>
        <v>0</v>
      </c>
      <c r="AQ323" s="10"/>
    </row>
    <row r="324">
      <c r="A324" s="29" t="str">
        <f>'MASTER STOCK'!F321</f>
        <v>Stop kran move 1</v>
      </c>
      <c r="B324" s="30">
        <f>'AGS 25'!AI324</f>
        <v>2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23">
        <f t="shared" si="3"/>
        <v>0</v>
      </c>
      <c r="AI324" s="24">
        <v>0.0</v>
      </c>
      <c r="AJ324" s="32">
        <f t="shared" si="4"/>
        <v>2</v>
      </c>
      <c r="AK324" s="32">
        <f t="shared" si="5"/>
        <v>2</v>
      </c>
      <c r="AL324" s="25">
        <f>'MASTER STOCK'!I321</f>
        <v>21000</v>
      </c>
      <c r="AM324" s="27">
        <f>'MASTER STOCK'!L321</f>
        <v>21000</v>
      </c>
      <c r="AN324" s="27">
        <f t="shared" si="6"/>
        <v>0</v>
      </c>
      <c r="AO324" s="26">
        <f t="shared" si="7"/>
        <v>0</v>
      </c>
      <c r="AP324" s="114">
        <f t="shared" si="8"/>
        <v>0</v>
      </c>
      <c r="AQ324" s="10"/>
    </row>
    <row r="325">
      <c r="A325" s="29" t="str">
        <f>'MASTER STOCK'!F322</f>
        <v>Pegangan laci/ lemari  3</v>
      </c>
      <c r="B325" s="30">
        <f>'AGS 25'!AI325</f>
        <v>21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23">
        <f t="shared" si="3"/>
        <v>0</v>
      </c>
      <c r="AI325" s="24">
        <v>0.0</v>
      </c>
      <c r="AJ325" s="32">
        <f t="shared" si="4"/>
        <v>21</v>
      </c>
      <c r="AK325" s="32">
        <f t="shared" si="5"/>
        <v>21</v>
      </c>
      <c r="AL325" s="25">
        <f>'MASTER STOCK'!I322</f>
        <v>1500</v>
      </c>
      <c r="AM325" s="27">
        <f>'MASTER STOCK'!L322</f>
        <v>1500</v>
      </c>
      <c r="AN325" s="27">
        <f t="shared" si="6"/>
        <v>0</v>
      </c>
      <c r="AO325" s="26">
        <f t="shared" si="7"/>
        <v>0</v>
      </c>
      <c r="AP325" s="114">
        <f t="shared" si="8"/>
        <v>0</v>
      </c>
      <c r="AQ325" s="10"/>
    </row>
    <row r="326">
      <c r="A326" s="29" t="str">
        <f>'MASTER STOCK'!F323</f>
        <v>Pegangan laci/ lemari  4</v>
      </c>
      <c r="B326" s="30">
        <f>'AGS 25'!AI326</f>
        <v>5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23">
        <f t="shared" si="3"/>
        <v>0</v>
      </c>
      <c r="AI326" s="24">
        <v>0.0</v>
      </c>
      <c r="AJ326" s="32">
        <f t="shared" si="4"/>
        <v>5</v>
      </c>
      <c r="AK326" s="32">
        <f t="shared" si="5"/>
        <v>5</v>
      </c>
      <c r="AL326" s="25">
        <f>'MASTER STOCK'!I323</f>
        <v>2000</v>
      </c>
      <c r="AM326" s="27">
        <f>'MASTER STOCK'!L323</f>
        <v>2000</v>
      </c>
      <c r="AN326" s="27">
        <f t="shared" si="6"/>
        <v>0</v>
      </c>
      <c r="AO326" s="26">
        <f t="shared" si="7"/>
        <v>0</v>
      </c>
      <c r="AP326" s="114">
        <f t="shared" si="8"/>
        <v>0</v>
      </c>
      <c r="AQ326" s="10"/>
    </row>
    <row r="327">
      <c r="A327" s="29" t="str">
        <f>'MASTER STOCK'!F324</f>
        <v>cutter besar</v>
      </c>
      <c r="B327" s="30">
        <f>'AGS 25'!AI327</f>
        <v>3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23">
        <f t="shared" si="3"/>
        <v>0</v>
      </c>
      <c r="AI327" s="24">
        <v>0.0</v>
      </c>
      <c r="AJ327" s="32">
        <f t="shared" si="4"/>
        <v>3</v>
      </c>
      <c r="AK327" s="32">
        <f t="shared" si="5"/>
        <v>3</v>
      </c>
      <c r="AL327" s="25">
        <f>'MASTER STOCK'!I324</f>
        <v>5000</v>
      </c>
      <c r="AM327" s="27">
        <f>'MASTER STOCK'!L324</f>
        <v>5000</v>
      </c>
      <c r="AN327" s="27">
        <f t="shared" si="6"/>
        <v>0</v>
      </c>
      <c r="AO327" s="26">
        <f t="shared" si="7"/>
        <v>0</v>
      </c>
      <c r="AP327" s="114">
        <f t="shared" si="8"/>
        <v>0</v>
      </c>
      <c r="AQ327" s="10"/>
    </row>
    <row r="328">
      <c r="A328" s="29" t="str">
        <f>'MASTER STOCK'!F325</f>
        <v>Paku beton 1</v>
      </c>
      <c r="B328" s="30">
        <f>'AGS 25'!AI328</f>
        <v>2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23">
        <f t="shared" si="3"/>
        <v>0</v>
      </c>
      <c r="AI328" s="24">
        <v>0.0</v>
      </c>
      <c r="AJ328" s="32">
        <f t="shared" si="4"/>
        <v>2</v>
      </c>
      <c r="AK328" s="32">
        <f t="shared" si="5"/>
        <v>2</v>
      </c>
      <c r="AL328" s="25">
        <f>'MASTER STOCK'!I325</f>
        <v>14000</v>
      </c>
      <c r="AM328" s="27">
        <f>'MASTER STOCK'!L325</f>
        <v>14000</v>
      </c>
      <c r="AN328" s="27">
        <f t="shared" si="6"/>
        <v>0</v>
      </c>
      <c r="AO328" s="26">
        <f t="shared" si="7"/>
        <v>0</v>
      </c>
      <c r="AP328" s="114">
        <f t="shared" si="8"/>
        <v>0</v>
      </c>
      <c r="AQ328" s="10"/>
    </row>
    <row r="329">
      <c r="A329" s="29" t="str">
        <f>'MASTER STOCK'!F326</f>
        <v>Footklem PVC 1 royal 3/4</v>
      </c>
      <c r="B329" s="30">
        <f>'AGS 25'!AI329</f>
        <v>2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23">
        <f t="shared" si="3"/>
        <v>0</v>
      </c>
      <c r="AI329" s="24">
        <v>0.0</v>
      </c>
      <c r="AJ329" s="32">
        <f t="shared" si="4"/>
        <v>2</v>
      </c>
      <c r="AK329" s="32">
        <f t="shared" si="5"/>
        <v>2</v>
      </c>
      <c r="AL329" s="25">
        <f>'MASTER STOCK'!I326</f>
        <v>16500</v>
      </c>
      <c r="AM329" s="27">
        <f>'MASTER STOCK'!L326</f>
        <v>16500</v>
      </c>
      <c r="AN329" s="27">
        <f t="shared" si="6"/>
        <v>0</v>
      </c>
      <c r="AO329" s="26">
        <f t="shared" si="7"/>
        <v>0</v>
      </c>
      <c r="AP329" s="114">
        <f t="shared" si="8"/>
        <v>0</v>
      </c>
      <c r="AQ329" s="10"/>
    </row>
    <row r="330">
      <c r="A330" s="29" t="str">
        <f>'MASTER STOCK'!F327</f>
        <v>Footklem PVC 1 royal 1</v>
      </c>
      <c r="B330" s="30">
        <f>'AGS 25'!AI330</f>
        <v>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23">
        <f t="shared" si="3"/>
        <v>0</v>
      </c>
      <c r="AI330" s="24">
        <v>0.0</v>
      </c>
      <c r="AJ330" s="32">
        <f t="shared" si="4"/>
        <v>1</v>
      </c>
      <c r="AK330" s="32">
        <f t="shared" si="5"/>
        <v>1</v>
      </c>
      <c r="AL330" s="25">
        <f>'MASTER STOCK'!I327</f>
        <v>17000</v>
      </c>
      <c r="AM330" s="27">
        <f>'MASTER STOCK'!L327</f>
        <v>17000</v>
      </c>
      <c r="AN330" s="27">
        <f t="shared" si="6"/>
        <v>0</v>
      </c>
      <c r="AO330" s="26">
        <f t="shared" si="7"/>
        <v>0</v>
      </c>
      <c r="AP330" s="114">
        <f t="shared" si="8"/>
        <v>0</v>
      </c>
      <c r="AQ330" s="10"/>
    </row>
    <row r="331">
      <c r="A331" s="29" t="str">
        <f>'MASTER STOCK'!F328</f>
        <v>Tinner 1/2liter</v>
      </c>
      <c r="B331" s="30">
        <f>'AGS 25'!AI331</f>
        <v>3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23">
        <f t="shared" si="3"/>
        <v>0</v>
      </c>
      <c r="AI331" s="24">
        <v>0.0</v>
      </c>
      <c r="AJ331" s="32">
        <f t="shared" si="4"/>
        <v>3</v>
      </c>
      <c r="AK331" s="32">
        <f t="shared" si="5"/>
        <v>3</v>
      </c>
      <c r="AL331" s="25">
        <f>'MASTER STOCK'!I328</f>
        <v>20000</v>
      </c>
      <c r="AM331" s="27">
        <f>'MASTER STOCK'!L328</f>
        <v>20000</v>
      </c>
      <c r="AN331" s="27">
        <f t="shared" si="6"/>
        <v>0</v>
      </c>
      <c r="AO331" s="26">
        <f t="shared" si="7"/>
        <v>0</v>
      </c>
      <c r="AP331" s="114">
        <f t="shared" si="8"/>
        <v>0</v>
      </c>
      <c r="AQ331" s="10"/>
    </row>
    <row r="332">
      <c r="A332" s="29" t="str">
        <f>'MASTER STOCK'!F329</f>
        <v>Cat emco</v>
      </c>
      <c r="B332" s="30">
        <f>'AGS 25'!AI332</f>
        <v>3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23">
        <f t="shared" si="3"/>
        <v>0</v>
      </c>
      <c r="AI332" s="24">
        <v>0.0</v>
      </c>
      <c r="AJ332" s="32">
        <f t="shared" si="4"/>
        <v>3</v>
      </c>
      <c r="AK332" s="32">
        <f t="shared" si="5"/>
        <v>3</v>
      </c>
      <c r="AL332" s="25">
        <f>'MASTER STOCK'!I329</f>
        <v>22000</v>
      </c>
      <c r="AM332" s="27">
        <f>'MASTER STOCK'!L329</f>
        <v>22000</v>
      </c>
      <c r="AN332" s="27">
        <f t="shared" si="6"/>
        <v>0</v>
      </c>
      <c r="AO332" s="26">
        <f t="shared" si="7"/>
        <v>0</v>
      </c>
      <c r="AP332" s="114">
        <f t="shared" si="8"/>
        <v>0</v>
      </c>
      <c r="AQ332" s="10"/>
    </row>
    <row r="333">
      <c r="A333" s="29" t="str">
        <f>'MASTER STOCK'!F330</f>
        <v>Cat kayu avian 25cc</v>
      </c>
      <c r="B333" s="30">
        <f>'AGS 25'!AI333</f>
        <v>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23">
        <f t="shared" si="3"/>
        <v>0</v>
      </c>
      <c r="AI333" s="24">
        <v>0.0</v>
      </c>
      <c r="AJ333" s="32">
        <f t="shared" si="4"/>
        <v>1</v>
      </c>
      <c r="AK333" s="32">
        <f t="shared" si="5"/>
        <v>1</v>
      </c>
      <c r="AL333" s="25">
        <f>'MASTER STOCK'!I330</f>
        <v>5500</v>
      </c>
      <c r="AM333" s="27">
        <f>'MASTER STOCK'!L330</f>
        <v>5500</v>
      </c>
      <c r="AN333" s="27">
        <f t="shared" si="6"/>
        <v>0</v>
      </c>
      <c r="AO333" s="26">
        <f t="shared" si="7"/>
        <v>0</v>
      </c>
      <c r="AP333" s="114">
        <f t="shared" si="8"/>
        <v>0</v>
      </c>
      <c r="AQ333" s="10"/>
    </row>
    <row r="334">
      <c r="A334" s="29" t="str">
        <f>'MASTER STOCK'!F331</f>
        <v>Engsel Pintu</v>
      </c>
      <c r="B334" s="30">
        <f>'AGS 25'!AI334</f>
        <v>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23">
        <f t="shared" si="3"/>
        <v>0</v>
      </c>
      <c r="AI334" s="24">
        <v>0.0</v>
      </c>
      <c r="AJ334" s="32">
        <f t="shared" si="4"/>
        <v>1</v>
      </c>
      <c r="AK334" s="32">
        <f t="shared" si="5"/>
        <v>1</v>
      </c>
      <c r="AL334" s="25">
        <f>'MASTER STOCK'!I331</f>
        <v>23000</v>
      </c>
      <c r="AM334" s="27">
        <f>'MASTER STOCK'!L331</f>
        <v>23000</v>
      </c>
      <c r="AN334" s="27">
        <f t="shared" si="6"/>
        <v>0</v>
      </c>
      <c r="AO334" s="26">
        <f t="shared" si="7"/>
        <v>0</v>
      </c>
      <c r="AP334" s="114">
        <f t="shared" si="8"/>
        <v>0</v>
      </c>
      <c r="AQ334" s="10"/>
    </row>
    <row r="335">
      <c r="A335" s="29" t="str">
        <f>'MASTER STOCK'!F332</f>
        <v>Lem tikus</v>
      </c>
      <c r="B335" s="30">
        <f>'AGS 25'!AI335</f>
        <v>2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23">
        <f t="shared" si="3"/>
        <v>0</v>
      </c>
      <c r="AI335" s="24">
        <v>0.0</v>
      </c>
      <c r="AJ335" s="32">
        <f t="shared" si="4"/>
        <v>2</v>
      </c>
      <c r="AK335" s="32">
        <f t="shared" si="5"/>
        <v>2</v>
      </c>
      <c r="AL335" s="25">
        <f>'MASTER STOCK'!I332</f>
        <v>21000</v>
      </c>
      <c r="AM335" s="27">
        <f>'MASTER STOCK'!L332</f>
        <v>21000</v>
      </c>
      <c r="AN335" s="27">
        <f t="shared" si="6"/>
        <v>0</v>
      </c>
      <c r="AO335" s="26">
        <f t="shared" si="7"/>
        <v>0</v>
      </c>
      <c r="AP335" s="114">
        <f t="shared" si="8"/>
        <v>0</v>
      </c>
      <c r="AQ335" s="10"/>
    </row>
    <row r="336">
      <c r="A336" s="29" t="str">
        <f>'MASTER STOCK'!F333</f>
        <v>Catut 6"</v>
      </c>
      <c r="B336" s="30">
        <f>'AGS 25'!AI336</f>
        <v>6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23">
        <f t="shared" si="3"/>
        <v>0</v>
      </c>
      <c r="AI336" s="24">
        <v>0.0</v>
      </c>
      <c r="AJ336" s="32">
        <f t="shared" si="4"/>
        <v>6</v>
      </c>
      <c r="AK336" s="32">
        <f t="shared" si="5"/>
        <v>6</v>
      </c>
      <c r="AL336" s="25">
        <f>'MASTER STOCK'!I333</f>
        <v>15000</v>
      </c>
      <c r="AM336" s="27">
        <f>'MASTER STOCK'!L333</f>
        <v>15000</v>
      </c>
      <c r="AN336" s="27">
        <f t="shared" si="6"/>
        <v>0</v>
      </c>
      <c r="AO336" s="26">
        <f t="shared" si="7"/>
        <v>0</v>
      </c>
      <c r="AP336" s="114">
        <f t="shared" si="8"/>
        <v>0</v>
      </c>
      <c r="AQ336" s="10"/>
    </row>
    <row r="337">
      <c r="A337" s="29" t="str">
        <f>'MASTER STOCK'!F334</f>
        <v>Catut 9"</v>
      </c>
      <c r="B337" s="30">
        <f>'AGS 25'!AI337</f>
        <v>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23">
        <f t="shared" si="3"/>
        <v>0</v>
      </c>
      <c r="AI337" s="24">
        <v>0.0</v>
      </c>
      <c r="AJ337" s="32">
        <f t="shared" si="4"/>
        <v>1</v>
      </c>
      <c r="AK337" s="32">
        <f t="shared" si="5"/>
        <v>1</v>
      </c>
      <c r="AL337" s="25">
        <f>'MASTER STOCK'!I334</f>
        <v>17000</v>
      </c>
      <c r="AM337" s="27">
        <f>'MASTER STOCK'!L334</f>
        <v>17000</v>
      </c>
      <c r="AN337" s="27">
        <f t="shared" si="6"/>
        <v>0</v>
      </c>
      <c r="AO337" s="26">
        <f t="shared" si="7"/>
        <v>0</v>
      </c>
      <c r="AP337" s="114">
        <f t="shared" si="8"/>
        <v>0</v>
      </c>
      <c r="AQ337" s="10"/>
    </row>
    <row r="338">
      <c r="A338" s="29" t="str">
        <f>'MASTER STOCK'!F335</f>
        <v>Kunci  lemari/laci</v>
      </c>
      <c r="B338" s="30">
        <f>'AGS 25'!AI338</f>
        <v>10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23">
        <f t="shared" si="3"/>
        <v>0</v>
      </c>
      <c r="AI338" s="24">
        <v>0.0</v>
      </c>
      <c r="AJ338" s="32">
        <f t="shared" si="4"/>
        <v>10</v>
      </c>
      <c r="AK338" s="32">
        <f t="shared" si="5"/>
        <v>10</v>
      </c>
      <c r="AL338" s="25">
        <f>'MASTER STOCK'!I335</f>
        <v>20000</v>
      </c>
      <c r="AM338" s="27">
        <f>'MASTER STOCK'!L335</f>
        <v>20000</v>
      </c>
      <c r="AN338" s="27">
        <f t="shared" si="6"/>
        <v>0</v>
      </c>
      <c r="AO338" s="26">
        <f t="shared" si="7"/>
        <v>0</v>
      </c>
      <c r="AP338" s="114">
        <f t="shared" si="8"/>
        <v>0</v>
      </c>
      <c r="AQ338" s="10"/>
    </row>
    <row r="339">
      <c r="A339" s="29" t="str">
        <f>'MASTER STOCK'!F336</f>
        <v>Microphone</v>
      </c>
      <c r="B339" s="30">
        <f>'AGS 25'!AI339</f>
        <v>3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23">
        <f t="shared" si="3"/>
        <v>0</v>
      </c>
      <c r="AI339" s="24">
        <v>0.0</v>
      </c>
      <c r="AJ339" s="32">
        <f t="shared" si="4"/>
        <v>3</v>
      </c>
      <c r="AK339" s="32">
        <f t="shared" si="5"/>
        <v>3</v>
      </c>
      <c r="AL339" s="25">
        <f>'MASTER STOCK'!I336</f>
        <v>75000</v>
      </c>
      <c r="AM339" s="27">
        <f>'MASTER STOCK'!L336</f>
        <v>75000</v>
      </c>
      <c r="AN339" s="27">
        <f t="shared" si="6"/>
        <v>0</v>
      </c>
      <c r="AO339" s="26">
        <f t="shared" si="7"/>
        <v>0</v>
      </c>
      <c r="AP339" s="114">
        <f t="shared" si="8"/>
        <v>0</v>
      </c>
      <c r="AQ339" s="10"/>
    </row>
    <row r="340">
      <c r="A340" s="29" t="str">
        <f>'MASTER STOCK'!F337</f>
        <v>Isolasi kecil</v>
      </c>
      <c r="B340" s="30">
        <f>'AGS 25'!AI340</f>
        <v>2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23">
        <f t="shared" si="3"/>
        <v>0</v>
      </c>
      <c r="AI340" s="24">
        <v>0.0</v>
      </c>
      <c r="AJ340" s="32">
        <f t="shared" si="4"/>
        <v>2</v>
      </c>
      <c r="AK340" s="32">
        <f t="shared" si="5"/>
        <v>2</v>
      </c>
      <c r="AL340" s="25">
        <f>'MASTER STOCK'!I337</f>
        <v>3000</v>
      </c>
      <c r="AM340" s="27">
        <f>'MASTER STOCK'!L337</f>
        <v>3000</v>
      </c>
      <c r="AN340" s="27">
        <f t="shared" si="6"/>
        <v>0</v>
      </c>
      <c r="AO340" s="26">
        <f t="shared" si="7"/>
        <v>0</v>
      </c>
      <c r="AP340" s="114">
        <f t="shared" si="8"/>
        <v>0</v>
      </c>
      <c r="AQ340" s="10"/>
    </row>
    <row r="341">
      <c r="A341" s="29" t="str">
        <f>'MASTER STOCK'!F338</f>
        <v>Lakban coklat</v>
      </c>
      <c r="B341" s="30">
        <f>'AGS 25'!AI341</f>
        <v>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23">
        <f t="shared" si="3"/>
        <v>0</v>
      </c>
      <c r="AI341" s="24">
        <v>0.0</v>
      </c>
      <c r="AJ341" s="32">
        <f t="shared" si="4"/>
        <v>1</v>
      </c>
      <c r="AK341" s="32">
        <f t="shared" si="5"/>
        <v>1</v>
      </c>
      <c r="AL341" s="25">
        <f>'MASTER STOCK'!I338</f>
        <v>15000</v>
      </c>
      <c r="AM341" s="27">
        <f>'MASTER STOCK'!L338</f>
        <v>15000</v>
      </c>
      <c r="AN341" s="27">
        <f t="shared" si="6"/>
        <v>0</v>
      </c>
      <c r="AO341" s="26">
        <f t="shared" si="7"/>
        <v>0</v>
      </c>
      <c r="AP341" s="114">
        <f t="shared" si="8"/>
        <v>0</v>
      </c>
      <c r="AQ341" s="10"/>
    </row>
    <row r="342">
      <c r="A342" s="29" t="str">
        <f>'MASTER STOCK'!F339</f>
        <v>Fiberglass tape</v>
      </c>
      <c r="B342" s="30">
        <f>'AGS 25'!AI342</f>
        <v>5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23">
        <f t="shared" si="3"/>
        <v>0</v>
      </c>
      <c r="AI342" s="24">
        <v>0.0</v>
      </c>
      <c r="AJ342" s="32">
        <f t="shared" si="4"/>
        <v>5</v>
      </c>
      <c r="AK342" s="32">
        <f t="shared" si="5"/>
        <v>5</v>
      </c>
      <c r="AL342" s="25">
        <f>'MASTER STOCK'!I339</f>
        <v>10000</v>
      </c>
      <c r="AM342" s="27">
        <f>'MASTER STOCK'!L339</f>
        <v>10000</v>
      </c>
      <c r="AN342" s="27">
        <f t="shared" si="6"/>
        <v>0</v>
      </c>
      <c r="AO342" s="26">
        <f t="shared" si="7"/>
        <v>0</v>
      </c>
      <c r="AP342" s="114">
        <f t="shared" si="8"/>
        <v>0</v>
      </c>
      <c r="AQ342" s="10"/>
    </row>
    <row r="343">
      <c r="A343" s="29" t="str">
        <f>'MASTER STOCK'!F340</f>
        <v>Gembok 40m</v>
      </c>
      <c r="B343" s="30">
        <f>'AGS 25'!AI343</f>
        <v>4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23">
        <f t="shared" si="3"/>
        <v>0</v>
      </c>
      <c r="AI343" s="24">
        <v>0.0</v>
      </c>
      <c r="AJ343" s="32">
        <f t="shared" si="4"/>
        <v>4</v>
      </c>
      <c r="AK343" s="32">
        <f t="shared" si="5"/>
        <v>4</v>
      </c>
      <c r="AL343" s="25">
        <f>'MASTER STOCK'!I340</f>
        <v>18000</v>
      </c>
      <c r="AM343" s="27">
        <f>'MASTER STOCK'!L340</f>
        <v>18000</v>
      </c>
      <c r="AN343" s="27">
        <f t="shared" si="6"/>
        <v>0</v>
      </c>
      <c r="AO343" s="26">
        <f t="shared" si="7"/>
        <v>0</v>
      </c>
      <c r="AP343" s="114">
        <f t="shared" si="8"/>
        <v>0</v>
      </c>
      <c r="AQ343" s="10"/>
    </row>
    <row r="344">
      <c r="A344" s="29" t="str">
        <f>'MASTER STOCK'!F341</f>
        <v>Gembok 35 m</v>
      </c>
      <c r="B344" s="30">
        <f>'AGS 25'!AI344</f>
        <v>2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23">
        <f t="shared" si="3"/>
        <v>0</v>
      </c>
      <c r="AI344" s="24">
        <v>0.0</v>
      </c>
      <c r="AJ344" s="32">
        <f t="shared" si="4"/>
        <v>2</v>
      </c>
      <c r="AK344" s="32">
        <f t="shared" si="5"/>
        <v>2</v>
      </c>
      <c r="AL344" s="25">
        <f>'MASTER STOCK'!I341</f>
        <v>15000</v>
      </c>
      <c r="AM344" s="27">
        <f>'MASTER STOCK'!L341</f>
        <v>15000</v>
      </c>
      <c r="AN344" s="27">
        <f t="shared" si="6"/>
        <v>0</v>
      </c>
      <c r="AO344" s="26">
        <f t="shared" si="7"/>
        <v>0</v>
      </c>
      <c r="AP344" s="114">
        <f t="shared" si="8"/>
        <v>0</v>
      </c>
      <c r="AQ344" s="10"/>
    </row>
    <row r="345">
      <c r="A345" s="29" t="str">
        <f>'MASTER STOCK'!F342</f>
        <v>Gembok 25mm</v>
      </c>
      <c r="B345" s="30">
        <f>'AGS 25'!AI345</f>
        <v>3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23">
        <f t="shared" si="3"/>
        <v>0</v>
      </c>
      <c r="AI345" s="24">
        <v>0.0</v>
      </c>
      <c r="AJ345" s="32">
        <f t="shared" si="4"/>
        <v>3</v>
      </c>
      <c r="AK345" s="32">
        <f t="shared" si="5"/>
        <v>3</v>
      </c>
      <c r="AL345" s="25">
        <f>'MASTER STOCK'!I342</f>
        <v>13000</v>
      </c>
      <c r="AM345" s="27">
        <f>'MASTER STOCK'!L342</f>
        <v>13000</v>
      </c>
      <c r="AN345" s="27">
        <f t="shared" si="6"/>
        <v>0</v>
      </c>
      <c r="AO345" s="26">
        <f t="shared" si="7"/>
        <v>0</v>
      </c>
      <c r="AP345" s="114">
        <f t="shared" si="8"/>
        <v>0</v>
      </c>
      <c r="AQ345" s="10"/>
    </row>
    <row r="346">
      <c r="A346" s="29" t="str">
        <f>'MASTER STOCK'!F343</f>
        <v>Microphone mini clip</v>
      </c>
      <c r="B346" s="30">
        <f>'AGS 25'!AI346</f>
        <v>2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23">
        <f t="shared" si="3"/>
        <v>0</v>
      </c>
      <c r="AI346" s="24">
        <v>0.0</v>
      </c>
      <c r="AJ346" s="32">
        <f t="shared" si="4"/>
        <v>2</v>
      </c>
      <c r="AK346" s="32">
        <f t="shared" si="5"/>
        <v>2</v>
      </c>
      <c r="AL346" s="25">
        <f>'MASTER STOCK'!I343</f>
        <v>135000</v>
      </c>
      <c r="AM346" s="27">
        <f>'MASTER STOCK'!L343</f>
        <v>135000</v>
      </c>
      <c r="AN346" s="27">
        <f t="shared" si="6"/>
        <v>0</v>
      </c>
      <c r="AO346" s="26">
        <f t="shared" si="7"/>
        <v>0</v>
      </c>
      <c r="AP346" s="114">
        <f t="shared" si="8"/>
        <v>0</v>
      </c>
      <c r="AQ346" s="10"/>
    </row>
    <row r="347">
      <c r="A347" s="29" t="str">
        <f>'MASTER STOCK'!F344</f>
        <v>Double tip foam hitam</v>
      </c>
      <c r="B347" s="30">
        <f>'AGS 25'!AI347</f>
        <v>3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23">
        <f t="shared" si="3"/>
        <v>0</v>
      </c>
      <c r="AI347" s="24">
        <v>0.0</v>
      </c>
      <c r="AJ347" s="32">
        <f t="shared" si="4"/>
        <v>3</v>
      </c>
      <c r="AK347" s="32">
        <f t="shared" si="5"/>
        <v>3</v>
      </c>
      <c r="AL347" s="25">
        <f>'MASTER STOCK'!I344</f>
        <v>6000</v>
      </c>
      <c r="AM347" s="27">
        <f>'MASTER STOCK'!L344</f>
        <v>6000</v>
      </c>
      <c r="AN347" s="27">
        <f t="shared" si="6"/>
        <v>0</v>
      </c>
      <c r="AO347" s="26">
        <f t="shared" si="7"/>
        <v>0</v>
      </c>
      <c r="AP347" s="114">
        <f t="shared" si="8"/>
        <v>0</v>
      </c>
      <c r="AQ347" s="10"/>
    </row>
    <row r="348">
      <c r="A348" s="29" t="str">
        <f>'MASTER STOCK'!F345</f>
        <v>amplass</v>
      </c>
      <c r="B348" s="30">
        <f>'AGS 25'!AI348</f>
        <v>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23">
        <f t="shared" si="3"/>
        <v>0</v>
      </c>
      <c r="AI348" s="24">
        <v>0.0</v>
      </c>
      <c r="AJ348" s="32">
        <f t="shared" si="4"/>
        <v>1</v>
      </c>
      <c r="AK348" s="32">
        <f t="shared" si="5"/>
        <v>1</v>
      </c>
      <c r="AL348" s="25">
        <f>'MASTER STOCK'!I345</f>
        <v>7000</v>
      </c>
      <c r="AM348" s="27">
        <f>'MASTER STOCK'!L345</f>
        <v>7000</v>
      </c>
      <c r="AN348" s="27">
        <f t="shared" si="6"/>
        <v>0</v>
      </c>
      <c r="AO348" s="26">
        <f t="shared" si="7"/>
        <v>0</v>
      </c>
      <c r="AP348" s="114">
        <f t="shared" si="8"/>
        <v>0</v>
      </c>
      <c r="AQ348" s="10"/>
    </row>
    <row r="349">
      <c r="A349" s="29" t="str">
        <f>'MASTER STOCK'!F346</f>
        <v>Tie clip microphone</v>
      </c>
      <c r="B349" s="30">
        <f>'AGS 25'!AI349</f>
        <v>2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23">
        <f t="shared" si="3"/>
        <v>0</v>
      </c>
      <c r="AI349" s="24">
        <v>0.0</v>
      </c>
      <c r="AJ349" s="32">
        <f t="shared" si="4"/>
        <v>2</v>
      </c>
      <c r="AK349" s="32">
        <f t="shared" si="5"/>
        <v>2</v>
      </c>
      <c r="AL349" s="25">
        <f>'MASTER STOCK'!I346</f>
        <v>125000</v>
      </c>
      <c r="AM349" s="27">
        <f>'MASTER STOCK'!L346</f>
        <v>125000</v>
      </c>
      <c r="AN349" s="27">
        <f t="shared" si="6"/>
        <v>0</v>
      </c>
      <c r="AO349" s="26">
        <f t="shared" si="7"/>
        <v>0</v>
      </c>
      <c r="AP349" s="114">
        <f t="shared" si="8"/>
        <v>0</v>
      </c>
      <c r="AQ349" s="10"/>
    </row>
    <row r="350">
      <c r="A350" s="29" t="str">
        <f>'MASTER STOCK'!F347</f>
        <v>Selot besar / grendel 3"</v>
      </c>
      <c r="B350" s="30">
        <f>'AGS 25'!AI350</f>
        <v>3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23">
        <f t="shared" si="3"/>
        <v>0</v>
      </c>
      <c r="AI350" s="24">
        <v>0.0</v>
      </c>
      <c r="AJ350" s="32">
        <f t="shared" si="4"/>
        <v>3</v>
      </c>
      <c r="AK350" s="32">
        <f t="shared" si="5"/>
        <v>3</v>
      </c>
      <c r="AL350" s="25">
        <f>'MASTER STOCK'!I347</f>
        <v>11000</v>
      </c>
      <c r="AM350" s="27">
        <f>'MASTER STOCK'!L347</f>
        <v>11000</v>
      </c>
      <c r="AN350" s="27">
        <f t="shared" si="6"/>
        <v>0</v>
      </c>
      <c r="AO350" s="26">
        <f t="shared" si="7"/>
        <v>0</v>
      </c>
      <c r="AP350" s="114">
        <f t="shared" si="8"/>
        <v>0</v>
      </c>
      <c r="AQ350" s="10"/>
    </row>
    <row r="351">
      <c r="A351" s="29" t="str">
        <f>'MASTER STOCK'!F348</f>
        <v>Tee dos</v>
      </c>
      <c r="B351" s="30">
        <f>'AGS 25'!AI351</f>
        <v>8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23">
        <f t="shared" si="3"/>
        <v>0</v>
      </c>
      <c r="AI351" s="24">
        <v>0.0</v>
      </c>
      <c r="AJ351" s="32">
        <f t="shared" si="4"/>
        <v>8</v>
      </c>
      <c r="AK351" s="32">
        <f t="shared" si="5"/>
        <v>8</v>
      </c>
      <c r="AL351" s="25">
        <f>'MASTER STOCK'!I348</f>
        <v>3000</v>
      </c>
      <c r="AM351" s="27">
        <f>'MASTER STOCK'!L348</f>
        <v>3000</v>
      </c>
      <c r="AN351" s="27">
        <f t="shared" si="6"/>
        <v>0</v>
      </c>
      <c r="AO351" s="26">
        <f t="shared" si="7"/>
        <v>0</v>
      </c>
      <c r="AP351" s="114">
        <f t="shared" si="8"/>
        <v>0</v>
      </c>
      <c r="AQ351" s="10"/>
    </row>
    <row r="352">
      <c r="A352" s="29" t="str">
        <f>'MASTER STOCK'!F349</f>
        <v>Double tip foam putih</v>
      </c>
      <c r="B352" s="30">
        <f>'AGS 25'!AI352</f>
        <v>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23">
        <f t="shared" si="3"/>
        <v>0</v>
      </c>
      <c r="AI352" s="24">
        <v>0.0</v>
      </c>
      <c r="AJ352" s="32">
        <f t="shared" si="4"/>
        <v>1</v>
      </c>
      <c r="AK352" s="32">
        <f t="shared" si="5"/>
        <v>1</v>
      </c>
      <c r="AL352" s="25">
        <f>'MASTER STOCK'!I349</f>
        <v>2500</v>
      </c>
      <c r="AM352" s="27">
        <f>'MASTER STOCK'!L349</f>
        <v>2500</v>
      </c>
      <c r="AN352" s="27">
        <f t="shared" si="6"/>
        <v>0</v>
      </c>
      <c r="AO352" s="26">
        <f t="shared" si="7"/>
        <v>0</v>
      </c>
      <c r="AP352" s="114">
        <f t="shared" si="8"/>
        <v>0</v>
      </c>
      <c r="AQ352" s="10"/>
    </row>
    <row r="353">
      <c r="A353" s="29" t="str">
        <f>'MASTER STOCK'!F350</f>
        <v>pegangan pintu putih </v>
      </c>
      <c r="B353" s="30">
        <f>'AGS 25'!AI353</f>
        <v>2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23">
        <f t="shared" si="3"/>
        <v>0</v>
      </c>
      <c r="AI353" s="24">
        <v>0.0</v>
      </c>
      <c r="AJ353" s="32">
        <f t="shared" si="4"/>
        <v>2</v>
      </c>
      <c r="AK353" s="32">
        <f t="shared" si="5"/>
        <v>2</v>
      </c>
      <c r="AL353" s="25">
        <f>'MASTER STOCK'!I350</f>
        <v>16000</v>
      </c>
      <c r="AM353" s="27">
        <f>'MASTER STOCK'!L350</f>
        <v>16000</v>
      </c>
      <c r="AN353" s="27">
        <f t="shared" si="6"/>
        <v>0</v>
      </c>
      <c r="AO353" s="26">
        <f t="shared" si="7"/>
        <v>0</v>
      </c>
      <c r="AP353" s="114">
        <f t="shared" si="8"/>
        <v>0</v>
      </c>
      <c r="AQ353" s="10"/>
    </row>
    <row r="354">
      <c r="A354" s="20" t="str">
        <f>'MASTER STOCK'!F351</f>
        <v>INBOW DUS</v>
      </c>
      <c r="B354" s="21">
        <f>'AGS 25'!AI354</f>
        <v>20</v>
      </c>
      <c r="C354" s="10"/>
      <c r="D354" s="10"/>
      <c r="E354" s="22">
        <v>5.0</v>
      </c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23">
        <f t="shared" si="3"/>
        <v>5</v>
      </c>
      <c r="AI354" s="24">
        <v>0.0</v>
      </c>
      <c r="AJ354" s="23">
        <f t="shared" si="4"/>
        <v>15</v>
      </c>
      <c r="AK354" s="23">
        <f t="shared" si="5"/>
        <v>15</v>
      </c>
      <c r="AL354" s="25">
        <f>'MASTER STOCK'!I351</f>
        <v>500</v>
      </c>
      <c r="AM354" s="27">
        <f>'MASTER STOCK'!L351</f>
        <v>1000</v>
      </c>
      <c r="AN354" s="27">
        <f t="shared" si="6"/>
        <v>5000</v>
      </c>
      <c r="AO354" s="26">
        <f t="shared" si="7"/>
        <v>2500</v>
      </c>
      <c r="AP354" s="114">
        <f t="shared" si="8"/>
        <v>2500</v>
      </c>
      <c r="AQ354" s="10"/>
    </row>
    <row r="355">
      <c r="A355" s="20" t="str">
        <f>'MASTER STOCK'!F352</f>
        <v>TEE DOS</v>
      </c>
      <c r="B355" s="21">
        <f>'AGS 25'!AI355</f>
        <v>20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23">
        <f t="shared" si="3"/>
        <v>0</v>
      </c>
      <c r="AI355" s="24">
        <v>0.0</v>
      </c>
      <c r="AJ355" s="23">
        <f t="shared" si="4"/>
        <v>20</v>
      </c>
      <c r="AK355" s="23">
        <f t="shared" si="5"/>
        <v>20</v>
      </c>
      <c r="AL355" s="25">
        <f>'MASTER STOCK'!I352</f>
        <v>500</v>
      </c>
      <c r="AM355" s="27">
        <f>'MASTER STOCK'!L352</f>
        <v>1500</v>
      </c>
      <c r="AN355" s="27">
        <f t="shared" si="6"/>
        <v>0</v>
      </c>
      <c r="AO355" s="26">
        <f t="shared" si="7"/>
        <v>0</v>
      </c>
      <c r="AP355" s="114">
        <f t="shared" si="8"/>
        <v>0</v>
      </c>
      <c r="AQ355" s="10"/>
    </row>
    <row r="356">
      <c r="A356" s="20" t="str">
        <f>'MASTER STOCK'!F353</f>
        <v>LEM TEMBAK</v>
      </c>
      <c r="B356" s="21">
        <f>'AGS 25'!AI356</f>
        <v>74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23">
        <f t="shared" si="3"/>
        <v>0</v>
      </c>
      <c r="AI356" s="24">
        <v>0.0</v>
      </c>
      <c r="AJ356" s="23">
        <f t="shared" si="4"/>
        <v>74</v>
      </c>
      <c r="AK356" s="23">
        <f t="shared" si="5"/>
        <v>74</v>
      </c>
      <c r="AL356" s="25">
        <f>'MASTER STOCK'!I353</f>
        <v>700</v>
      </c>
      <c r="AM356" s="27">
        <f>'MASTER STOCK'!L353</f>
        <v>1500</v>
      </c>
      <c r="AN356" s="27">
        <f t="shared" si="6"/>
        <v>0</v>
      </c>
      <c r="AO356" s="26">
        <f t="shared" si="7"/>
        <v>0</v>
      </c>
      <c r="AP356" s="114">
        <f t="shared" si="8"/>
        <v>0</v>
      </c>
      <c r="AQ356" s="10"/>
    </row>
    <row r="357">
      <c r="A357" s="20" t="str">
        <f>'MASTER STOCK'!F354</f>
        <v>STOP KONTAK BROCO TANAM</v>
      </c>
      <c r="B357" s="21">
        <f>'AGS 25'!AI357</f>
        <v>3</v>
      </c>
      <c r="C357" s="10"/>
      <c r="D357" s="10"/>
      <c r="E357" s="10"/>
      <c r="F357" s="10"/>
      <c r="G357" s="10"/>
      <c r="H357" s="10"/>
      <c r="I357" s="10"/>
      <c r="J357" s="10"/>
      <c r="K357" s="22">
        <v>1.0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23">
        <f t="shared" si="3"/>
        <v>1</v>
      </c>
      <c r="AI357" s="24">
        <v>0.0</v>
      </c>
      <c r="AJ357" s="23">
        <f t="shared" si="4"/>
        <v>2</v>
      </c>
      <c r="AK357" s="23">
        <f t="shared" si="5"/>
        <v>2</v>
      </c>
      <c r="AL357" s="25">
        <f>'MASTER STOCK'!I354</f>
        <v>13500</v>
      </c>
      <c r="AM357" s="27">
        <f>'MASTER STOCK'!L354</f>
        <v>16000</v>
      </c>
      <c r="AN357" s="27">
        <f t="shared" si="6"/>
        <v>16000</v>
      </c>
      <c r="AO357" s="26">
        <f t="shared" si="7"/>
        <v>2500</v>
      </c>
      <c r="AP357" s="114">
        <f t="shared" si="8"/>
        <v>13500</v>
      </c>
      <c r="AQ357" s="10"/>
    </row>
    <row r="358">
      <c r="A358" s="20" t="str">
        <f>'MASTER STOCK'!F355</f>
        <v>STOP KONTAK TANAM PANASONIC</v>
      </c>
      <c r="B358" s="21">
        <f>'AGS 25'!AI358</f>
        <v>3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23">
        <f t="shared" si="3"/>
        <v>0</v>
      </c>
      <c r="AI358" s="24">
        <v>0.0</v>
      </c>
      <c r="AJ358" s="23">
        <f t="shared" si="4"/>
        <v>3</v>
      </c>
      <c r="AK358" s="23">
        <f t="shared" si="5"/>
        <v>3</v>
      </c>
      <c r="AL358" s="25">
        <f>'MASTER STOCK'!I355</f>
        <v>15000</v>
      </c>
      <c r="AM358" s="27">
        <f>'MASTER STOCK'!L355</f>
        <v>18000</v>
      </c>
      <c r="AN358" s="27">
        <f t="shared" si="6"/>
        <v>0</v>
      </c>
      <c r="AO358" s="26">
        <f t="shared" si="7"/>
        <v>0</v>
      </c>
      <c r="AP358" s="114">
        <f t="shared" si="8"/>
        <v>0</v>
      </c>
      <c r="AQ358" s="10"/>
    </row>
    <row r="359">
      <c r="A359" s="20" t="str">
        <f>'MASTER STOCK'!F356</f>
        <v>STOP KONTAK INBOW TANAM</v>
      </c>
      <c r="B359" s="21">
        <f>'AGS 25'!AI359</f>
        <v>5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23">
        <f t="shared" si="3"/>
        <v>0</v>
      </c>
      <c r="AI359" s="24">
        <v>0.0</v>
      </c>
      <c r="AJ359" s="23">
        <f t="shared" si="4"/>
        <v>5</v>
      </c>
      <c r="AK359" s="23">
        <f t="shared" si="5"/>
        <v>5</v>
      </c>
      <c r="AL359" s="25">
        <f>'MASTER STOCK'!I356</f>
        <v>6400</v>
      </c>
      <c r="AM359" s="27">
        <f>'MASTER STOCK'!L356</f>
        <v>11000</v>
      </c>
      <c r="AN359" s="27">
        <f t="shared" si="6"/>
        <v>0</v>
      </c>
      <c r="AO359" s="26">
        <f t="shared" si="7"/>
        <v>0</v>
      </c>
      <c r="AP359" s="114">
        <f t="shared" si="8"/>
        <v>0</v>
      </c>
      <c r="AQ359" s="10"/>
    </row>
    <row r="360">
      <c r="A360" s="20" t="str">
        <f>'MASTER STOCK'!F357</f>
        <v>SAKLAR3 CABANG (TEE)</v>
      </c>
      <c r="B360" s="21">
        <f>'AGS 25'!AI360</f>
        <v>2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23">
        <f t="shared" si="3"/>
        <v>0</v>
      </c>
      <c r="AI360" s="24">
        <v>0.0</v>
      </c>
      <c r="AJ360" s="23">
        <f t="shared" si="4"/>
        <v>2</v>
      </c>
      <c r="AK360" s="23">
        <f t="shared" si="5"/>
        <v>2</v>
      </c>
      <c r="AL360" s="25">
        <f>'MASTER STOCK'!I357</f>
        <v>17500</v>
      </c>
      <c r="AM360" s="27">
        <f>'MASTER STOCK'!L357</f>
        <v>18000</v>
      </c>
      <c r="AN360" s="27">
        <f t="shared" si="6"/>
        <v>0</v>
      </c>
      <c r="AO360" s="26">
        <f t="shared" si="7"/>
        <v>0</v>
      </c>
      <c r="AP360" s="114">
        <f t="shared" si="8"/>
        <v>0</v>
      </c>
      <c r="AQ360" s="10"/>
    </row>
    <row r="361">
      <c r="A361" s="20" t="str">
        <f>'MASTER STOCK'!F358</f>
        <v>SAKLAR HOKSUN 3 LUBANG</v>
      </c>
      <c r="B361" s="21">
        <f>'AGS 25'!AI361</f>
        <v>2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23">
        <f t="shared" si="3"/>
        <v>0</v>
      </c>
      <c r="AI361" s="24">
        <v>0.0</v>
      </c>
      <c r="AJ361" s="23">
        <f t="shared" si="4"/>
        <v>2</v>
      </c>
      <c r="AK361" s="23">
        <f t="shared" si="5"/>
        <v>2</v>
      </c>
      <c r="AL361" s="25">
        <f>'MASTER STOCK'!I358</f>
        <v>15750</v>
      </c>
      <c r="AM361" s="27">
        <f>'MASTER STOCK'!L358</f>
        <v>22000</v>
      </c>
      <c r="AN361" s="27">
        <f t="shared" si="6"/>
        <v>0</v>
      </c>
      <c r="AO361" s="26">
        <f t="shared" si="7"/>
        <v>0</v>
      </c>
      <c r="AP361" s="114">
        <f t="shared" si="8"/>
        <v>0</v>
      </c>
      <c r="AQ361" s="10"/>
    </row>
    <row r="362">
      <c r="A362" s="20" t="str">
        <f>'MASTER STOCK'!F359</f>
        <v>SAKLAR TRM 4 LUBANG</v>
      </c>
      <c r="B362" s="21">
        <f>'AGS 25'!AI362</f>
        <v>2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23">
        <f t="shared" si="3"/>
        <v>0</v>
      </c>
      <c r="AI362" s="24">
        <v>0.0</v>
      </c>
      <c r="AJ362" s="23">
        <f t="shared" si="4"/>
        <v>2</v>
      </c>
      <c r="AK362" s="23">
        <f t="shared" si="5"/>
        <v>2</v>
      </c>
      <c r="AL362" s="25">
        <f>'MASTER STOCK'!I359</f>
        <v>19750</v>
      </c>
      <c r="AM362" s="27">
        <f>'MASTER STOCK'!L359</f>
        <v>26000</v>
      </c>
      <c r="AN362" s="27">
        <f t="shared" si="6"/>
        <v>0</v>
      </c>
      <c r="AO362" s="26">
        <f t="shared" si="7"/>
        <v>0</v>
      </c>
      <c r="AP362" s="114">
        <f t="shared" si="8"/>
        <v>0</v>
      </c>
      <c r="AQ362" s="10"/>
    </row>
    <row r="363">
      <c r="A363" s="20" t="str">
        <f>'MASTER STOCK'!F360</f>
        <v>SEMEN MERAH PUTIH</v>
      </c>
      <c r="B363" s="21">
        <f>'AGS 25'!AI363</f>
        <v>5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23">
        <f t="shared" si="3"/>
        <v>0</v>
      </c>
      <c r="AI363" s="24">
        <v>0.0</v>
      </c>
      <c r="AJ363" s="23">
        <f t="shared" si="4"/>
        <v>5</v>
      </c>
      <c r="AK363" s="23">
        <f t="shared" si="5"/>
        <v>5</v>
      </c>
      <c r="AL363" s="25">
        <f>'MASTER STOCK'!I360</f>
        <v>41000</v>
      </c>
      <c r="AM363" s="27">
        <f>'MASTER STOCK'!L360</f>
        <v>42000</v>
      </c>
      <c r="AN363" s="27">
        <f t="shared" si="6"/>
        <v>0</v>
      </c>
      <c r="AO363" s="26">
        <f t="shared" si="7"/>
        <v>0</v>
      </c>
      <c r="AP363" s="114">
        <f t="shared" si="8"/>
        <v>0</v>
      </c>
      <c r="AQ363" s="10"/>
    </row>
    <row r="364">
      <c r="A364" s="20" t="str">
        <f>'MASTER STOCK'!F361</f>
        <v>SEMEN SINGA MERAH</v>
      </c>
      <c r="B364" s="21">
        <f>'AGS 25'!AI364</f>
        <v>5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22">
        <v>1.0</v>
      </c>
      <c r="AH364" s="23">
        <f t="shared" si="3"/>
        <v>1</v>
      </c>
      <c r="AI364" s="24">
        <v>0.0</v>
      </c>
      <c r="AJ364" s="23">
        <f t="shared" si="4"/>
        <v>4</v>
      </c>
      <c r="AK364" s="23">
        <f t="shared" si="5"/>
        <v>4</v>
      </c>
      <c r="AL364" s="25">
        <f>'MASTER STOCK'!I361</f>
        <v>43000</v>
      </c>
      <c r="AM364" s="27">
        <f>'MASTER STOCK'!L361</f>
        <v>44000</v>
      </c>
      <c r="AN364" s="27">
        <f t="shared" si="6"/>
        <v>44000</v>
      </c>
      <c r="AO364" s="26">
        <f t="shared" si="7"/>
        <v>1000</v>
      </c>
      <c r="AP364" s="114">
        <f t="shared" si="8"/>
        <v>43000</v>
      </c>
      <c r="AQ364" s="10"/>
    </row>
    <row r="365">
      <c r="A365" s="20" t="str">
        <f>'MASTER STOCK'!F362</f>
        <v>WATERMUR 3/4</v>
      </c>
      <c r="B365" s="21">
        <f>'AGS 25'!AI365</f>
        <v>5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23">
        <f t="shared" si="3"/>
        <v>0</v>
      </c>
      <c r="AI365" s="24">
        <v>0.0</v>
      </c>
      <c r="AJ365" s="23">
        <f t="shared" si="4"/>
        <v>5</v>
      </c>
      <c r="AK365" s="23">
        <f t="shared" si="5"/>
        <v>5</v>
      </c>
      <c r="AL365" s="25">
        <f>'MASTER STOCK'!I362</f>
        <v>4700</v>
      </c>
      <c r="AM365" s="27">
        <f>'MASTER STOCK'!L362</f>
        <v>7000</v>
      </c>
      <c r="AN365" s="27">
        <f t="shared" si="6"/>
        <v>0</v>
      </c>
      <c r="AO365" s="26">
        <f t="shared" si="7"/>
        <v>0</v>
      </c>
      <c r="AP365" s="114">
        <f t="shared" si="8"/>
        <v>0</v>
      </c>
      <c r="AQ365" s="10"/>
    </row>
    <row r="366">
      <c r="A366" s="20" t="str">
        <f>'MASTER STOCK'!F363</f>
        <v>SOLDER GAGANG KAYU 40W</v>
      </c>
      <c r="B366" s="21">
        <f>'AGS 25'!AI366</f>
        <v>5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23">
        <f t="shared" si="3"/>
        <v>0</v>
      </c>
      <c r="AI366" s="24">
        <v>0.0</v>
      </c>
      <c r="AJ366" s="23">
        <f t="shared" si="4"/>
        <v>5</v>
      </c>
      <c r="AK366" s="23">
        <f t="shared" si="5"/>
        <v>5</v>
      </c>
      <c r="AL366" s="25">
        <f>'MASTER STOCK'!I363</f>
        <v>9000</v>
      </c>
      <c r="AM366" s="27">
        <f>'MASTER STOCK'!L363</f>
        <v>12000</v>
      </c>
      <c r="AN366" s="27">
        <f t="shared" si="6"/>
        <v>0</v>
      </c>
      <c r="AO366" s="26">
        <f t="shared" si="7"/>
        <v>0</v>
      </c>
      <c r="AP366" s="114">
        <f t="shared" si="8"/>
        <v>0</v>
      </c>
      <c r="AQ366" s="10"/>
    </row>
    <row r="367">
      <c r="A367" s="20" t="str">
        <f>'MASTER STOCK'!F364</f>
        <v>KUAS GRT 3"</v>
      </c>
      <c r="B367" s="21">
        <f>'AGS 25'!AI367</f>
        <v>12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23">
        <f t="shared" si="3"/>
        <v>0</v>
      </c>
      <c r="AI367" s="24">
        <v>0.0</v>
      </c>
      <c r="AJ367" s="23">
        <f t="shared" si="4"/>
        <v>12</v>
      </c>
      <c r="AK367" s="23">
        <f t="shared" si="5"/>
        <v>12</v>
      </c>
      <c r="AL367" s="25">
        <f>'MASTER STOCK'!I364</f>
        <v>4000</v>
      </c>
      <c r="AM367" s="27">
        <f>'MASTER STOCK'!L364</f>
        <v>7500</v>
      </c>
      <c r="AN367" s="27">
        <f t="shared" si="6"/>
        <v>0</v>
      </c>
      <c r="AO367" s="26">
        <f t="shared" si="7"/>
        <v>0</v>
      </c>
      <c r="AP367" s="114">
        <f t="shared" si="8"/>
        <v>0</v>
      </c>
      <c r="AQ367" s="10"/>
    </row>
    <row r="368">
      <c r="A368" s="20" t="str">
        <f>'MASTER STOCK'!F365</f>
        <v>PENGAMAN REGULATOR</v>
      </c>
      <c r="B368" s="21">
        <f>'AGS 25'!AI368</f>
        <v>3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23">
        <f t="shared" si="3"/>
        <v>0</v>
      </c>
      <c r="AI368" s="24">
        <v>0.0</v>
      </c>
      <c r="AJ368" s="23">
        <f t="shared" si="4"/>
        <v>3</v>
      </c>
      <c r="AK368" s="23">
        <f t="shared" si="5"/>
        <v>3</v>
      </c>
      <c r="AL368" s="25">
        <f>'MASTER STOCK'!I365</f>
        <v>7500</v>
      </c>
      <c r="AM368" s="27">
        <f>'MASTER STOCK'!L365</f>
        <v>12000</v>
      </c>
      <c r="AN368" s="27">
        <f t="shared" si="6"/>
        <v>0</v>
      </c>
      <c r="AO368" s="26">
        <f t="shared" si="7"/>
        <v>0</v>
      </c>
      <c r="AP368" s="114">
        <f t="shared" si="8"/>
        <v>0</v>
      </c>
      <c r="AQ368" s="10"/>
    </row>
    <row r="369">
      <c r="A369" s="20" t="str">
        <f>'MASTER STOCK'!F366</f>
        <v>KLEM REGULATOR</v>
      </c>
      <c r="B369" s="21">
        <f>'AGS 25'!AI369</f>
        <v>20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23">
        <f t="shared" si="3"/>
        <v>0</v>
      </c>
      <c r="AI369" s="24">
        <v>0.0</v>
      </c>
      <c r="AJ369" s="23">
        <f t="shared" si="4"/>
        <v>20</v>
      </c>
      <c r="AK369" s="23">
        <f t="shared" si="5"/>
        <v>20</v>
      </c>
      <c r="AL369" s="25">
        <f>'MASTER STOCK'!I366</f>
        <v>1200</v>
      </c>
      <c r="AM369" s="27">
        <f>'MASTER STOCK'!L366</f>
        <v>2500</v>
      </c>
      <c r="AN369" s="27">
        <f t="shared" si="6"/>
        <v>0</v>
      </c>
      <c r="AO369" s="26">
        <f t="shared" si="7"/>
        <v>0</v>
      </c>
      <c r="AP369" s="114">
        <f t="shared" si="8"/>
        <v>0</v>
      </c>
      <c r="AQ369" s="10"/>
    </row>
    <row r="370">
      <c r="A370" s="20" t="str">
        <f>'MASTER STOCK'!F367</f>
        <v>TIMBA STANDART</v>
      </c>
      <c r="B370" s="21">
        <f>'AGS 25'!AI370</f>
        <v>10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23">
        <f t="shared" si="3"/>
        <v>0</v>
      </c>
      <c r="AI370" s="24">
        <v>0.0</v>
      </c>
      <c r="AJ370" s="23">
        <f t="shared" si="4"/>
        <v>10</v>
      </c>
      <c r="AK370" s="23">
        <f t="shared" si="5"/>
        <v>10</v>
      </c>
      <c r="AL370" s="25">
        <f>'MASTER STOCK'!I367</f>
        <v>5000</v>
      </c>
      <c r="AM370" s="27">
        <f>'MASTER STOCK'!L367</f>
        <v>8000</v>
      </c>
      <c r="AN370" s="27">
        <f t="shared" si="6"/>
        <v>0</v>
      </c>
      <c r="AO370" s="26">
        <f t="shared" si="7"/>
        <v>0</v>
      </c>
      <c r="AP370" s="114">
        <f t="shared" si="8"/>
        <v>0</v>
      </c>
      <c r="AQ370" s="10"/>
    </row>
    <row r="371">
      <c r="A371" s="20" t="str">
        <f>'MASTER STOCK'!F368</f>
        <v>KNEE DRAT DALAM 1/2 DIM</v>
      </c>
      <c r="B371" s="21">
        <f>'AGS 25'!AI371</f>
        <v>15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23">
        <f t="shared" si="3"/>
        <v>0</v>
      </c>
      <c r="AI371" s="24">
        <v>0.0</v>
      </c>
      <c r="AJ371" s="23">
        <f t="shared" si="4"/>
        <v>15</v>
      </c>
      <c r="AK371" s="23">
        <f t="shared" si="5"/>
        <v>15</v>
      </c>
      <c r="AL371" s="25">
        <f>'MASTER STOCK'!I368</f>
        <v>1400</v>
      </c>
      <c r="AM371" s="27">
        <f>'MASTER STOCK'!L368</f>
        <v>3500</v>
      </c>
      <c r="AN371" s="27">
        <f t="shared" si="6"/>
        <v>0</v>
      </c>
      <c r="AO371" s="26">
        <f t="shared" si="7"/>
        <v>0</v>
      </c>
      <c r="AP371" s="114">
        <f t="shared" si="8"/>
        <v>0</v>
      </c>
      <c r="AQ371" s="10"/>
    </row>
    <row r="372">
      <c r="A372" s="20" t="str">
        <f>'MASTER STOCK'!F369</f>
        <v>AMPLAS UK 60 </v>
      </c>
      <c r="B372" s="21">
        <f>'AGS 25'!AI372</f>
        <v>10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23">
        <f t="shared" si="3"/>
        <v>0</v>
      </c>
      <c r="AI372" s="24">
        <v>0.0</v>
      </c>
      <c r="AJ372" s="23">
        <f t="shared" si="4"/>
        <v>10</v>
      </c>
      <c r="AK372" s="23">
        <f t="shared" si="5"/>
        <v>10</v>
      </c>
      <c r="AL372" s="25">
        <f>'MASTER STOCK'!I369</f>
        <v>4500</v>
      </c>
      <c r="AM372" s="27">
        <f>'MASTER STOCK'!L369</f>
        <v>7000</v>
      </c>
      <c r="AN372" s="27">
        <f t="shared" si="6"/>
        <v>0</v>
      </c>
      <c r="AO372" s="26">
        <f t="shared" si="7"/>
        <v>0</v>
      </c>
      <c r="AP372" s="114">
        <f t="shared" si="8"/>
        <v>0</v>
      </c>
      <c r="AQ372" s="10"/>
    </row>
    <row r="373">
      <c r="A373" s="20" t="str">
        <f>'MASTER STOCK'!F370</f>
        <v>AMPLAS UK 150</v>
      </c>
      <c r="B373" s="21">
        <f>'AGS 25'!AI373</f>
        <v>10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23">
        <f t="shared" si="3"/>
        <v>0</v>
      </c>
      <c r="AI373" s="24">
        <v>0.0</v>
      </c>
      <c r="AJ373" s="23">
        <f t="shared" si="4"/>
        <v>10</v>
      </c>
      <c r="AK373" s="23">
        <f t="shared" si="5"/>
        <v>10</v>
      </c>
      <c r="AL373" s="25">
        <f>'MASTER STOCK'!I370</f>
        <v>4500</v>
      </c>
      <c r="AM373" s="27">
        <f>'MASTER STOCK'!L370</f>
        <v>7000</v>
      </c>
      <c r="AN373" s="27">
        <f t="shared" si="6"/>
        <v>0</v>
      </c>
      <c r="AO373" s="26">
        <f t="shared" si="7"/>
        <v>0</v>
      </c>
      <c r="AP373" s="114">
        <f t="shared" si="8"/>
        <v>0</v>
      </c>
      <c r="AQ373" s="10"/>
    </row>
    <row r="374">
      <c r="A374" s="20" t="str">
        <f>'MASTER STOCK'!F371</f>
        <v>AMPLAS UK 240</v>
      </c>
      <c r="B374" s="21">
        <f>'AGS 25'!AI374</f>
        <v>10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23">
        <f t="shared" si="3"/>
        <v>0</v>
      </c>
      <c r="AI374" s="24">
        <v>0.0</v>
      </c>
      <c r="AJ374" s="23">
        <f t="shared" si="4"/>
        <v>10</v>
      </c>
      <c r="AK374" s="23">
        <f t="shared" si="5"/>
        <v>10</v>
      </c>
      <c r="AL374" s="25">
        <f>'MASTER STOCK'!I371</f>
        <v>4500</v>
      </c>
      <c r="AM374" s="27">
        <f>'MASTER STOCK'!L371</f>
        <v>7000</v>
      </c>
      <c r="AN374" s="27">
        <f t="shared" si="6"/>
        <v>0</v>
      </c>
      <c r="AO374" s="26">
        <f t="shared" si="7"/>
        <v>0</v>
      </c>
      <c r="AP374" s="114">
        <f t="shared" si="8"/>
        <v>0</v>
      </c>
      <c r="AQ374" s="10"/>
    </row>
    <row r="375">
      <c r="A375" s="20" t="str">
        <f>'MASTER STOCK'!F372</f>
        <v>WATERMUR DD 3/4</v>
      </c>
      <c r="B375" s="21">
        <f>'AGS 25'!AI375</f>
        <v>5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23">
        <f t="shared" si="3"/>
        <v>0</v>
      </c>
      <c r="AI375" s="24">
        <v>0.0</v>
      </c>
      <c r="AJ375" s="23">
        <f t="shared" si="4"/>
        <v>5</v>
      </c>
      <c r="AK375" s="23">
        <f t="shared" si="5"/>
        <v>5</v>
      </c>
      <c r="AL375" s="25">
        <f>'MASTER STOCK'!I372</f>
        <v>6000</v>
      </c>
      <c r="AM375" s="27">
        <f>'MASTER STOCK'!L372</f>
        <v>8000</v>
      </c>
      <c r="AN375" s="27">
        <f t="shared" si="6"/>
        <v>0</v>
      </c>
      <c r="AO375" s="26">
        <f t="shared" si="7"/>
        <v>0</v>
      </c>
      <c r="AP375" s="114">
        <f t="shared" si="8"/>
        <v>0</v>
      </c>
      <c r="AQ375" s="10"/>
    </row>
    <row r="376">
      <c r="A376" s="20" t="str">
        <f>'MASTER STOCK'!F373</f>
        <v>BENDRAT 5KG</v>
      </c>
      <c r="B376" s="21">
        <f>'AGS 25'!AI376</f>
        <v>5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23">
        <f t="shared" si="3"/>
        <v>0</v>
      </c>
      <c r="AI376" s="24">
        <v>0.0</v>
      </c>
      <c r="AJ376" s="23">
        <f t="shared" si="4"/>
        <v>5</v>
      </c>
      <c r="AK376" s="23">
        <f t="shared" si="5"/>
        <v>5</v>
      </c>
      <c r="AL376" s="25">
        <f>'MASTER STOCK'!I373</f>
        <v>19000</v>
      </c>
      <c r="AM376" s="27">
        <f>'MASTER STOCK'!L373</f>
        <v>25000</v>
      </c>
      <c r="AN376" s="27">
        <f t="shared" si="6"/>
        <v>0</v>
      </c>
      <c r="AO376" s="26">
        <f t="shared" si="7"/>
        <v>0</v>
      </c>
      <c r="AP376" s="114">
        <f t="shared" si="8"/>
        <v>0</v>
      </c>
      <c r="AQ376" s="10"/>
    </row>
    <row r="377">
      <c r="A377" s="20" t="str">
        <f>'MASTER STOCK'!F374</f>
        <v>S MERDEKA 5</v>
      </c>
      <c r="B377" s="21">
        <f>'AGS 25'!AI377</f>
        <v>5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23">
        <f t="shared" si="3"/>
        <v>0</v>
      </c>
      <c r="AI377" s="24">
        <v>0.0</v>
      </c>
      <c r="AJ377" s="23">
        <f t="shared" si="4"/>
        <v>5</v>
      </c>
      <c r="AK377" s="23">
        <f t="shared" si="5"/>
        <v>5</v>
      </c>
      <c r="AL377" s="25">
        <f>'MASTER STOCK'!I374</f>
        <v>41500</v>
      </c>
      <c r="AM377" s="27">
        <f>'MASTER STOCK'!L374</f>
        <v>4300</v>
      </c>
      <c r="AN377" s="27">
        <f t="shared" si="6"/>
        <v>0</v>
      </c>
      <c r="AO377" s="26">
        <f t="shared" si="7"/>
        <v>0</v>
      </c>
      <c r="AP377" s="114">
        <f t="shared" si="8"/>
        <v>0</v>
      </c>
      <c r="AQ377" s="10"/>
    </row>
    <row r="378">
      <c r="A378" s="20" t="str">
        <f>'MASTER STOCK'!F375</f>
        <v/>
      </c>
      <c r="B378" s="21" t="str">
        <f>'AGS 25'!AI378</f>
        <v/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33"/>
      <c r="AM378" s="27" t="str">
        <f>'MASTER STOCK'!L375</f>
        <v/>
      </c>
      <c r="AN378" s="33"/>
      <c r="AO378" s="23">
        <f t="shared" si="7"/>
        <v>0</v>
      </c>
      <c r="AP378" s="23">
        <f t="shared" si="8"/>
        <v>0</v>
      </c>
      <c r="AQ378" s="10"/>
    </row>
    <row r="379">
      <c r="A379" s="20" t="str">
        <f>'MASTER STOCK'!F376</f>
        <v/>
      </c>
      <c r="B379" s="101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33"/>
      <c r="AM379" s="33"/>
      <c r="AN379" s="33"/>
      <c r="AO379" s="23">
        <f t="shared" si="7"/>
        <v>0</v>
      </c>
      <c r="AP379" s="23">
        <f t="shared" si="8"/>
        <v>0</v>
      </c>
      <c r="AQ379" s="10"/>
    </row>
    <row r="380">
      <c r="A380" s="20" t="str">
        <f>'MASTER STOCK'!F377</f>
        <v/>
      </c>
      <c r="B380" s="101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33"/>
      <c r="AM380" s="33"/>
      <c r="AN380" s="33"/>
      <c r="AO380" s="23">
        <f t="shared" si="7"/>
        <v>0</v>
      </c>
      <c r="AP380" s="23">
        <f t="shared" si="8"/>
        <v>0</v>
      </c>
      <c r="AQ380" s="10"/>
    </row>
    <row r="381">
      <c r="A381" s="20" t="str">
        <f>'MASTER STOCK'!F378</f>
        <v/>
      </c>
      <c r="B381" s="101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33"/>
      <c r="AM381" s="33"/>
      <c r="AN381" s="33"/>
      <c r="AO381" s="23">
        <f t="shared" si="7"/>
        <v>0</v>
      </c>
      <c r="AP381" s="23">
        <f t="shared" si="8"/>
        <v>0</v>
      </c>
      <c r="AQ381" s="10"/>
    </row>
    <row r="382">
      <c r="A382" s="20" t="str">
        <f>'MASTER STOCK'!F379</f>
        <v/>
      </c>
      <c r="B382" s="101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33"/>
      <c r="AM382" s="33"/>
      <c r="AN382" s="33"/>
      <c r="AO382" s="23">
        <f t="shared" si="7"/>
        <v>0</v>
      </c>
      <c r="AP382" s="23">
        <f t="shared" si="8"/>
        <v>0</v>
      </c>
      <c r="AQ382" s="10"/>
    </row>
    <row r="383">
      <c r="A383" s="20" t="str">
        <f>'MASTER STOCK'!F380</f>
        <v/>
      </c>
      <c r="B383" s="101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33"/>
      <c r="AM383" s="33"/>
      <c r="AN383" s="33"/>
      <c r="AO383" s="23">
        <f t="shared" si="7"/>
        <v>0</v>
      </c>
      <c r="AP383" s="23">
        <f t="shared" si="8"/>
        <v>0</v>
      </c>
      <c r="AQ383" s="10"/>
    </row>
    <row r="384">
      <c r="A384" s="20" t="str">
        <f>'MASTER STOCK'!F381</f>
        <v/>
      </c>
      <c r="B384" s="101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33"/>
      <c r="AM384" s="33"/>
      <c r="AN384" s="33"/>
      <c r="AO384" s="23">
        <f t="shared" si="7"/>
        <v>0</v>
      </c>
      <c r="AP384" s="23">
        <f t="shared" si="8"/>
        <v>0</v>
      </c>
      <c r="AQ384" s="10"/>
    </row>
    <row r="385">
      <c r="A385" s="20" t="str">
        <f>'MASTER STOCK'!F382</f>
        <v/>
      </c>
      <c r="B385" s="101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33"/>
      <c r="AM385" s="33"/>
      <c r="AN385" s="33"/>
      <c r="AO385" s="23">
        <f t="shared" si="7"/>
        <v>0</v>
      </c>
      <c r="AP385" s="23">
        <f t="shared" si="8"/>
        <v>0</v>
      </c>
      <c r="AQ385" s="10"/>
    </row>
    <row r="386">
      <c r="A386" s="20" t="str">
        <f>'MASTER STOCK'!F383</f>
        <v/>
      </c>
      <c r="B386" s="101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33"/>
      <c r="AM386" s="33"/>
      <c r="AN386" s="33"/>
      <c r="AO386" s="23">
        <f t="shared" si="7"/>
        <v>0</v>
      </c>
      <c r="AP386" s="23">
        <f t="shared" si="8"/>
        <v>0</v>
      </c>
      <c r="AQ386" s="10"/>
    </row>
    <row r="387">
      <c r="A387" s="20" t="str">
        <f>'MASTER STOCK'!F384</f>
        <v/>
      </c>
      <c r="B387" s="101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33"/>
      <c r="AM387" s="33"/>
      <c r="AN387" s="33"/>
      <c r="AO387" s="23">
        <f t="shared" si="7"/>
        <v>0</v>
      </c>
      <c r="AP387" s="23">
        <f t="shared" si="8"/>
        <v>0</v>
      </c>
      <c r="AQ387" s="10"/>
    </row>
    <row r="388">
      <c r="A388" s="20" t="str">
        <f>'MASTER STOCK'!F385</f>
        <v/>
      </c>
      <c r="B388" s="101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33"/>
      <c r="AM388" s="33"/>
      <c r="AN388" s="33"/>
      <c r="AO388" s="23">
        <f t="shared" si="7"/>
        <v>0</v>
      </c>
      <c r="AP388" s="23">
        <f t="shared" si="8"/>
        <v>0</v>
      </c>
      <c r="AQ388" s="10"/>
    </row>
    <row r="389">
      <c r="A389" s="20" t="str">
        <f>'MASTER STOCK'!F386</f>
        <v/>
      </c>
      <c r="B389" s="101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33"/>
      <c r="AM389" s="33"/>
      <c r="AN389" s="33"/>
      <c r="AO389" s="23">
        <f t="shared" si="7"/>
        <v>0</v>
      </c>
      <c r="AP389" s="23">
        <f t="shared" si="8"/>
        <v>0</v>
      </c>
      <c r="AQ389" s="10"/>
    </row>
    <row r="390">
      <c r="A390" s="20" t="str">
        <f>'MASTER STOCK'!F387</f>
        <v/>
      </c>
      <c r="B390" s="101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33"/>
      <c r="AM390" s="33"/>
      <c r="AN390" s="33"/>
      <c r="AO390" s="23">
        <f t="shared" si="7"/>
        <v>0</v>
      </c>
      <c r="AP390" s="23">
        <f t="shared" si="8"/>
        <v>0</v>
      </c>
      <c r="AQ390" s="10"/>
    </row>
    <row r="391">
      <c r="A391" s="20" t="str">
        <f>'MASTER STOCK'!F388</f>
        <v/>
      </c>
      <c r="B391" s="101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33"/>
      <c r="AM391" s="33"/>
      <c r="AN391" s="33"/>
      <c r="AO391" s="23">
        <f t="shared" si="7"/>
        <v>0</v>
      </c>
      <c r="AP391" s="23">
        <f t="shared" si="8"/>
        <v>0</v>
      </c>
      <c r="AQ391" s="10"/>
    </row>
    <row r="392">
      <c r="A392" s="20" t="str">
        <f>'MASTER STOCK'!F389</f>
        <v/>
      </c>
      <c r="B392" s="101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33"/>
      <c r="AM392" s="33"/>
      <c r="AN392" s="33"/>
      <c r="AO392" s="23">
        <f t="shared" si="7"/>
        <v>0</v>
      </c>
      <c r="AP392" s="23">
        <f t="shared" si="8"/>
        <v>0</v>
      </c>
      <c r="AQ392" s="10"/>
    </row>
    <row r="393">
      <c r="A393" s="20" t="str">
        <f>'MASTER STOCK'!F390</f>
        <v/>
      </c>
      <c r="B393" s="101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33"/>
      <c r="AM393" s="33"/>
      <c r="AN393" s="33"/>
      <c r="AO393" s="23">
        <f t="shared" si="7"/>
        <v>0</v>
      </c>
      <c r="AP393" s="23">
        <f t="shared" si="8"/>
        <v>0</v>
      </c>
      <c r="AQ393" s="10"/>
    </row>
    <row r="394">
      <c r="A394" s="20" t="str">
        <f>'MASTER STOCK'!F391</f>
        <v/>
      </c>
      <c r="B394" s="101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33"/>
      <c r="AM394" s="33"/>
      <c r="AN394" s="33"/>
      <c r="AO394" s="23">
        <f t="shared" si="7"/>
        <v>0</v>
      </c>
      <c r="AP394" s="23">
        <f t="shared" si="8"/>
        <v>0</v>
      </c>
      <c r="AQ394" s="10"/>
    </row>
    <row r="395">
      <c r="A395" s="20" t="str">
        <f>'MASTER STOCK'!F392</f>
        <v/>
      </c>
      <c r="B395" s="101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33"/>
      <c r="AM395" s="33"/>
      <c r="AN395" s="33"/>
      <c r="AO395" s="23">
        <f t="shared" si="7"/>
        <v>0</v>
      </c>
      <c r="AP395" s="23">
        <f t="shared" si="8"/>
        <v>0</v>
      </c>
      <c r="AQ395" s="10"/>
    </row>
    <row r="396">
      <c r="A396" s="20" t="str">
        <f>'MASTER STOCK'!F393</f>
        <v/>
      </c>
      <c r="B396" s="101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33"/>
      <c r="AM396" s="33"/>
      <c r="AN396" s="33"/>
      <c r="AO396" s="23">
        <f t="shared" si="7"/>
        <v>0</v>
      </c>
      <c r="AP396" s="23">
        <f t="shared" si="8"/>
        <v>0</v>
      </c>
      <c r="AQ396" s="10"/>
    </row>
    <row r="397">
      <c r="A397" s="20" t="str">
        <f>'MASTER STOCK'!F394</f>
        <v/>
      </c>
      <c r="B397" s="101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33"/>
      <c r="AM397" s="33"/>
      <c r="AN397" s="33"/>
      <c r="AO397" s="23">
        <f t="shared" si="7"/>
        <v>0</v>
      </c>
      <c r="AP397" s="23">
        <f t="shared" si="8"/>
        <v>0</v>
      </c>
      <c r="AQ397" s="10"/>
    </row>
    <row r="398">
      <c r="A398" s="20" t="str">
        <f>'MASTER STOCK'!F395</f>
        <v/>
      </c>
      <c r="B398" s="101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33"/>
      <c r="AM398" s="33"/>
      <c r="AN398" s="33"/>
      <c r="AO398" s="23">
        <f t="shared" si="7"/>
        <v>0</v>
      </c>
      <c r="AP398" s="23">
        <f t="shared" si="8"/>
        <v>0</v>
      </c>
      <c r="AQ398" s="10"/>
    </row>
    <row r="399">
      <c r="A399" s="20" t="str">
        <f>'MASTER STOCK'!F396</f>
        <v/>
      </c>
      <c r="B399" s="101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33"/>
      <c r="AM399" s="33"/>
      <c r="AN399" s="33"/>
      <c r="AO399" s="23">
        <f t="shared" si="7"/>
        <v>0</v>
      </c>
      <c r="AP399" s="23">
        <f t="shared" si="8"/>
        <v>0</v>
      </c>
      <c r="AQ399" s="10"/>
    </row>
    <row r="400">
      <c r="A400" s="10"/>
      <c r="B400" s="101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33"/>
      <c r="AM400" s="33"/>
      <c r="AN400" s="33"/>
      <c r="AO400" s="23">
        <f t="shared" si="7"/>
        <v>0</v>
      </c>
      <c r="AP400" s="23">
        <f t="shared" si="8"/>
        <v>0</v>
      </c>
      <c r="AQ400" s="10"/>
    </row>
    <row r="401">
      <c r="A401" s="10"/>
      <c r="B401" s="101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33"/>
      <c r="AM401" s="33"/>
      <c r="AN401" s="33"/>
      <c r="AO401" s="23">
        <f t="shared" si="7"/>
        <v>0</v>
      </c>
      <c r="AP401" s="23">
        <f t="shared" si="8"/>
        <v>0</v>
      </c>
      <c r="AQ401" s="10"/>
    </row>
    <row r="402">
      <c r="A402" s="10"/>
      <c r="B402" s="101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33"/>
      <c r="AM402" s="33"/>
      <c r="AN402" s="33"/>
      <c r="AO402" s="23">
        <f t="shared" si="7"/>
        <v>0</v>
      </c>
      <c r="AP402" s="23">
        <f t="shared" si="8"/>
        <v>0</v>
      </c>
      <c r="AQ402" s="10"/>
    </row>
    <row r="403">
      <c r="A403" s="10"/>
      <c r="B403" s="101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33"/>
      <c r="AM403" s="33"/>
      <c r="AN403" s="33"/>
      <c r="AO403" s="23">
        <f t="shared" si="7"/>
        <v>0</v>
      </c>
      <c r="AP403" s="23">
        <f t="shared" si="8"/>
        <v>0</v>
      </c>
      <c r="AQ403" s="10"/>
    </row>
    <row r="404">
      <c r="A404" s="10"/>
      <c r="B404" s="101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33"/>
      <c r="AM404" s="33"/>
      <c r="AN404" s="33"/>
      <c r="AO404" s="23">
        <f t="shared" si="7"/>
        <v>0</v>
      </c>
      <c r="AP404" s="23">
        <f t="shared" si="8"/>
        <v>0</v>
      </c>
      <c r="AQ404" s="10"/>
    </row>
    <row r="405">
      <c r="A405" s="10"/>
      <c r="B405" s="101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33"/>
      <c r="AM405" s="33"/>
      <c r="AN405" s="33"/>
      <c r="AO405" s="23">
        <f t="shared" si="7"/>
        <v>0</v>
      </c>
      <c r="AP405" s="23">
        <f t="shared" si="8"/>
        <v>0</v>
      </c>
      <c r="AQ405" s="10"/>
    </row>
    <row r="406">
      <c r="A406" s="10"/>
      <c r="B406" s="101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33"/>
      <c r="AM406" s="33"/>
      <c r="AN406" s="33"/>
      <c r="AO406" s="23">
        <f t="shared" si="7"/>
        <v>0</v>
      </c>
      <c r="AP406" s="23">
        <f t="shared" si="8"/>
        <v>0</v>
      </c>
      <c r="AQ406" s="10"/>
    </row>
    <row r="407">
      <c r="A407" s="10"/>
      <c r="B407" s="101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33"/>
      <c r="AM407" s="33"/>
      <c r="AN407" s="33"/>
      <c r="AO407" s="23">
        <f t="shared" si="7"/>
        <v>0</v>
      </c>
      <c r="AP407" s="23">
        <f t="shared" si="8"/>
        <v>0</v>
      </c>
      <c r="AQ407" s="10"/>
    </row>
    <row r="408">
      <c r="A408" s="10"/>
      <c r="B408" s="101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33"/>
      <c r="AM408" s="33"/>
      <c r="AN408" s="33"/>
      <c r="AO408" s="23">
        <f t="shared" si="7"/>
        <v>0</v>
      </c>
      <c r="AP408" s="23">
        <f t="shared" si="8"/>
        <v>0</v>
      </c>
      <c r="AQ408" s="10"/>
    </row>
    <row r="409">
      <c r="A409" s="10"/>
      <c r="B409" s="101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33"/>
      <c r="AM409" s="33"/>
      <c r="AN409" s="33"/>
      <c r="AO409" s="10"/>
      <c r="AP409" s="10"/>
      <c r="AQ409" s="10"/>
    </row>
    <row r="410">
      <c r="A410" s="10"/>
      <c r="B410" s="101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33"/>
      <c r="AM410" s="33"/>
      <c r="AN410" s="33"/>
      <c r="AO410" s="10"/>
      <c r="AP410" s="10"/>
      <c r="AQ410" s="10"/>
    </row>
    <row r="411">
      <c r="A411" s="10"/>
      <c r="B411" s="101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33"/>
      <c r="AM411" s="33"/>
      <c r="AN411" s="33"/>
      <c r="AO411" s="10"/>
      <c r="AP411" s="10"/>
      <c r="AQ411" s="10"/>
    </row>
    <row r="412">
      <c r="A412" s="10"/>
      <c r="B412" s="101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33"/>
      <c r="AM412" s="33"/>
      <c r="AN412" s="33"/>
      <c r="AO412" s="10"/>
      <c r="AP412" s="10"/>
      <c r="AQ412" s="10"/>
    </row>
    <row r="413">
      <c r="A413" s="10"/>
      <c r="B413" s="101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33"/>
      <c r="AM413" s="33"/>
      <c r="AN413" s="33"/>
      <c r="AO413" s="10"/>
      <c r="AP413" s="10"/>
      <c r="AQ413" s="10"/>
    </row>
    <row r="414">
      <c r="A414" s="10"/>
      <c r="B414" s="101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33"/>
      <c r="AM414" s="33"/>
      <c r="AN414" s="33"/>
      <c r="AO414" s="10"/>
      <c r="AP414" s="10"/>
      <c r="AQ414" s="10"/>
    </row>
    <row r="415">
      <c r="A415" s="10"/>
      <c r="B415" s="101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33"/>
      <c r="AM415" s="33"/>
      <c r="AN415" s="33"/>
      <c r="AO415" s="10"/>
      <c r="AP415" s="10"/>
      <c r="AQ415" s="10"/>
    </row>
    <row r="416">
      <c r="A416" s="10"/>
      <c r="B416" s="101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33"/>
      <c r="AM416" s="33"/>
      <c r="AN416" s="33"/>
      <c r="AO416" s="10"/>
      <c r="AP416" s="10"/>
      <c r="AQ416" s="10"/>
    </row>
    <row r="417">
      <c r="A417" s="10"/>
      <c r="B417" s="101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33"/>
      <c r="AM417" s="33"/>
      <c r="AN417" s="33"/>
      <c r="AO417" s="10"/>
      <c r="AP417" s="10"/>
      <c r="AQ417" s="10"/>
    </row>
    <row r="418">
      <c r="A418" s="10"/>
      <c r="B418" s="101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33"/>
      <c r="AM418" s="33"/>
      <c r="AN418" s="33"/>
      <c r="AO418" s="10"/>
      <c r="AP418" s="10"/>
      <c r="AQ418" s="10"/>
    </row>
    <row r="419">
      <c r="A419" s="10"/>
      <c r="B419" s="101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33"/>
      <c r="AM419" s="33"/>
      <c r="AN419" s="33"/>
      <c r="AO419" s="10"/>
      <c r="AP419" s="10"/>
      <c r="AQ419" s="10"/>
    </row>
    <row r="420">
      <c r="A420" s="10"/>
      <c r="B420" s="101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33"/>
      <c r="AM420" s="33"/>
      <c r="AN420" s="33"/>
      <c r="AO420" s="10"/>
      <c r="AP420" s="10"/>
      <c r="AQ420" s="10"/>
    </row>
    <row r="421">
      <c r="A421" s="10"/>
      <c r="B421" s="101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33"/>
      <c r="AM421" s="33"/>
      <c r="AN421" s="33"/>
      <c r="AO421" s="10"/>
      <c r="AP421" s="10"/>
      <c r="AQ421" s="10"/>
    </row>
    <row r="422">
      <c r="A422" s="10"/>
      <c r="B422" s="101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33"/>
      <c r="AM422" s="33"/>
      <c r="AN422" s="33"/>
      <c r="AO422" s="10"/>
      <c r="AP422" s="10"/>
      <c r="AQ422" s="10"/>
    </row>
    <row r="423">
      <c r="A423" s="10"/>
      <c r="B423" s="101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33"/>
      <c r="AM423" s="33"/>
      <c r="AN423" s="33"/>
      <c r="AO423" s="10"/>
      <c r="AP423" s="10"/>
      <c r="AQ423" s="10"/>
    </row>
    <row r="424">
      <c r="A424" s="10"/>
      <c r="B424" s="101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33"/>
      <c r="AM424" s="33"/>
      <c r="AN424" s="33"/>
      <c r="AO424" s="10"/>
      <c r="AP424" s="10"/>
      <c r="AQ424" s="10"/>
    </row>
    <row r="425">
      <c r="A425" s="10"/>
      <c r="B425" s="101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33"/>
      <c r="AM425" s="33"/>
      <c r="AN425" s="33"/>
      <c r="AO425" s="10"/>
      <c r="AP425" s="10"/>
      <c r="AQ425" s="10"/>
    </row>
    <row r="426">
      <c r="A426" s="10"/>
      <c r="B426" s="101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33"/>
      <c r="AM426" s="33"/>
      <c r="AN426" s="33"/>
      <c r="AO426" s="10"/>
      <c r="AP426" s="10"/>
      <c r="AQ426" s="10"/>
    </row>
    <row r="427">
      <c r="A427" s="10"/>
      <c r="B427" s="101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33"/>
      <c r="AM427" s="33"/>
      <c r="AN427" s="33"/>
      <c r="AO427" s="10"/>
      <c r="AP427" s="10"/>
      <c r="AQ427" s="10"/>
    </row>
    <row r="428">
      <c r="A428" s="10"/>
      <c r="B428" s="101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33"/>
      <c r="AM428" s="33"/>
      <c r="AN428" s="33"/>
      <c r="AO428" s="10"/>
      <c r="AP428" s="10"/>
      <c r="AQ428" s="10"/>
    </row>
    <row r="429">
      <c r="A429" s="10"/>
      <c r="B429" s="101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33"/>
      <c r="AM429" s="33"/>
      <c r="AN429" s="33"/>
      <c r="AO429" s="10"/>
      <c r="AP429" s="10"/>
      <c r="AQ429" s="10"/>
    </row>
    <row r="430">
      <c r="A430" s="10"/>
      <c r="B430" s="101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33"/>
      <c r="AM430" s="33"/>
      <c r="AN430" s="33"/>
      <c r="AO430" s="10"/>
      <c r="AP430" s="10"/>
      <c r="AQ430" s="10"/>
    </row>
    <row r="431">
      <c r="A431" s="10"/>
      <c r="B431" s="101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33"/>
      <c r="AM431" s="33"/>
      <c r="AN431" s="33"/>
      <c r="AO431" s="10"/>
      <c r="AP431" s="10"/>
      <c r="AQ431" s="10"/>
    </row>
    <row r="432">
      <c r="A432" s="10"/>
      <c r="B432" s="101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33"/>
      <c r="AM432" s="33"/>
      <c r="AN432" s="33"/>
      <c r="AO432" s="10"/>
      <c r="AP432" s="10"/>
      <c r="AQ432" s="10"/>
    </row>
    <row r="433">
      <c r="A433" s="10"/>
      <c r="B433" s="101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33"/>
      <c r="AM433" s="33"/>
      <c r="AN433" s="33"/>
      <c r="AO433" s="10"/>
      <c r="AP433" s="10"/>
      <c r="AQ433" s="10"/>
    </row>
    <row r="434">
      <c r="A434" s="10"/>
      <c r="B434" s="101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33"/>
      <c r="AM434" s="33"/>
      <c r="AN434" s="33"/>
      <c r="AO434" s="10"/>
      <c r="AP434" s="10"/>
      <c r="AQ434" s="10"/>
    </row>
    <row r="435">
      <c r="A435" s="10"/>
      <c r="B435" s="101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33"/>
      <c r="AM435" s="33"/>
      <c r="AN435" s="33"/>
      <c r="AO435" s="10"/>
      <c r="AP435" s="10"/>
      <c r="AQ435" s="10"/>
    </row>
    <row r="436">
      <c r="A436" s="10"/>
      <c r="B436" s="101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33"/>
      <c r="AM436" s="33"/>
      <c r="AN436" s="33"/>
      <c r="AO436" s="10"/>
      <c r="AP436" s="10"/>
      <c r="AQ436" s="10"/>
    </row>
    <row r="437">
      <c r="A437" s="10"/>
      <c r="B437" s="101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33"/>
      <c r="AM437" s="33"/>
      <c r="AN437" s="33"/>
      <c r="AO437" s="10"/>
      <c r="AP437" s="10"/>
      <c r="AQ437" s="10"/>
    </row>
    <row r="438">
      <c r="A438" s="10"/>
      <c r="B438" s="101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33"/>
      <c r="AM438" s="33"/>
      <c r="AN438" s="33"/>
      <c r="AO438" s="10"/>
      <c r="AP438" s="10"/>
      <c r="AQ438" s="10"/>
    </row>
    <row r="439">
      <c r="A439" s="10"/>
      <c r="B439" s="101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33"/>
      <c r="AM439" s="33"/>
      <c r="AN439" s="33"/>
      <c r="AO439" s="10"/>
      <c r="AP439" s="10"/>
      <c r="AQ439" s="10"/>
    </row>
    <row r="440">
      <c r="A440" s="10"/>
      <c r="B440" s="101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33"/>
      <c r="AM440" s="33"/>
      <c r="AN440" s="33"/>
      <c r="AO440" s="10"/>
      <c r="AP440" s="10"/>
      <c r="AQ440" s="10"/>
    </row>
    <row r="441">
      <c r="A441" s="10"/>
      <c r="B441" s="101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33"/>
      <c r="AM441" s="33"/>
      <c r="AN441" s="33"/>
      <c r="AO441" s="10"/>
      <c r="AP441" s="10"/>
      <c r="AQ441" s="10"/>
    </row>
    <row r="442">
      <c r="A442" s="10"/>
      <c r="B442" s="101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33"/>
      <c r="AM442" s="33"/>
      <c r="AN442" s="33"/>
      <c r="AO442" s="10"/>
      <c r="AP442" s="10"/>
      <c r="AQ442" s="10"/>
    </row>
    <row r="443">
      <c r="A443" s="10"/>
      <c r="B443" s="101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33"/>
      <c r="AM443" s="33"/>
      <c r="AN443" s="33"/>
      <c r="AO443" s="10"/>
      <c r="AP443" s="10"/>
      <c r="AQ443" s="10"/>
    </row>
    <row r="444">
      <c r="A444" s="10"/>
      <c r="B444" s="101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33"/>
      <c r="AM444" s="33"/>
      <c r="AN444" s="33"/>
      <c r="AO444" s="10"/>
      <c r="AP444" s="10"/>
      <c r="AQ444" s="10"/>
    </row>
    <row r="445">
      <c r="A445" s="10"/>
      <c r="B445" s="101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33"/>
      <c r="AM445" s="33"/>
      <c r="AN445" s="33"/>
      <c r="AO445" s="10"/>
      <c r="AP445" s="10"/>
      <c r="AQ445" s="10"/>
    </row>
    <row r="446">
      <c r="A446" s="10"/>
      <c r="B446" s="101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33"/>
      <c r="AM446" s="33"/>
      <c r="AN446" s="33"/>
      <c r="AO446" s="10"/>
      <c r="AP446" s="10"/>
      <c r="AQ446" s="10"/>
    </row>
    <row r="447">
      <c r="A447" s="10"/>
      <c r="B447" s="101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33"/>
      <c r="AM447" s="33"/>
      <c r="AN447" s="33"/>
      <c r="AO447" s="10"/>
      <c r="AP447" s="10"/>
      <c r="AQ447" s="10"/>
    </row>
    <row r="448">
      <c r="A448" s="10"/>
      <c r="B448" s="101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33"/>
      <c r="AM448" s="33"/>
      <c r="AN448" s="33"/>
      <c r="AO448" s="10"/>
      <c r="AP448" s="10"/>
      <c r="AQ448" s="10"/>
    </row>
    <row r="449">
      <c r="A449" s="10"/>
      <c r="B449" s="101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33"/>
      <c r="AM449" s="33"/>
      <c r="AN449" s="33"/>
      <c r="AO449" s="10"/>
      <c r="AP449" s="10"/>
      <c r="AQ449" s="10"/>
    </row>
    <row r="450">
      <c r="A450" s="10"/>
      <c r="B450" s="101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33"/>
      <c r="AM450" s="33"/>
      <c r="AN450" s="33"/>
      <c r="AO450" s="10"/>
      <c r="AP450" s="10"/>
      <c r="AQ450" s="10"/>
    </row>
    <row r="451">
      <c r="A451" s="10"/>
      <c r="B451" s="101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33"/>
      <c r="AM451" s="33"/>
      <c r="AN451" s="33"/>
      <c r="AO451" s="10"/>
      <c r="AP451" s="10"/>
      <c r="AQ451" s="10"/>
    </row>
    <row r="452">
      <c r="A452" s="10"/>
      <c r="B452" s="101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33"/>
      <c r="AM452" s="33"/>
      <c r="AN452" s="33"/>
      <c r="AO452" s="10"/>
      <c r="AP452" s="10"/>
      <c r="AQ452" s="10"/>
    </row>
    <row r="453">
      <c r="A453" s="10"/>
      <c r="B453" s="101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33"/>
      <c r="AM453" s="33"/>
      <c r="AN453" s="33"/>
      <c r="AO453" s="10"/>
      <c r="AP453" s="10"/>
      <c r="AQ453" s="10"/>
    </row>
    <row r="454">
      <c r="A454" s="10"/>
      <c r="B454" s="101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33"/>
      <c r="AM454" s="33"/>
      <c r="AN454" s="33"/>
      <c r="AO454" s="10"/>
      <c r="AP454" s="10"/>
      <c r="AQ454" s="10"/>
    </row>
    <row r="455">
      <c r="A455" s="10"/>
      <c r="B455" s="101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33"/>
      <c r="AM455" s="33"/>
      <c r="AN455" s="33"/>
      <c r="AO455" s="10"/>
      <c r="AP455" s="10"/>
      <c r="AQ455" s="10"/>
    </row>
    <row r="456">
      <c r="A456" s="10"/>
      <c r="B456" s="101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33"/>
      <c r="AM456" s="33"/>
      <c r="AN456" s="33"/>
      <c r="AO456" s="10"/>
      <c r="AP456" s="10"/>
      <c r="AQ456" s="10"/>
    </row>
    <row r="457">
      <c r="A457" s="10"/>
      <c r="B457" s="101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33"/>
      <c r="AM457" s="33"/>
      <c r="AN457" s="33"/>
      <c r="AO457" s="10"/>
      <c r="AP457" s="10"/>
      <c r="AQ457" s="10"/>
    </row>
    <row r="458">
      <c r="A458" s="10"/>
      <c r="B458" s="101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33"/>
      <c r="AM458" s="33"/>
      <c r="AN458" s="33"/>
      <c r="AO458" s="10"/>
      <c r="AP458" s="10"/>
      <c r="AQ458" s="10"/>
    </row>
    <row r="459">
      <c r="A459" s="10"/>
      <c r="B459" s="101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33"/>
      <c r="AM459" s="33"/>
      <c r="AN459" s="33"/>
      <c r="AO459" s="10"/>
      <c r="AP459" s="10"/>
      <c r="AQ459" s="10"/>
    </row>
    <row r="460">
      <c r="A460" s="10"/>
      <c r="B460" s="101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33"/>
      <c r="AM460" s="33"/>
      <c r="AN460" s="33"/>
      <c r="AO460" s="10"/>
      <c r="AP460" s="10"/>
      <c r="AQ460" s="10"/>
    </row>
    <row r="461">
      <c r="A461" s="10"/>
      <c r="B461" s="101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33"/>
      <c r="AM461" s="33"/>
      <c r="AN461" s="33"/>
      <c r="AO461" s="10"/>
      <c r="AP461" s="10"/>
      <c r="AQ461" s="10"/>
    </row>
    <row r="462">
      <c r="A462" s="10"/>
      <c r="B462" s="101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33"/>
      <c r="AM462" s="33"/>
      <c r="AN462" s="33"/>
      <c r="AO462" s="10"/>
      <c r="AP462" s="10"/>
      <c r="AQ462" s="10"/>
    </row>
    <row r="463">
      <c r="A463" s="10"/>
      <c r="B463" s="101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33"/>
      <c r="AM463" s="33"/>
      <c r="AN463" s="33"/>
      <c r="AO463" s="10"/>
      <c r="AP463" s="10"/>
      <c r="AQ463" s="10"/>
    </row>
    <row r="464">
      <c r="A464" s="10"/>
      <c r="B464" s="101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33"/>
      <c r="AM464" s="33"/>
      <c r="AN464" s="33"/>
      <c r="AO464" s="10"/>
      <c r="AP464" s="10"/>
      <c r="AQ464" s="10"/>
    </row>
    <row r="465">
      <c r="A465" s="10"/>
      <c r="B465" s="101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33"/>
      <c r="AM465" s="33"/>
      <c r="AN465" s="33"/>
      <c r="AO465" s="10"/>
      <c r="AP465" s="10"/>
      <c r="AQ465" s="10"/>
    </row>
    <row r="466">
      <c r="A466" s="10"/>
      <c r="B466" s="101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33"/>
      <c r="AM466" s="33"/>
      <c r="AN466" s="33"/>
      <c r="AO466" s="10"/>
      <c r="AP466" s="10"/>
      <c r="AQ466" s="10"/>
    </row>
    <row r="467">
      <c r="A467" s="10"/>
      <c r="B467" s="101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33"/>
      <c r="AM467" s="33"/>
      <c r="AN467" s="33"/>
      <c r="AO467" s="10"/>
      <c r="AP467" s="10"/>
      <c r="AQ467" s="10"/>
    </row>
    <row r="468">
      <c r="A468" s="10"/>
      <c r="B468" s="101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33"/>
      <c r="AM468" s="33"/>
      <c r="AN468" s="33"/>
      <c r="AO468" s="10"/>
      <c r="AP468" s="10"/>
      <c r="AQ468" s="10"/>
    </row>
    <row r="469">
      <c r="A469" s="10"/>
      <c r="B469" s="101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33"/>
      <c r="AM469" s="33"/>
      <c r="AN469" s="33"/>
      <c r="AO469" s="10"/>
      <c r="AP469" s="10"/>
      <c r="AQ469" s="10"/>
    </row>
    <row r="470">
      <c r="A470" s="10"/>
      <c r="B470" s="101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33"/>
      <c r="AM470" s="33"/>
      <c r="AN470" s="33"/>
      <c r="AO470" s="10"/>
      <c r="AP470" s="10"/>
      <c r="AQ470" s="10"/>
    </row>
    <row r="471">
      <c r="A471" s="10"/>
      <c r="B471" s="101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33"/>
      <c r="AM471" s="33"/>
      <c r="AN471" s="33"/>
      <c r="AO471" s="10"/>
      <c r="AP471" s="10"/>
      <c r="AQ471" s="10"/>
    </row>
    <row r="472">
      <c r="A472" s="10"/>
      <c r="B472" s="101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33"/>
      <c r="AM472" s="33"/>
      <c r="AN472" s="33"/>
      <c r="AO472" s="10"/>
      <c r="AP472" s="10"/>
      <c r="AQ472" s="10"/>
    </row>
    <row r="473">
      <c r="A473" s="10"/>
      <c r="B473" s="101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33"/>
      <c r="AM473" s="33"/>
      <c r="AN473" s="33"/>
      <c r="AO473" s="10"/>
      <c r="AP473" s="10"/>
      <c r="AQ473" s="10"/>
    </row>
    <row r="474">
      <c r="A474" s="10"/>
      <c r="B474" s="101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33"/>
      <c r="AM474" s="33"/>
      <c r="AN474" s="33"/>
      <c r="AO474" s="10"/>
      <c r="AP474" s="10"/>
      <c r="AQ474" s="10"/>
    </row>
    <row r="475">
      <c r="A475" s="10"/>
      <c r="B475" s="101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33"/>
      <c r="AM475" s="33"/>
      <c r="AN475" s="33"/>
      <c r="AO475" s="10"/>
      <c r="AP475" s="10"/>
      <c r="AQ475" s="10"/>
    </row>
    <row r="476">
      <c r="A476" s="10"/>
      <c r="B476" s="101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33"/>
      <c r="AM476" s="33"/>
      <c r="AN476" s="33"/>
      <c r="AO476" s="10"/>
      <c r="AP476" s="10"/>
      <c r="AQ476" s="10"/>
    </row>
    <row r="477">
      <c r="A477" s="10"/>
      <c r="B477" s="101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33"/>
      <c r="AM477" s="33"/>
      <c r="AN477" s="33"/>
      <c r="AO477" s="10"/>
      <c r="AP477" s="10"/>
      <c r="AQ477" s="10"/>
    </row>
    <row r="478">
      <c r="A478" s="10"/>
      <c r="B478" s="101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33"/>
      <c r="AM478" s="33"/>
      <c r="AN478" s="33"/>
      <c r="AO478" s="10"/>
      <c r="AP478" s="10"/>
      <c r="AQ478" s="10"/>
    </row>
    <row r="479">
      <c r="A479" s="10"/>
      <c r="B479" s="101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33"/>
      <c r="AM479" s="33"/>
      <c r="AN479" s="33"/>
      <c r="AO479" s="10"/>
      <c r="AP479" s="10"/>
      <c r="AQ479" s="10"/>
    </row>
    <row r="480">
      <c r="A480" s="10"/>
      <c r="B480" s="101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33"/>
      <c r="AM480" s="33"/>
      <c r="AN480" s="33"/>
      <c r="AO480" s="10"/>
      <c r="AP480" s="10"/>
      <c r="AQ480" s="10"/>
    </row>
    <row r="481">
      <c r="A481" s="10"/>
      <c r="B481" s="101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33"/>
      <c r="AM481" s="33"/>
      <c r="AN481" s="33"/>
      <c r="AO481" s="10"/>
      <c r="AP481" s="10"/>
      <c r="AQ481" s="10"/>
    </row>
    <row r="482">
      <c r="A482" s="10"/>
      <c r="B482" s="101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33"/>
      <c r="AM482" s="33"/>
      <c r="AN482" s="33"/>
      <c r="AO482" s="10"/>
      <c r="AP482" s="10"/>
      <c r="AQ482" s="10"/>
    </row>
    <row r="483">
      <c r="A483" s="10"/>
      <c r="B483" s="101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33"/>
      <c r="AM483" s="33"/>
      <c r="AN483" s="33"/>
      <c r="AO483" s="10"/>
      <c r="AP483" s="10"/>
      <c r="AQ483" s="10"/>
    </row>
    <row r="484">
      <c r="A484" s="10"/>
      <c r="B484" s="101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33"/>
      <c r="AM484" s="33"/>
      <c r="AN484" s="33"/>
      <c r="AO484" s="10"/>
      <c r="AP484" s="10"/>
      <c r="AQ484" s="10"/>
    </row>
    <row r="485">
      <c r="A485" s="10"/>
      <c r="B485" s="101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33"/>
      <c r="AM485" s="33"/>
      <c r="AN485" s="33"/>
      <c r="AO485" s="10"/>
      <c r="AP485" s="10"/>
      <c r="AQ485" s="10"/>
    </row>
    <row r="486">
      <c r="A486" s="10"/>
      <c r="B486" s="101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33"/>
      <c r="AM486" s="33"/>
      <c r="AN486" s="33"/>
      <c r="AO486" s="10"/>
      <c r="AP486" s="10"/>
      <c r="AQ486" s="10"/>
    </row>
    <row r="487">
      <c r="A487" s="10"/>
      <c r="B487" s="101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33"/>
      <c r="AM487" s="33"/>
      <c r="AN487" s="33"/>
      <c r="AO487" s="10"/>
      <c r="AP487" s="10"/>
      <c r="AQ487" s="10"/>
    </row>
    <row r="488">
      <c r="A488" s="10"/>
      <c r="B488" s="101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33"/>
      <c r="AM488" s="33"/>
      <c r="AN488" s="33"/>
      <c r="AO488" s="10"/>
      <c r="AP488" s="10"/>
      <c r="AQ488" s="10"/>
    </row>
    <row r="489">
      <c r="A489" s="10"/>
      <c r="B489" s="101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33"/>
      <c r="AM489" s="33"/>
      <c r="AN489" s="33"/>
      <c r="AO489" s="10"/>
      <c r="AP489" s="10"/>
      <c r="AQ489" s="10"/>
    </row>
    <row r="490">
      <c r="A490" s="10"/>
      <c r="B490" s="101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33"/>
      <c r="AM490" s="33"/>
      <c r="AN490" s="33"/>
      <c r="AO490" s="10"/>
      <c r="AP490" s="10"/>
      <c r="AQ490" s="10"/>
    </row>
    <row r="491">
      <c r="A491" s="10"/>
      <c r="B491" s="101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33"/>
      <c r="AM491" s="33"/>
      <c r="AN491" s="33"/>
      <c r="AO491" s="10"/>
      <c r="AP491" s="10"/>
      <c r="AQ491" s="10"/>
    </row>
    <row r="492">
      <c r="A492" s="10"/>
      <c r="B492" s="101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33"/>
      <c r="AM492" s="33"/>
      <c r="AN492" s="33"/>
      <c r="AO492" s="10"/>
      <c r="AP492" s="10"/>
      <c r="AQ492" s="10"/>
    </row>
    <row r="493">
      <c r="A493" s="10"/>
      <c r="B493" s="101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33"/>
      <c r="AM493" s="33"/>
      <c r="AN493" s="33"/>
      <c r="AO493" s="10"/>
      <c r="AP493" s="10"/>
      <c r="AQ493" s="10"/>
    </row>
    <row r="494">
      <c r="A494" s="10"/>
      <c r="B494" s="101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33"/>
      <c r="AM494" s="33"/>
      <c r="AN494" s="33"/>
      <c r="AO494" s="10"/>
      <c r="AP494" s="10"/>
      <c r="AQ494" s="10"/>
    </row>
    <row r="495">
      <c r="A495" s="10"/>
      <c r="B495" s="101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33"/>
      <c r="AM495" s="33"/>
      <c r="AN495" s="33"/>
      <c r="AO495" s="10"/>
      <c r="AP495" s="10"/>
      <c r="AQ495" s="10"/>
    </row>
    <row r="496">
      <c r="A496" s="10"/>
      <c r="B496" s="101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33"/>
      <c r="AM496" s="33"/>
      <c r="AN496" s="33"/>
      <c r="AO496" s="10"/>
      <c r="AP496" s="10"/>
      <c r="AQ496" s="10"/>
    </row>
    <row r="497">
      <c r="A497" s="10"/>
      <c r="B497" s="101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33"/>
      <c r="AM497" s="33"/>
      <c r="AN497" s="33"/>
      <c r="AO497" s="10"/>
      <c r="AP497" s="10"/>
      <c r="AQ497" s="10"/>
    </row>
    <row r="498">
      <c r="A498" s="10"/>
      <c r="B498" s="101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33"/>
      <c r="AM498" s="33"/>
      <c r="AN498" s="33"/>
      <c r="AO498" s="10"/>
      <c r="AP498" s="10"/>
      <c r="AQ498" s="10"/>
    </row>
    <row r="499">
      <c r="A499" s="10"/>
      <c r="B499" s="101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33"/>
      <c r="AM499" s="33"/>
      <c r="AN499" s="33"/>
      <c r="AO499" s="10"/>
      <c r="AP499" s="10"/>
      <c r="AQ499" s="10"/>
    </row>
    <row r="500">
      <c r="A500" s="10"/>
      <c r="B500" s="101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33"/>
      <c r="AM500" s="33"/>
      <c r="AN500" s="33"/>
      <c r="AO500" s="10"/>
      <c r="AP500" s="10"/>
      <c r="AQ500" s="10"/>
    </row>
    <row r="501">
      <c r="A501" s="10"/>
      <c r="B501" s="101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33"/>
      <c r="AM501" s="33"/>
      <c r="AN501" s="33"/>
      <c r="AO501" s="10"/>
      <c r="AP501" s="10"/>
      <c r="AQ501" s="10"/>
    </row>
    <row r="502">
      <c r="A502" s="10"/>
      <c r="B502" s="101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33"/>
      <c r="AM502" s="33"/>
      <c r="AN502" s="33"/>
      <c r="AO502" s="10"/>
      <c r="AP502" s="10"/>
      <c r="AQ502" s="10"/>
    </row>
    <row r="503">
      <c r="A503" s="10"/>
      <c r="B503" s="101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33"/>
      <c r="AM503" s="33"/>
      <c r="AN503" s="33"/>
      <c r="AO503" s="10"/>
      <c r="AP503" s="10"/>
      <c r="AQ503" s="10"/>
    </row>
    <row r="504">
      <c r="A504" s="10"/>
      <c r="B504" s="101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33"/>
      <c r="AM504" s="33"/>
      <c r="AN504" s="33"/>
      <c r="AO504" s="10"/>
      <c r="AP504" s="10"/>
      <c r="AQ504" s="10"/>
    </row>
    <row r="505">
      <c r="A505" s="10"/>
      <c r="B505" s="101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33"/>
      <c r="AM505" s="33"/>
      <c r="AN505" s="33"/>
      <c r="AO505" s="10"/>
      <c r="AP505" s="10"/>
      <c r="AQ505" s="10"/>
    </row>
    <row r="506">
      <c r="A506" s="10"/>
      <c r="B506" s="101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33"/>
      <c r="AM506" s="33"/>
      <c r="AN506" s="33"/>
      <c r="AO506" s="10"/>
      <c r="AP506" s="10"/>
      <c r="AQ506" s="10"/>
    </row>
    <row r="507">
      <c r="A507" s="10"/>
      <c r="B507" s="101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33"/>
      <c r="AM507" s="33"/>
      <c r="AN507" s="33"/>
      <c r="AO507" s="10"/>
      <c r="AP507" s="10"/>
      <c r="AQ507" s="10"/>
    </row>
    <row r="508">
      <c r="A508" s="10"/>
      <c r="B508" s="101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33"/>
      <c r="AM508" s="33"/>
      <c r="AN508" s="33"/>
      <c r="AO508" s="10"/>
      <c r="AP508" s="10"/>
      <c r="AQ508" s="10"/>
    </row>
    <row r="509">
      <c r="A509" s="10"/>
      <c r="B509" s="101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33"/>
      <c r="AM509" s="33"/>
      <c r="AN509" s="33"/>
      <c r="AO509" s="10"/>
      <c r="AP509" s="10"/>
      <c r="AQ509" s="10"/>
    </row>
    <row r="510">
      <c r="A510" s="10"/>
      <c r="B510" s="101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33"/>
      <c r="AM510" s="33"/>
      <c r="AN510" s="33"/>
      <c r="AO510" s="10"/>
      <c r="AP510" s="10"/>
      <c r="AQ510" s="10"/>
    </row>
    <row r="511">
      <c r="A511" s="10"/>
      <c r="B511" s="101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33"/>
      <c r="AM511" s="33"/>
      <c r="AN511" s="33"/>
      <c r="AO511" s="10"/>
      <c r="AP511" s="10"/>
      <c r="AQ511" s="10"/>
    </row>
    <row r="512">
      <c r="A512" s="10"/>
      <c r="B512" s="101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33"/>
      <c r="AM512" s="33"/>
      <c r="AN512" s="33"/>
      <c r="AO512" s="10"/>
      <c r="AP512" s="10"/>
      <c r="AQ512" s="10"/>
    </row>
    <row r="513">
      <c r="A513" s="10"/>
      <c r="B513" s="101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33"/>
      <c r="AM513" s="33"/>
      <c r="AN513" s="33"/>
      <c r="AO513" s="10"/>
      <c r="AP513" s="10"/>
      <c r="AQ513" s="10"/>
    </row>
    <row r="514">
      <c r="A514" s="10"/>
      <c r="B514" s="101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33"/>
      <c r="AM514" s="33"/>
      <c r="AN514" s="33"/>
      <c r="AO514" s="10"/>
      <c r="AP514" s="10"/>
      <c r="AQ514" s="10"/>
    </row>
    <row r="515">
      <c r="A515" s="10"/>
      <c r="B515" s="101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33"/>
      <c r="AM515" s="33"/>
      <c r="AN515" s="33"/>
      <c r="AO515" s="10"/>
      <c r="AP515" s="10"/>
      <c r="AQ515" s="10"/>
    </row>
    <row r="516">
      <c r="A516" s="10"/>
      <c r="B516" s="101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33"/>
      <c r="AM516" s="33"/>
      <c r="AN516" s="33"/>
      <c r="AO516" s="10"/>
      <c r="AP516" s="10"/>
      <c r="AQ516" s="10"/>
    </row>
    <row r="517">
      <c r="A517" s="10"/>
      <c r="B517" s="101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33"/>
      <c r="AM517" s="33"/>
      <c r="AN517" s="33"/>
      <c r="AO517" s="10"/>
      <c r="AP517" s="10"/>
      <c r="AQ517" s="10"/>
    </row>
    <row r="518">
      <c r="A518" s="10"/>
      <c r="B518" s="101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33"/>
      <c r="AM518" s="33"/>
      <c r="AN518" s="33"/>
      <c r="AO518" s="10"/>
      <c r="AP518" s="10"/>
      <c r="AQ518" s="10"/>
    </row>
    <row r="519">
      <c r="A519" s="10"/>
      <c r="B519" s="101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33"/>
      <c r="AM519" s="33"/>
      <c r="AN519" s="33"/>
      <c r="AO519" s="10"/>
      <c r="AP519" s="10"/>
      <c r="AQ519" s="10"/>
    </row>
    <row r="520">
      <c r="A520" s="10"/>
      <c r="B520" s="101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33"/>
      <c r="AM520" s="33"/>
      <c r="AN520" s="33"/>
      <c r="AO520" s="10"/>
      <c r="AP520" s="10"/>
      <c r="AQ520" s="10"/>
    </row>
    <row r="521">
      <c r="A521" s="10"/>
      <c r="B521" s="101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33"/>
      <c r="AM521" s="33"/>
      <c r="AN521" s="33"/>
      <c r="AO521" s="10"/>
      <c r="AP521" s="10"/>
      <c r="AQ521" s="10"/>
    </row>
    <row r="522">
      <c r="A522" s="10"/>
      <c r="B522" s="101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33"/>
      <c r="AM522" s="33"/>
      <c r="AN522" s="33"/>
      <c r="AO522" s="10"/>
      <c r="AP522" s="10"/>
      <c r="AQ522" s="10"/>
    </row>
    <row r="523">
      <c r="A523" s="10"/>
      <c r="B523" s="101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33"/>
      <c r="AM523" s="33"/>
      <c r="AN523" s="33"/>
      <c r="AO523" s="10"/>
      <c r="AP523" s="10"/>
      <c r="AQ523" s="10"/>
    </row>
    <row r="524">
      <c r="A524" s="10"/>
      <c r="B524" s="101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33"/>
      <c r="AM524" s="33"/>
      <c r="AN524" s="33"/>
      <c r="AO524" s="10"/>
      <c r="AP524" s="10"/>
      <c r="AQ524" s="10"/>
    </row>
    <row r="525">
      <c r="A525" s="10"/>
      <c r="B525" s="101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33"/>
      <c r="AM525" s="33"/>
      <c r="AN525" s="33"/>
      <c r="AO525" s="10"/>
      <c r="AP525" s="10"/>
      <c r="AQ525" s="10"/>
    </row>
    <row r="526">
      <c r="A526" s="10"/>
      <c r="B526" s="101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33"/>
      <c r="AM526" s="33"/>
      <c r="AN526" s="33"/>
      <c r="AO526" s="10"/>
      <c r="AP526" s="10"/>
      <c r="AQ526" s="10"/>
    </row>
    <row r="527">
      <c r="A527" s="10"/>
      <c r="B527" s="101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33"/>
      <c r="AM527" s="33"/>
      <c r="AN527" s="33"/>
      <c r="AO527" s="10"/>
      <c r="AP527" s="10"/>
      <c r="AQ527" s="10"/>
    </row>
    <row r="528">
      <c r="A528" s="10"/>
      <c r="B528" s="101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33"/>
      <c r="AM528" s="33"/>
      <c r="AN528" s="33"/>
      <c r="AO528" s="10"/>
      <c r="AP528" s="10"/>
      <c r="AQ528" s="10"/>
    </row>
    <row r="529">
      <c r="A529" s="10"/>
      <c r="B529" s="101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33"/>
      <c r="AM529" s="33"/>
      <c r="AN529" s="33"/>
      <c r="AO529" s="10"/>
      <c r="AP529" s="10"/>
      <c r="AQ529" s="10"/>
    </row>
    <row r="530">
      <c r="A530" s="10"/>
      <c r="B530" s="101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33"/>
      <c r="AM530" s="33"/>
      <c r="AN530" s="33"/>
      <c r="AO530" s="10"/>
      <c r="AP530" s="10"/>
      <c r="AQ530" s="10"/>
    </row>
    <row r="531">
      <c r="A531" s="10"/>
      <c r="B531" s="101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33"/>
      <c r="AM531" s="33"/>
      <c r="AN531" s="33"/>
      <c r="AO531" s="10"/>
      <c r="AP531" s="10"/>
      <c r="AQ531" s="10"/>
    </row>
    <row r="532">
      <c r="A532" s="10"/>
      <c r="B532" s="101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33"/>
      <c r="AM532" s="33"/>
      <c r="AN532" s="33"/>
      <c r="AO532" s="10"/>
      <c r="AP532" s="10"/>
      <c r="AQ532" s="10"/>
    </row>
    <row r="533">
      <c r="A533" s="10"/>
      <c r="B533" s="101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33"/>
      <c r="AM533" s="33"/>
      <c r="AN533" s="33"/>
      <c r="AO533" s="10"/>
      <c r="AP533" s="10"/>
      <c r="AQ533" s="10"/>
    </row>
    <row r="534">
      <c r="A534" s="10"/>
      <c r="B534" s="101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33"/>
      <c r="AM534" s="33"/>
      <c r="AN534" s="33"/>
      <c r="AO534" s="10"/>
      <c r="AP534" s="10"/>
      <c r="AQ534" s="10"/>
    </row>
    <row r="535">
      <c r="A535" s="10"/>
      <c r="B535" s="101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33"/>
      <c r="AM535" s="33"/>
      <c r="AN535" s="33"/>
      <c r="AO535" s="10"/>
      <c r="AP535" s="10"/>
      <c r="AQ535" s="10"/>
    </row>
    <row r="536">
      <c r="A536" s="10"/>
      <c r="B536" s="101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33"/>
      <c r="AM536" s="33"/>
      <c r="AN536" s="33"/>
      <c r="AO536" s="10"/>
      <c r="AP536" s="10"/>
      <c r="AQ536" s="10"/>
    </row>
    <row r="537">
      <c r="A537" s="10"/>
      <c r="B537" s="101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33"/>
      <c r="AM537" s="33"/>
      <c r="AN537" s="33"/>
      <c r="AO537" s="10"/>
      <c r="AP537" s="10"/>
      <c r="AQ537" s="10"/>
    </row>
    <row r="538">
      <c r="A538" s="10"/>
      <c r="B538" s="101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33"/>
      <c r="AM538" s="33"/>
      <c r="AN538" s="33"/>
      <c r="AO538" s="10"/>
      <c r="AP538" s="10"/>
      <c r="AQ538" s="10"/>
    </row>
    <row r="539">
      <c r="A539" s="10"/>
      <c r="B539" s="101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33"/>
      <c r="AM539" s="33"/>
      <c r="AN539" s="33"/>
      <c r="AO539" s="10"/>
      <c r="AP539" s="10"/>
      <c r="AQ539" s="10"/>
    </row>
    <row r="540">
      <c r="A540" s="10"/>
      <c r="B540" s="101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33"/>
      <c r="AM540" s="33"/>
      <c r="AN540" s="33"/>
      <c r="AO540" s="10"/>
      <c r="AP540" s="10"/>
      <c r="AQ540" s="10"/>
    </row>
    <row r="541">
      <c r="A541" s="10"/>
      <c r="B541" s="101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33"/>
      <c r="AM541" s="33"/>
      <c r="AN541" s="33"/>
      <c r="AO541" s="10"/>
      <c r="AP541" s="10"/>
      <c r="AQ541" s="10"/>
    </row>
    <row r="542">
      <c r="A542" s="10"/>
      <c r="B542" s="101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33"/>
      <c r="AM542" s="33"/>
      <c r="AN542" s="33"/>
      <c r="AO542" s="10"/>
      <c r="AP542" s="10"/>
      <c r="AQ542" s="10"/>
    </row>
    <row r="543">
      <c r="A543" s="10"/>
      <c r="B543" s="101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33"/>
      <c r="AM543" s="33"/>
      <c r="AN543" s="33"/>
      <c r="AO543" s="10"/>
      <c r="AP543" s="10"/>
      <c r="AQ543" s="10"/>
    </row>
    <row r="544">
      <c r="A544" s="10"/>
      <c r="B544" s="101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33"/>
      <c r="AM544" s="33"/>
      <c r="AN544" s="33"/>
      <c r="AO544" s="10"/>
      <c r="AP544" s="10"/>
      <c r="AQ544" s="10"/>
    </row>
    <row r="545">
      <c r="A545" s="10"/>
      <c r="B545" s="101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33"/>
      <c r="AM545" s="33"/>
      <c r="AN545" s="33"/>
      <c r="AO545" s="10"/>
      <c r="AP545" s="10"/>
      <c r="AQ545" s="10"/>
    </row>
    <row r="546">
      <c r="A546" s="10"/>
      <c r="B546" s="101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33"/>
      <c r="AM546" s="33"/>
      <c r="AN546" s="33"/>
      <c r="AO546" s="10"/>
      <c r="AP546" s="10"/>
      <c r="AQ546" s="10"/>
    </row>
    <row r="547">
      <c r="A547" s="10"/>
      <c r="B547" s="101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33"/>
      <c r="AM547" s="33"/>
      <c r="AN547" s="33"/>
      <c r="AO547" s="10"/>
      <c r="AP547" s="10"/>
      <c r="AQ547" s="10"/>
    </row>
    <row r="548">
      <c r="A548" s="10"/>
      <c r="B548" s="101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33"/>
      <c r="AM548" s="33"/>
      <c r="AN548" s="33"/>
      <c r="AO548" s="10"/>
      <c r="AP548" s="10"/>
      <c r="AQ548" s="10"/>
    </row>
    <row r="549">
      <c r="A549" s="10"/>
      <c r="B549" s="101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33"/>
      <c r="AM549" s="33"/>
      <c r="AN549" s="33"/>
      <c r="AO549" s="10"/>
      <c r="AP549" s="10"/>
      <c r="AQ549" s="10"/>
    </row>
    <row r="550">
      <c r="A550" s="10"/>
      <c r="B550" s="101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33"/>
      <c r="AM550" s="33"/>
      <c r="AN550" s="33"/>
      <c r="AO550" s="10"/>
      <c r="AP550" s="10"/>
      <c r="AQ550" s="10"/>
    </row>
    <row r="551">
      <c r="A551" s="10"/>
      <c r="B551" s="101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33"/>
      <c r="AM551" s="33"/>
      <c r="AN551" s="33"/>
      <c r="AO551" s="10"/>
      <c r="AP551" s="10"/>
      <c r="AQ551" s="10"/>
    </row>
    <row r="552">
      <c r="A552" s="10"/>
      <c r="B552" s="101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33"/>
      <c r="AM552" s="33"/>
      <c r="AN552" s="33"/>
      <c r="AO552" s="10"/>
      <c r="AP552" s="10"/>
      <c r="AQ552" s="10"/>
    </row>
    <row r="553">
      <c r="A553" s="10"/>
      <c r="B553" s="101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33"/>
      <c r="AM553" s="33"/>
      <c r="AN553" s="33"/>
      <c r="AO553" s="10"/>
      <c r="AP553" s="10"/>
      <c r="AQ553" s="10"/>
    </row>
    <row r="554">
      <c r="A554" s="10"/>
      <c r="B554" s="101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33"/>
      <c r="AM554" s="33"/>
      <c r="AN554" s="33"/>
      <c r="AO554" s="10"/>
      <c r="AP554" s="10"/>
      <c r="AQ554" s="10"/>
    </row>
    <row r="555">
      <c r="A555" s="10"/>
      <c r="B555" s="101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33"/>
      <c r="AM555" s="33"/>
      <c r="AN555" s="33"/>
      <c r="AO555" s="10"/>
      <c r="AP555" s="10"/>
      <c r="AQ555" s="10"/>
    </row>
    <row r="556">
      <c r="A556" s="10"/>
      <c r="B556" s="101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33"/>
      <c r="AM556" s="33"/>
      <c r="AN556" s="33"/>
      <c r="AO556" s="10"/>
      <c r="AP556" s="10"/>
      <c r="AQ556" s="10"/>
    </row>
    <row r="557">
      <c r="A557" s="10"/>
      <c r="B557" s="101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33"/>
      <c r="AM557" s="33"/>
      <c r="AN557" s="33"/>
      <c r="AO557" s="10"/>
      <c r="AP557" s="10"/>
      <c r="AQ557" s="10"/>
    </row>
    <row r="558">
      <c r="A558" s="10"/>
      <c r="B558" s="101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33"/>
      <c r="AM558" s="33"/>
      <c r="AN558" s="33"/>
      <c r="AO558" s="10"/>
      <c r="AP558" s="10"/>
      <c r="AQ558" s="10"/>
    </row>
    <row r="559">
      <c r="A559" s="10"/>
      <c r="B559" s="101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33"/>
      <c r="AM559" s="33"/>
      <c r="AN559" s="33"/>
      <c r="AO559" s="10"/>
      <c r="AP559" s="10"/>
      <c r="AQ559" s="10"/>
    </row>
    <row r="560">
      <c r="A560" s="10"/>
      <c r="B560" s="101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33"/>
      <c r="AM560" s="33"/>
      <c r="AN560" s="33"/>
      <c r="AO560" s="10"/>
      <c r="AP560" s="10"/>
      <c r="AQ560" s="10"/>
    </row>
    <row r="561">
      <c r="A561" s="10"/>
      <c r="B561" s="101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33"/>
      <c r="AM561" s="33"/>
      <c r="AN561" s="33"/>
      <c r="AO561" s="10"/>
      <c r="AP561" s="10"/>
      <c r="AQ561" s="10"/>
    </row>
    <row r="562">
      <c r="A562" s="10"/>
      <c r="B562" s="101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33"/>
      <c r="AM562" s="33"/>
      <c r="AN562" s="33"/>
      <c r="AO562" s="10"/>
      <c r="AP562" s="10"/>
      <c r="AQ562" s="10"/>
    </row>
    <row r="563">
      <c r="A563" s="10"/>
      <c r="B563" s="101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33"/>
      <c r="AM563" s="33"/>
      <c r="AN563" s="33"/>
      <c r="AO563" s="10"/>
      <c r="AP563" s="10"/>
      <c r="AQ563" s="10"/>
    </row>
    <row r="564">
      <c r="A564" s="10"/>
      <c r="B564" s="101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33"/>
      <c r="AM564" s="33"/>
      <c r="AN564" s="33"/>
      <c r="AO564" s="10"/>
      <c r="AP564" s="10"/>
      <c r="AQ564" s="10"/>
    </row>
    <row r="565">
      <c r="A565" s="10"/>
      <c r="B565" s="101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33"/>
      <c r="AM565" s="33"/>
      <c r="AN565" s="33"/>
      <c r="AO565" s="10"/>
      <c r="AP565" s="10"/>
      <c r="AQ565" s="10"/>
    </row>
    <row r="566">
      <c r="A566" s="10"/>
      <c r="B566" s="101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33"/>
      <c r="AM566" s="33"/>
      <c r="AN566" s="33"/>
      <c r="AO566" s="10"/>
      <c r="AP566" s="10"/>
      <c r="AQ566" s="10"/>
    </row>
    <row r="567">
      <c r="A567" s="10"/>
      <c r="B567" s="101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33"/>
      <c r="AM567" s="33"/>
      <c r="AN567" s="33"/>
      <c r="AO567" s="10"/>
      <c r="AP567" s="10"/>
      <c r="AQ567" s="10"/>
    </row>
    <row r="568">
      <c r="A568" s="10"/>
      <c r="B568" s="101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33"/>
      <c r="AM568" s="33"/>
      <c r="AN568" s="33"/>
      <c r="AO568" s="10"/>
      <c r="AP568" s="10"/>
      <c r="AQ568" s="10"/>
    </row>
    <row r="569">
      <c r="A569" s="10"/>
      <c r="B569" s="101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33"/>
      <c r="AM569" s="33"/>
      <c r="AN569" s="33"/>
      <c r="AO569" s="10"/>
      <c r="AP569" s="10"/>
      <c r="AQ569" s="10"/>
    </row>
    <row r="570">
      <c r="A570" s="10"/>
      <c r="B570" s="101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33"/>
      <c r="AM570" s="33"/>
      <c r="AN570" s="33"/>
      <c r="AO570" s="10"/>
      <c r="AP570" s="10"/>
      <c r="AQ570" s="10"/>
    </row>
    <row r="571">
      <c r="A571" s="10"/>
      <c r="B571" s="101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33"/>
      <c r="AM571" s="33"/>
      <c r="AN571" s="33"/>
      <c r="AO571" s="10"/>
      <c r="AP571" s="10"/>
      <c r="AQ571" s="10"/>
    </row>
    <row r="572">
      <c r="A572" s="10"/>
      <c r="B572" s="101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33"/>
      <c r="AM572" s="33"/>
      <c r="AN572" s="33"/>
      <c r="AO572" s="10"/>
      <c r="AP572" s="10"/>
      <c r="AQ572" s="10"/>
    </row>
    <row r="573">
      <c r="A573" s="10"/>
      <c r="B573" s="101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33"/>
      <c r="AM573" s="33"/>
      <c r="AN573" s="33"/>
      <c r="AO573" s="10"/>
      <c r="AP573" s="10"/>
      <c r="AQ573" s="10"/>
    </row>
    <row r="574">
      <c r="A574" s="10"/>
      <c r="B574" s="101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33"/>
      <c r="AM574" s="33"/>
      <c r="AN574" s="33"/>
      <c r="AO574" s="10"/>
      <c r="AP574" s="10"/>
      <c r="AQ574" s="10"/>
    </row>
    <row r="575">
      <c r="A575" s="10"/>
      <c r="B575" s="101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33"/>
      <c r="AM575" s="33"/>
      <c r="AN575" s="33"/>
      <c r="AO575" s="10"/>
      <c r="AP575" s="10"/>
      <c r="AQ575" s="10"/>
    </row>
    <row r="576">
      <c r="A576" s="10"/>
      <c r="B576" s="101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33"/>
      <c r="AM576" s="33"/>
      <c r="AN576" s="33"/>
      <c r="AO576" s="10"/>
      <c r="AP576" s="10"/>
      <c r="AQ576" s="10"/>
    </row>
    <row r="577">
      <c r="A577" s="10"/>
      <c r="B577" s="101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33"/>
      <c r="AM577" s="33"/>
      <c r="AN577" s="33"/>
      <c r="AO577" s="10"/>
      <c r="AP577" s="10"/>
      <c r="AQ577" s="10"/>
    </row>
    <row r="578">
      <c r="A578" s="10"/>
      <c r="B578" s="101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33"/>
      <c r="AM578" s="33"/>
      <c r="AN578" s="33"/>
      <c r="AO578" s="10"/>
      <c r="AP578" s="10"/>
      <c r="AQ578" s="10"/>
    </row>
    <row r="579">
      <c r="A579" s="10"/>
      <c r="B579" s="101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33"/>
      <c r="AM579" s="33"/>
      <c r="AN579" s="33"/>
      <c r="AO579" s="10"/>
      <c r="AP579" s="10"/>
      <c r="AQ579" s="10"/>
    </row>
    <row r="580">
      <c r="A580" s="10"/>
      <c r="B580" s="101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33"/>
      <c r="AM580" s="33"/>
      <c r="AN580" s="33"/>
      <c r="AO580" s="10"/>
      <c r="AP580" s="10"/>
      <c r="AQ580" s="10"/>
    </row>
    <row r="581">
      <c r="A581" s="10"/>
      <c r="B581" s="101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33"/>
      <c r="AM581" s="33"/>
      <c r="AN581" s="33"/>
      <c r="AO581" s="10"/>
      <c r="AP581" s="10"/>
      <c r="AQ581" s="10"/>
    </row>
    <row r="582">
      <c r="A582" s="10"/>
      <c r="B582" s="101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33"/>
      <c r="AM582" s="33"/>
      <c r="AN582" s="33"/>
      <c r="AO582" s="10"/>
      <c r="AP582" s="10"/>
      <c r="AQ582" s="10"/>
    </row>
    <row r="583">
      <c r="A583" s="10"/>
      <c r="B583" s="101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33"/>
      <c r="AM583" s="33"/>
      <c r="AN583" s="33"/>
      <c r="AO583" s="10"/>
      <c r="AP583" s="10"/>
      <c r="AQ583" s="10"/>
    </row>
    <row r="584">
      <c r="A584" s="10"/>
      <c r="B584" s="101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33"/>
      <c r="AM584" s="33"/>
      <c r="AN584" s="33"/>
      <c r="AO584" s="10"/>
      <c r="AP584" s="10"/>
      <c r="AQ584" s="10"/>
    </row>
    <row r="585">
      <c r="A585" s="10"/>
      <c r="B585" s="101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33"/>
      <c r="AM585" s="33"/>
      <c r="AN585" s="33"/>
      <c r="AO585" s="10"/>
      <c r="AP585" s="10"/>
      <c r="AQ585" s="10"/>
    </row>
    <row r="586">
      <c r="A586" s="10"/>
      <c r="B586" s="101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33"/>
      <c r="AM586" s="33"/>
      <c r="AN586" s="33"/>
      <c r="AO586" s="10"/>
      <c r="AP586" s="10"/>
      <c r="AQ586" s="10"/>
    </row>
    <row r="587">
      <c r="A587" s="10"/>
      <c r="B587" s="101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33"/>
      <c r="AM587" s="33"/>
      <c r="AN587" s="33"/>
      <c r="AO587" s="10"/>
      <c r="AP587" s="10"/>
      <c r="AQ587" s="10"/>
    </row>
    <row r="588">
      <c r="A588" s="10"/>
      <c r="B588" s="101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33"/>
      <c r="AM588" s="33"/>
      <c r="AN588" s="33"/>
      <c r="AO588" s="10"/>
      <c r="AP588" s="10"/>
      <c r="AQ588" s="10"/>
    </row>
    <row r="589">
      <c r="A589" s="10"/>
      <c r="B589" s="101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33"/>
      <c r="AM589" s="33"/>
      <c r="AN589" s="33"/>
      <c r="AO589" s="10"/>
      <c r="AP589" s="10"/>
      <c r="AQ589" s="10"/>
    </row>
    <row r="590">
      <c r="A590" s="10"/>
      <c r="B590" s="101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33"/>
      <c r="AM590" s="33"/>
      <c r="AN590" s="33"/>
      <c r="AO590" s="10"/>
      <c r="AP590" s="10"/>
      <c r="AQ590" s="10"/>
    </row>
    <row r="591">
      <c r="A591" s="10"/>
      <c r="B591" s="101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33"/>
      <c r="AM591" s="33"/>
      <c r="AN591" s="33"/>
      <c r="AO591" s="10"/>
      <c r="AP591" s="10"/>
      <c r="AQ591" s="10"/>
    </row>
    <row r="592">
      <c r="A592" s="10"/>
      <c r="B592" s="101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33"/>
      <c r="AM592" s="33"/>
      <c r="AN592" s="33"/>
      <c r="AO592" s="10"/>
      <c r="AP592" s="10"/>
      <c r="AQ592" s="10"/>
    </row>
    <row r="593">
      <c r="A593" s="10"/>
      <c r="B593" s="101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33"/>
      <c r="AM593" s="33"/>
      <c r="AN593" s="33"/>
      <c r="AO593" s="10"/>
      <c r="AP593" s="10"/>
      <c r="AQ593" s="10"/>
    </row>
    <row r="594">
      <c r="A594" s="10"/>
      <c r="B594" s="101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33"/>
      <c r="AM594" s="33"/>
      <c r="AN594" s="33"/>
      <c r="AO594" s="10"/>
      <c r="AP594" s="10"/>
      <c r="AQ594" s="10"/>
    </row>
    <row r="595">
      <c r="A595" s="10"/>
      <c r="B595" s="101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33"/>
      <c r="AM595" s="33"/>
      <c r="AN595" s="33"/>
      <c r="AO595" s="10"/>
      <c r="AP595" s="10"/>
      <c r="AQ595" s="10"/>
    </row>
    <row r="596">
      <c r="A596" s="10"/>
      <c r="B596" s="101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33"/>
      <c r="AM596" s="33"/>
      <c r="AN596" s="33"/>
      <c r="AO596" s="10"/>
      <c r="AP596" s="10"/>
      <c r="AQ596" s="10"/>
    </row>
    <row r="597">
      <c r="A597" s="10"/>
      <c r="B597" s="101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33"/>
      <c r="AM597" s="33"/>
      <c r="AN597" s="33"/>
      <c r="AO597" s="10"/>
      <c r="AP597" s="10"/>
      <c r="AQ597" s="10"/>
    </row>
    <row r="598">
      <c r="A598" s="10"/>
      <c r="B598" s="101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33"/>
      <c r="AM598" s="33"/>
      <c r="AN598" s="33"/>
      <c r="AO598" s="10"/>
      <c r="AP598" s="10"/>
      <c r="AQ598" s="10"/>
    </row>
    <row r="599">
      <c r="A599" s="10"/>
      <c r="B599" s="101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33"/>
      <c r="AM599" s="33"/>
      <c r="AN599" s="33"/>
      <c r="AO599" s="10"/>
      <c r="AP599" s="10"/>
      <c r="AQ599" s="10"/>
    </row>
    <row r="600">
      <c r="A600" s="10"/>
      <c r="B600" s="101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33"/>
      <c r="AM600" s="33"/>
      <c r="AN600" s="33"/>
      <c r="AO600" s="10"/>
      <c r="AP600" s="10"/>
      <c r="AQ600" s="10"/>
    </row>
    <row r="601">
      <c r="A601" s="10"/>
      <c r="B601" s="101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33"/>
      <c r="AM601" s="33"/>
      <c r="AN601" s="33"/>
      <c r="AO601" s="10"/>
      <c r="AP601" s="10"/>
      <c r="AQ601" s="10"/>
    </row>
    <row r="602">
      <c r="A602" s="10"/>
      <c r="B602" s="101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33"/>
      <c r="AM602" s="33"/>
      <c r="AN602" s="33"/>
      <c r="AO602" s="10"/>
      <c r="AP602" s="10"/>
      <c r="AQ602" s="10"/>
    </row>
    <row r="603">
      <c r="A603" s="10"/>
      <c r="B603" s="101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33"/>
      <c r="AM603" s="33"/>
      <c r="AN603" s="33"/>
      <c r="AO603" s="10"/>
      <c r="AP603" s="10"/>
      <c r="AQ603" s="10"/>
    </row>
    <row r="604">
      <c r="A604" s="10"/>
      <c r="B604" s="101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33"/>
      <c r="AM604" s="33"/>
      <c r="AN604" s="33"/>
      <c r="AO604" s="10"/>
      <c r="AP604" s="10"/>
      <c r="AQ604" s="10"/>
    </row>
    <row r="605">
      <c r="A605" s="10"/>
      <c r="B605" s="101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33"/>
      <c r="AM605" s="33"/>
      <c r="AN605" s="33"/>
      <c r="AO605" s="10"/>
      <c r="AP605" s="10"/>
      <c r="AQ605" s="10"/>
    </row>
    <row r="606">
      <c r="A606" s="10"/>
      <c r="B606" s="101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33"/>
      <c r="AM606" s="33"/>
      <c r="AN606" s="33"/>
      <c r="AO606" s="10"/>
      <c r="AP606" s="10"/>
      <c r="AQ606" s="10"/>
    </row>
    <row r="607">
      <c r="A607" s="10"/>
      <c r="B607" s="101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33"/>
      <c r="AM607" s="33"/>
      <c r="AN607" s="33"/>
      <c r="AO607" s="10"/>
      <c r="AP607" s="10"/>
      <c r="AQ607" s="10"/>
    </row>
    <row r="608">
      <c r="A608" s="10"/>
      <c r="B608" s="101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33"/>
      <c r="AM608" s="33"/>
      <c r="AN608" s="33"/>
      <c r="AO608" s="10"/>
      <c r="AP608" s="10"/>
      <c r="AQ608" s="10"/>
    </row>
    <row r="609">
      <c r="A609" s="10"/>
      <c r="B609" s="101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33"/>
      <c r="AM609" s="33"/>
      <c r="AN609" s="33"/>
      <c r="AO609" s="10"/>
      <c r="AP609" s="10"/>
      <c r="AQ609" s="10"/>
    </row>
    <row r="610">
      <c r="A610" s="10"/>
      <c r="B610" s="101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33"/>
      <c r="AM610" s="33"/>
      <c r="AN610" s="33"/>
      <c r="AO610" s="10"/>
      <c r="AP610" s="10"/>
      <c r="AQ610" s="10"/>
    </row>
    <row r="611">
      <c r="A611" s="10"/>
      <c r="B611" s="101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33"/>
      <c r="AM611" s="33"/>
      <c r="AN611" s="33"/>
      <c r="AO611" s="10"/>
      <c r="AP611" s="10"/>
      <c r="AQ611" s="10"/>
    </row>
    <row r="612">
      <c r="A612" s="10"/>
      <c r="B612" s="101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33"/>
      <c r="AM612" s="33"/>
      <c r="AN612" s="33"/>
      <c r="AO612" s="10"/>
      <c r="AP612" s="10"/>
      <c r="AQ612" s="10"/>
    </row>
    <row r="613">
      <c r="A613" s="10"/>
      <c r="B613" s="101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33"/>
      <c r="AM613" s="33"/>
      <c r="AN613" s="33"/>
      <c r="AO613" s="10"/>
      <c r="AP613" s="10"/>
      <c r="AQ613" s="10"/>
    </row>
    <row r="614">
      <c r="A614" s="10"/>
      <c r="B614" s="101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33"/>
      <c r="AM614" s="33"/>
      <c r="AN614" s="33"/>
      <c r="AO614" s="10"/>
      <c r="AP614" s="10"/>
      <c r="AQ614" s="10"/>
    </row>
    <row r="615">
      <c r="A615" s="10"/>
      <c r="B615" s="101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33"/>
      <c r="AM615" s="33"/>
      <c r="AN615" s="33"/>
      <c r="AO615" s="10"/>
      <c r="AP615" s="10"/>
      <c r="AQ615" s="10"/>
    </row>
    <row r="616">
      <c r="A616" s="10"/>
      <c r="B616" s="101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33"/>
      <c r="AM616" s="33"/>
      <c r="AN616" s="33"/>
      <c r="AO616" s="10"/>
      <c r="AP616" s="10"/>
      <c r="AQ616" s="10"/>
    </row>
    <row r="617">
      <c r="A617" s="10"/>
      <c r="B617" s="101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33"/>
      <c r="AM617" s="33"/>
      <c r="AN617" s="33"/>
      <c r="AO617" s="10"/>
      <c r="AP617" s="10"/>
      <c r="AQ617" s="10"/>
    </row>
    <row r="618">
      <c r="A618" s="10"/>
      <c r="B618" s="101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33"/>
      <c r="AM618" s="33"/>
      <c r="AN618" s="33"/>
      <c r="AO618" s="10"/>
      <c r="AP618" s="10"/>
      <c r="AQ618" s="10"/>
    </row>
    <row r="619">
      <c r="A619" s="10"/>
      <c r="B619" s="101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33"/>
      <c r="AM619" s="33"/>
      <c r="AN619" s="33"/>
      <c r="AO619" s="10"/>
      <c r="AP619" s="10"/>
      <c r="AQ619" s="10"/>
    </row>
    <row r="620">
      <c r="A620" s="10"/>
      <c r="B620" s="101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33"/>
      <c r="AM620" s="33"/>
      <c r="AN620" s="33"/>
      <c r="AO620" s="10"/>
      <c r="AP620" s="10"/>
      <c r="AQ620" s="10"/>
    </row>
    <row r="621">
      <c r="A621" s="10"/>
      <c r="B621" s="101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33"/>
      <c r="AM621" s="33"/>
      <c r="AN621" s="33"/>
      <c r="AO621" s="10"/>
      <c r="AP621" s="10"/>
      <c r="AQ621" s="10"/>
    </row>
    <row r="622">
      <c r="A622" s="10"/>
      <c r="B622" s="101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33"/>
      <c r="AM622" s="33"/>
      <c r="AN622" s="33"/>
      <c r="AO622" s="10"/>
      <c r="AP622" s="10"/>
      <c r="AQ622" s="10"/>
    </row>
    <row r="623">
      <c r="A623" s="10"/>
      <c r="B623" s="101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33"/>
      <c r="AM623" s="33"/>
      <c r="AN623" s="33"/>
      <c r="AO623" s="10"/>
      <c r="AP623" s="10"/>
      <c r="AQ623" s="10"/>
    </row>
    <row r="624">
      <c r="A624" s="10"/>
      <c r="B624" s="101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33"/>
      <c r="AM624" s="33"/>
      <c r="AN624" s="33"/>
      <c r="AO624" s="10"/>
      <c r="AP624" s="10"/>
      <c r="AQ624" s="10"/>
    </row>
    <row r="625">
      <c r="A625" s="10"/>
      <c r="B625" s="101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33"/>
      <c r="AM625" s="33"/>
      <c r="AN625" s="33"/>
      <c r="AO625" s="10"/>
      <c r="AP625" s="10"/>
      <c r="AQ625" s="10"/>
    </row>
    <row r="626">
      <c r="A626" s="10"/>
      <c r="B626" s="101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33"/>
      <c r="AM626" s="33"/>
      <c r="AN626" s="33"/>
      <c r="AO626" s="10"/>
      <c r="AP626" s="10"/>
      <c r="AQ626" s="10"/>
    </row>
    <row r="627">
      <c r="A627" s="10"/>
      <c r="B627" s="101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33"/>
      <c r="AM627" s="33"/>
      <c r="AN627" s="33"/>
      <c r="AO627" s="10"/>
      <c r="AP627" s="10"/>
      <c r="AQ627" s="10"/>
    </row>
    <row r="628">
      <c r="A628" s="10"/>
      <c r="B628" s="101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33"/>
      <c r="AM628" s="33"/>
      <c r="AN628" s="33"/>
      <c r="AO628" s="10"/>
      <c r="AP628" s="10"/>
      <c r="AQ628" s="10"/>
    </row>
    <row r="629">
      <c r="A629" s="10"/>
      <c r="B629" s="101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33"/>
      <c r="AM629" s="33"/>
      <c r="AN629" s="33"/>
      <c r="AO629" s="10"/>
      <c r="AP629" s="10"/>
      <c r="AQ629" s="10"/>
    </row>
    <row r="630">
      <c r="A630" s="10"/>
      <c r="B630" s="101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33"/>
      <c r="AM630" s="33"/>
      <c r="AN630" s="33"/>
      <c r="AO630" s="10"/>
      <c r="AP630" s="10"/>
      <c r="AQ630" s="10"/>
    </row>
    <row r="631">
      <c r="A631" s="10"/>
      <c r="B631" s="101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33"/>
      <c r="AM631" s="33"/>
      <c r="AN631" s="33"/>
      <c r="AO631" s="10"/>
      <c r="AP631" s="10"/>
      <c r="AQ631" s="10"/>
    </row>
    <row r="632">
      <c r="A632" s="10"/>
      <c r="B632" s="101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33"/>
      <c r="AM632" s="33"/>
      <c r="AN632" s="33"/>
      <c r="AO632" s="10"/>
      <c r="AP632" s="10"/>
      <c r="AQ632" s="10"/>
    </row>
    <row r="633">
      <c r="A633" s="10"/>
      <c r="B633" s="101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33"/>
      <c r="AM633" s="33"/>
      <c r="AN633" s="33"/>
      <c r="AO633" s="10"/>
      <c r="AP633" s="10"/>
      <c r="AQ633" s="10"/>
    </row>
    <row r="634">
      <c r="A634" s="10"/>
      <c r="B634" s="101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33"/>
      <c r="AM634" s="33"/>
      <c r="AN634" s="33"/>
      <c r="AO634" s="10"/>
      <c r="AP634" s="10"/>
      <c r="AQ634" s="10"/>
    </row>
    <row r="635">
      <c r="A635" s="10"/>
      <c r="B635" s="101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33"/>
      <c r="AM635" s="33"/>
      <c r="AN635" s="33"/>
      <c r="AO635" s="10"/>
      <c r="AP635" s="10"/>
      <c r="AQ635" s="10"/>
    </row>
    <row r="636">
      <c r="A636" s="10"/>
      <c r="B636" s="101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33"/>
      <c r="AM636" s="33"/>
      <c r="AN636" s="33"/>
      <c r="AO636" s="10"/>
      <c r="AP636" s="10"/>
      <c r="AQ636" s="10"/>
    </row>
    <row r="637">
      <c r="A637" s="10"/>
      <c r="B637" s="101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33"/>
      <c r="AM637" s="33"/>
      <c r="AN637" s="33"/>
      <c r="AO637" s="10"/>
      <c r="AP637" s="10"/>
      <c r="AQ637" s="10"/>
    </row>
    <row r="638">
      <c r="A638" s="10"/>
      <c r="B638" s="101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33"/>
      <c r="AM638" s="33"/>
      <c r="AN638" s="33"/>
      <c r="AO638" s="10"/>
      <c r="AP638" s="10"/>
      <c r="AQ638" s="10"/>
    </row>
    <row r="639">
      <c r="A639" s="10"/>
      <c r="B639" s="101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33"/>
      <c r="AM639" s="33"/>
      <c r="AN639" s="33"/>
      <c r="AO639" s="10"/>
      <c r="AP639" s="10"/>
      <c r="AQ639" s="10"/>
    </row>
    <row r="640">
      <c r="A640" s="10"/>
      <c r="B640" s="101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33"/>
      <c r="AM640" s="33"/>
      <c r="AN640" s="33"/>
      <c r="AO640" s="10"/>
      <c r="AP640" s="10"/>
      <c r="AQ640" s="10"/>
    </row>
    <row r="641">
      <c r="A641" s="10"/>
      <c r="B641" s="101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33"/>
      <c r="AM641" s="33"/>
      <c r="AN641" s="33"/>
      <c r="AO641" s="10"/>
      <c r="AP641" s="10"/>
      <c r="AQ641" s="10"/>
    </row>
    <row r="642">
      <c r="A642" s="10"/>
      <c r="B642" s="101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33"/>
      <c r="AM642" s="33"/>
      <c r="AN642" s="33"/>
      <c r="AO642" s="10"/>
      <c r="AP642" s="10"/>
      <c r="AQ642" s="10"/>
    </row>
    <row r="643">
      <c r="A643" s="10"/>
      <c r="B643" s="101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33"/>
      <c r="AM643" s="33"/>
      <c r="AN643" s="33"/>
      <c r="AO643" s="10"/>
      <c r="AP643" s="10"/>
      <c r="AQ643" s="10"/>
    </row>
    <row r="644">
      <c r="A644" s="10"/>
      <c r="B644" s="101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33"/>
      <c r="AM644" s="33"/>
      <c r="AN644" s="33"/>
      <c r="AO644" s="10"/>
      <c r="AP644" s="10"/>
      <c r="AQ644" s="10"/>
    </row>
    <row r="645">
      <c r="A645" s="10"/>
      <c r="B645" s="101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33"/>
      <c r="AM645" s="33"/>
      <c r="AN645" s="33"/>
      <c r="AO645" s="10"/>
      <c r="AP645" s="10"/>
      <c r="AQ645" s="10"/>
    </row>
    <row r="646">
      <c r="A646" s="10"/>
      <c r="B646" s="101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33"/>
      <c r="AM646" s="33"/>
      <c r="AN646" s="33"/>
      <c r="AO646" s="10"/>
      <c r="AP646" s="10"/>
      <c r="AQ646" s="10"/>
    </row>
    <row r="647">
      <c r="A647" s="10"/>
      <c r="B647" s="101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33"/>
      <c r="AM647" s="33"/>
      <c r="AN647" s="33"/>
      <c r="AO647" s="10"/>
      <c r="AP647" s="10"/>
      <c r="AQ647" s="10"/>
    </row>
    <row r="648">
      <c r="A648" s="10"/>
      <c r="B648" s="101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33"/>
      <c r="AM648" s="33"/>
      <c r="AN648" s="33"/>
      <c r="AO648" s="10"/>
      <c r="AP648" s="10"/>
      <c r="AQ648" s="10"/>
    </row>
    <row r="649">
      <c r="A649" s="10"/>
      <c r="B649" s="101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33"/>
      <c r="AM649" s="33"/>
      <c r="AN649" s="33"/>
      <c r="AO649" s="10"/>
      <c r="AP649" s="10"/>
      <c r="AQ649" s="10"/>
    </row>
    <row r="650">
      <c r="A650" s="10"/>
      <c r="B650" s="101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33"/>
      <c r="AM650" s="33"/>
      <c r="AN650" s="33"/>
      <c r="AO650" s="10"/>
      <c r="AP650" s="10"/>
      <c r="AQ650" s="10"/>
    </row>
    <row r="651">
      <c r="A651" s="10"/>
      <c r="B651" s="101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33"/>
      <c r="AM651" s="33"/>
      <c r="AN651" s="33"/>
      <c r="AO651" s="10"/>
      <c r="AP651" s="10"/>
      <c r="AQ651" s="10"/>
    </row>
    <row r="652">
      <c r="A652" s="10"/>
      <c r="B652" s="101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33"/>
      <c r="AM652" s="33"/>
      <c r="AN652" s="33"/>
      <c r="AO652" s="10"/>
      <c r="AP652" s="10"/>
      <c r="AQ652" s="10"/>
    </row>
    <row r="653">
      <c r="A653" s="10"/>
      <c r="B653" s="101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33"/>
      <c r="AM653" s="33"/>
      <c r="AN653" s="33"/>
      <c r="AO653" s="10"/>
      <c r="AP653" s="10"/>
      <c r="AQ653" s="10"/>
    </row>
    <row r="654">
      <c r="A654" s="10"/>
      <c r="B654" s="101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33"/>
      <c r="AM654" s="33"/>
      <c r="AN654" s="33"/>
      <c r="AO654" s="10"/>
      <c r="AP654" s="10"/>
      <c r="AQ654" s="10"/>
    </row>
    <row r="655">
      <c r="A655" s="10"/>
      <c r="B655" s="101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33"/>
      <c r="AM655" s="33"/>
      <c r="AN655" s="33"/>
      <c r="AO655" s="10"/>
      <c r="AP655" s="10"/>
      <c r="AQ655" s="10"/>
    </row>
    <row r="656">
      <c r="A656" s="10"/>
      <c r="B656" s="101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33"/>
      <c r="AM656" s="33"/>
      <c r="AN656" s="33"/>
      <c r="AO656" s="10"/>
      <c r="AP656" s="10"/>
      <c r="AQ656" s="10"/>
    </row>
    <row r="657">
      <c r="A657" s="10"/>
      <c r="B657" s="101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33"/>
      <c r="AM657" s="33"/>
      <c r="AN657" s="33"/>
      <c r="AO657" s="10"/>
      <c r="AP657" s="10"/>
      <c r="AQ657" s="10"/>
    </row>
    <row r="658">
      <c r="A658" s="10"/>
      <c r="B658" s="101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33"/>
      <c r="AM658" s="33"/>
      <c r="AN658" s="33"/>
      <c r="AO658" s="10"/>
      <c r="AP658" s="10"/>
      <c r="AQ658" s="10"/>
    </row>
    <row r="659">
      <c r="A659" s="10"/>
      <c r="B659" s="101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33"/>
      <c r="AM659" s="33"/>
      <c r="AN659" s="33"/>
      <c r="AO659" s="10"/>
      <c r="AP659" s="10"/>
      <c r="AQ659" s="10"/>
    </row>
    <row r="660">
      <c r="A660" s="10"/>
      <c r="B660" s="101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33"/>
      <c r="AM660" s="33"/>
      <c r="AN660" s="33"/>
      <c r="AO660" s="10"/>
      <c r="AP660" s="10"/>
      <c r="AQ660" s="10"/>
    </row>
    <row r="661">
      <c r="A661" s="10"/>
      <c r="B661" s="101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33"/>
      <c r="AM661" s="33"/>
      <c r="AN661" s="33"/>
      <c r="AO661" s="10"/>
      <c r="AP661" s="10"/>
      <c r="AQ661" s="10"/>
    </row>
    <row r="662">
      <c r="A662" s="10"/>
      <c r="B662" s="101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33"/>
      <c r="AM662" s="33"/>
      <c r="AN662" s="33"/>
      <c r="AO662" s="10"/>
      <c r="AP662" s="10"/>
      <c r="AQ662" s="10"/>
    </row>
    <row r="663">
      <c r="A663" s="10"/>
      <c r="B663" s="101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33"/>
      <c r="AM663" s="33"/>
      <c r="AN663" s="33"/>
      <c r="AO663" s="10"/>
      <c r="AP663" s="10"/>
      <c r="AQ663" s="10"/>
    </row>
    <row r="664">
      <c r="A664" s="10"/>
      <c r="B664" s="101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33"/>
      <c r="AM664" s="33"/>
      <c r="AN664" s="33"/>
      <c r="AO664" s="10"/>
      <c r="AP664" s="10"/>
      <c r="AQ664" s="10"/>
    </row>
    <row r="665">
      <c r="A665" s="10"/>
      <c r="B665" s="101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33"/>
      <c r="AM665" s="33"/>
      <c r="AN665" s="33"/>
      <c r="AO665" s="10"/>
      <c r="AP665" s="10"/>
      <c r="AQ665" s="10"/>
    </row>
    <row r="666">
      <c r="A666" s="10"/>
      <c r="B666" s="101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33"/>
      <c r="AM666" s="33"/>
      <c r="AN666" s="33"/>
      <c r="AO666" s="10"/>
      <c r="AP666" s="10"/>
      <c r="AQ666" s="10"/>
    </row>
    <row r="667">
      <c r="A667" s="10"/>
      <c r="B667" s="101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33"/>
      <c r="AM667" s="33"/>
      <c r="AN667" s="33"/>
      <c r="AO667" s="10"/>
      <c r="AP667" s="10"/>
      <c r="AQ667" s="10"/>
    </row>
    <row r="668">
      <c r="A668" s="10"/>
      <c r="B668" s="101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33"/>
      <c r="AM668" s="33"/>
      <c r="AN668" s="33"/>
      <c r="AO668" s="10"/>
      <c r="AP668" s="10"/>
      <c r="AQ668" s="10"/>
    </row>
    <row r="669">
      <c r="A669" s="10"/>
      <c r="B669" s="101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33"/>
      <c r="AM669" s="33"/>
      <c r="AN669" s="33"/>
      <c r="AO669" s="10"/>
      <c r="AP669" s="10"/>
      <c r="AQ669" s="10"/>
    </row>
    <row r="670">
      <c r="A670" s="10"/>
      <c r="B670" s="101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33"/>
      <c r="AM670" s="33"/>
      <c r="AN670" s="33"/>
      <c r="AO670" s="10"/>
      <c r="AP670" s="10"/>
      <c r="AQ670" s="10"/>
    </row>
    <row r="671">
      <c r="A671" s="10"/>
      <c r="B671" s="101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33"/>
      <c r="AM671" s="33"/>
      <c r="AN671" s="33"/>
      <c r="AO671" s="10"/>
      <c r="AP671" s="10"/>
      <c r="AQ671" s="10"/>
    </row>
    <row r="672">
      <c r="A672" s="10"/>
      <c r="B672" s="101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33"/>
      <c r="AM672" s="33"/>
      <c r="AN672" s="33"/>
      <c r="AO672" s="10"/>
      <c r="AP672" s="10"/>
      <c r="AQ672" s="10"/>
    </row>
    <row r="673">
      <c r="A673" s="10"/>
      <c r="B673" s="101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33"/>
      <c r="AM673" s="33"/>
      <c r="AN673" s="33"/>
      <c r="AO673" s="10"/>
      <c r="AP673" s="10"/>
      <c r="AQ673" s="10"/>
    </row>
    <row r="674">
      <c r="A674" s="10"/>
      <c r="B674" s="101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33"/>
      <c r="AM674" s="33"/>
      <c r="AN674" s="33"/>
      <c r="AO674" s="10"/>
      <c r="AP674" s="10"/>
      <c r="AQ674" s="10"/>
    </row>
    <row r="675">
      <c r="A675" s="10"/>
      <c r="B675" s="101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33"/>
      <c r="AM675" s="33"/>
      <c r="AN675" s="33"/>
      <c r="AO675" s="10"/>
      <c r="AP675" s="10"/>
      <c r="AQ675" s="10"/>
    </row>
    <row r="676">
      <c r="A676" s="10"/>
      <c r="B676" s="101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33"/>
      <c r="AM676" s="33"/>
      <c r="AN676" s="33"/>
      <c r="AO676" s="10"/>
      <c r="AP676" s="10"/>
      <c r="AQ676" s="10"/>
    </row>
    <row r="677">
      <c r="A677" s="10"/>
      <c r="B677" s="101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33"/>
      <c r="AM677" s="33"/>
      <c r="AN677" s="33"/>
      <c r="AO677" s="10"/>
      <c r="AP677" s="10"/>
      <c r="AQ677" s="10"/>
    </row>
    <row r="678">
      <c r="A678" s="10"/>
      <c r="B678" s="101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33"/>
      <c r="AM678" s="33"/>
      <c r="AN678" s="33"/>
      <c r="AO678" s="10"/>
      <c r="AP678" s="10"/>
      <c r="AQ678" s="10"/>
    </row>
    <row r="679">
      <c r="A679" s="10"/>
      <c r="B679" s="101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33"/>
      <c r="AM679" s="33"/>
      <c r="AN679" s="33"/>
      <c r="AO679" s="10"/>
      <c r="AP679" s="10"/>
      <c r="AQ679" s="10"/>
    </row>
    <row r="680">
      <c r="A680" s="10"/>
      <c r="B680" s="101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33"/>
      <c r="AM680" s="33"/>
      <c r="AN680" s="33"/>
      <c r="AO680" s="10"/>
      <c r="AP680" s="10"/>
      <c r="AQ680" s="10"/>
    </row>
    <row r="681">
      <c r="A681" s="10"/>
      <c r="B681" s="101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33"/>
      <c r="AM681" s="33"/>
      <c r="AN681" s="33"/>
      <c r="AO681" s="10"/>
      <c r="AP681" s="10"/>
      <c r="AQ681" s="10"/>
    </row>
    <row r="682">
      <c r="A682" s="10"/>
      <c r="B682" s="101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33"/>
      <c r="AM682" s="33"/>
      <c r="AN682" s="33"/>
      <c r="AO682" s="10"/>
      <c r="AP682" s="10"/>
      <c r="AQ682" s="10"/>
    </row>
    <row r="683">
      <c r="A683" s="10"/>
      <c r="B683" s="101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33"/>
      <c r="AM683" s="33"/>
      <c r="AN683" s="33"/>
      <c r="AO683" s="10"/>
      <c r="AP683" s="10"/>
      <c r="AQ683" s="10"/>
    </row>
    <row r="684">
      <c r="A684" s="10"/>
      <c r="B684" s="101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33"/>
      <c r="AM684" s="33"/>
      <c r="AN684" s="33"/>
      <c r="AO684" s="10"/>
      <c r="AP684" s="10"/>
      <c r="AQ684" s="10"/>
    </row>
    <row r="685">
      <c r="A685" s="10"/>
      <c r="B685" s="101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33"/>
      <c r="AM685" s="33"/>
      <c r="AN685" s="33"/>
      <c r="AO685" s="10"/>
      <c r="AP685" s="10"/>
      <c r="AQ685" s="10"/>
    </row>
    <row r="686">
      <c r="A686" s="10"/>
      <c r="B686" s="101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33"/>
      <c r="AM686" s="33"/>
      <c r="AN686" s="33"/>
      <c r="AO686" s="10"/>
      <c r="AP686" s="10"/>
      <c r="AQ686" s="10"/>
    </row>
    <row r="687">
      <c r="A687" s="10"/>
      <c r="B687" s="101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33"/>
      <c r="AM687" s="33"/>
      <c r="AN687" s="33"/>
      <c r="AO687" s="10"/>
      <c r="AP687" s="10"/>
      <c r="AQ687" s="10"/>
    </row>
    <row r="688">
      <c r="A688" s="10"/>
      <c r="B688" s="101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33"/>
      <c r="AM688" s="33"/>
      <c r="AN688" s="33"/>
      <c r="AO688" s="10"/>
      <c r="AP688" s="10"/>
      <c r="AQ688" s="10"/>
    </row>
    <row r="689">
      <c r="A689" s="10"/>
      <c r="B689" s="101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33"/>
      <c r="AM689" s="33"/>
      <c r="AN689" s="33"/>
      <c r="AO689" s="10"/>
      <c r="AP689" s="10"/>
      <c r="AQ689" s="10"/>
    </row>
    <row r="690">
      <c r="A690" s="10"/>
      <c r="B690" s="101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33"/>
      <c r="AM690" s="33"/>
      <c r="AN690" s="33"/>
      <c r="AO690" s="10"/>
      <c r="AP690" s="10"/>
      <c r="AQ690" s="10"/>
    </row>
    <row r="691">
      <c r="A691" s="10"/>
      <c r="B691" s="101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33"/>
      <c r="AM691" s="33"/>
      <c r="AN691" s="33"/>
      <c r="AO691" s="10"/>
      <c r="AP691" s="10"/>
      <c r="AQ691" s="10"/>
    </row>
    <row r="692">
      <c r="A692" s="10"/>
      <c r="B692" s="101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33"/>
      <c r="AM692" s="33"/>
      <c r="AN692" s="33"/>
      <c r="AO692" s="10"/>
      <c r="AP692" s="10"/>
      <c r="AQ692" s="10"/>
    </row>
    <row r="693">
      <c r="A693" s="10"/>
      <c r="B693" s="101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33"/>
      <c r="AM693" s="33"/>
      <c r="AN693" s="33"/>
      <c r="AO693" s="10"/>
      <c r="AP693" s="10"/>
      <c r="AQ693" s="10"/>
    </row>
    <row r="694">
      <c r="A694" s="10"/>
      <c r="B694" s="101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33"/>
      <c r="AM694" s="33"/>
      <c r="AN694" s="33"/>
      <c r="AO694" s="10"/>
      <c r="AP694" s="10"/>
      <c r="AQ694" s="10"/>
    </row>
    <row r="695">
      <c r="A695" s="10"/>
      <c r="B695" s="101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33"/>
      <c r="AM695" s="33"/>
      <c r="AN695" s="33"/>
      <c r="AO695" s="10"/>
      <c r="AP695" s="10"/>
      <c r="AQ695" s="10"/>
    </row>
    <row r="696">
      <c r="A696" s="10"/>
      <c r="B696" s="101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33"/>
      <c r="AM696" s="33"/>
      <c r="AN696" s="33"/>
      <c r="AO696" s="10"/>
      <c r="AP696" s="10"/>
      <c r="AQ696" s="10"/>
    </row>
    <row r="697">
      <c r="A697" s="10"/>
      <c r="B697" s="101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33"/>
      <c r="AM697" s="33"/>
      <c r="AN697" s="33"/>
      <c r="AO697" s="10"/>
      <c r="AP697" s="10"/>
      <c r="AQ697" s="10"/>
    </row>
    <row r="698">
      <c r="A698" s="10"/>
      <c r="B698" s="101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33"/>
      <c r="AM698" s="33"/>
      <c r="AN698" s="33"/>
      <c r="AO698" s="10"/>
      <c r="AP698" s="10"/>
      <c r="AQ698" s="10"/>
    </row>
    <row r="699">
      <c r="A699" s="10"/>
      <c r="B699" s="101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33"/>
      <c r="AM699" s="33"/>
      <c r="AN699" s="33"/>
      <c r="AO699" s="10"/>
      <c r="AP699" s="10"/>
      <c r="AQ699" s="10"/>
    </row>
    <row r="700">
      <c r="A700" s="10"/>
      <c r="B700" s="101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33"/>
      <c r="AM700" s="33"/>
      <c r="AN700" s="33"/>
      <c r="AO700" s="10"/>
      <c r="AP700" s="10"/>
      <c r="AQ700" s="10"/>
    </row>
    <row r="701">
      <c r="A701" s="10"/>
      <c r="B701" s="101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33"/>
      <c r="AM701" s="33"/>
      <c r="AN701" s="33"/>
      <c r="AO701" s="10"/>
      <c r="AP701" s="10"/>
      <c r="AQ701" s="10"/>
    </row>
    <row r="702">
      <c r="A702" s="10"/>
      <c r="B702" s="101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33"/>
      <c r="AM702" s="33"/>
      <c r="AN702" s="33"/>
      <c r="AO702" s="10"/>
      <c r="AP702" s="10"/>
      <c r="AQ702" s="10"/>
    </row>
    <row r="703">
      <c r="A703" s="10"/>
      <c r="B703" s="101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33"/>
      <c r="AM703" s="33"/>
      <c r="AN703" s="33"/>
      <c r="AO703" s="10"/>
      <c r="AP703" s="10"/>
      <c r="AQ703" s="10"/>
    </row>
    <row r="704">
      <c r="A704" s="10"/>
      <c r="B704" s="101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33"/>
      <c r="AM704" s="33"/>
      <c r="AN704" s="33"/>
      <c r="AO704" s="10"/>
      <c r="AP704" s="10"/>
      <c r="AQ704" s="10"/>
    </row>
    <row r="705">
      <c r="A705" s="10"/>
      <c r="B705" s="101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33"/>
      <c r="AM705" s="33"/>
      <c r="AN705" s="33"/>
      <c r="AO705" s="10"/>
      <c r="AP705" s="10"/>
      <c r="AQ705" s="10"/>
    </row>
    <row r="706">
      <c r="A706" s="10"/>
      <c r="B706" s="101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33"/>
      <c r="AM706" s="33"/>
      <c r="AN706" s="33"/>
      <c r="AO706" s="10"/>
      <c r="AP706" s="10"/>
      <c r="AQ706" s="10"/>
    </row>
    <row r="707">
      <c r="A707" s="10"/>
      <c r="B707" s="101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33"/>
      <c r="AM707" s="33"/>
      <c r="AN707" s="33"/>
      <c r="AO707" s="10"/>
      <c r="AP707" s="10"/>
      <c r="AQ707" s="10"/>
    </row>
    <row r="708">
      <c r="A708" s="10"/>
      <c r="B708" s="101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33"/>
      <c r="AM708" s="33"/>
      <c r="AN708" s="33"/>
      <c r="AO708" s="10"/>
      <c r="AP708" s="10"/>
      <c r="AQ708" s="10"/>
    </row>
    <row r="709">
      <c r="A709" s="10"/>
      <c r="B709" s="101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33"/>
      <c r="AM709" s="33"/>
      <c r="AN709" s="33"/>
      <c r="AO709" s="10"/>
      <c r="AP709" s="10"/>
      <c r="AQ709" s="10"/>
    </row>
    <row r="710">
      <c r="A710" s="10"/>
      <c r="B710" s="101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33"/>
      <c r="AM710" s="33"/>
      <c r="AN710" s="33"/>
      <c r="AO710" s="10"/>
      <c r="AP710" s="10"/>
      <c r="AQ710" s="10"/>
    </row>
    <row r="711">
      <c r="A711" s="10"/>
      <c r="B711" s="101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33"/>
      <c r="AM711" s="33"/>
      <c r="AN711" s="33"/>
      <c r="AO711" s="10"/>
      <c r="AP711" s="10"/>
      <c r="AQ711" s="10"/>
    </row>
    <row r="712">
      <c r="A712" s="10"/>
      <c r="B712" s="101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33"/>
      <c r="AM712" s="33"/>
      <c r="AN712" s="33"/>
      <c r="AO712" s="10"/>
      <c r="AP712" s="10"/>
      <c r="AQ712" s="10"/>
    </row>
    <row r="713">
      <c r="A713" s="10"/>
      <c r="B713" s="101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33"/>
      <c r="AM713" s="33"/>
      <c r="AN713" s="33"/>
      <c r="AO713" s="10"/>
      <c r="AP713" s="10"/>
      <c r="AQ713" s="10"/>
    </row>
    <row r="714">
      <c r="A714" s="10"/>
      <c r="B714" s="101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33"/>
      <c r="AM714" s="33"/>
      <c r="AN714" s="33"/>
      <c r="AO714" s="10"/>
      <c r="AP714" s="10"/>
      <c r="AQ714" s="10"/>
    </row>
    <row r="715">
      <c r="A715" s="10"/>
      <c r="B715" s="101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33"/>
      <c r="AM715" s="33"/>
      <c r="AN715" s="33"/>
      <c r="AO715" s="10"/>
      <c r="AP715" s="10"/>
      <c r="AQ715" s="10"/>
    </row>
    <row r="716">
      <c r="A716" s="10"/>
      <c r="B716" s="101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33"/>
      <c r="AM716" s="33"/>
      <c r="AN716" s="33"/>
      <c r="AO716" s="10"/>
      <c r="AP716" s="10"/>
      <c r="AQ716" s="10"/>
    </row>
    <row r="717">
      <c r="A717" s="10"/>
      <c r="B717" s="101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33"/>
      <c r="AM717" s="33"/>
      <c r="AN717" s="33"/>
      <c r="AO717" s="10"/>
      <c r="AP717" s="10"/>
      <c r="AQ717" s="10"/>
    </row>
    <row r="718">
      <c r="A718" s="10"/>
      <c r="B718" s="101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33"/>
      <c r="AM718" s="33"/>
      <c r="AN718" s="33"/>
      <c r="AO718" s="10"/>
      <c r="AP718" s="10"/>
      <c r="AQ718" s="10"/>
    </row>
    <row r="719">
      <c r="A719" s="10"/>
      <c r="B719" s="101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33"/>
      <c r="AM719" s="33"/>
      <c r="AN719" s="33"/>
      <c r="AO719" s="10"/>
      <c r="AP719" s="10"/>
      <c r="AQ719" s="10"/>
    </row>
    <row r="720">
      <c r="A720" s="10"/>
      <c r="B720" s="101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33"/>
      <c r="AM720" s="33"/>
      <c r="AN720" s="33"/>
      <c r="AO720" s="10"/>
      <c r="AP720" s="10"/>
      <c r="AQ720" s="10"/>
    </row>
    <row r="721">
      <c r="A721" s="10"/>
      <c r="B721" s="101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33"/>
      <c r="AM721" s="33"/>
      <c r="AN721" s="33"/>
      <c r="AO721" s="10"/>
      <c r="AP721" s="10"/>
      <c r="AQ721" s="10"/>
    </row>
    <row r="722">
      <c r="A722" s="10"/>
      <c r="B722" s="101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33"/>
      <c r="AM722" s="33"/>
      <c r="AN722" s="33"/>
      <c r="AO722" s="10"/>
      <c r="AP722" s="10"/>
      <c r="AQ722" s="10"/>
    </row>
    <row r="723">
      <c r="A723" s="10"/>
      <c r="B723" s="101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33"/>
      <c r="AM723" s="33"/>
      <c r="AN723" s="33"/>
      <c r="AO723" s="10"/>
      <c r="AP723" s="10"/>
      <c r="AQ723" s="10"/>
    </row>
    <row r="724">
      <c r="A724" s="10"/>
      <c r="B724" s="101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33"/>
      <c r="AM724" s="33"/>
      <c r="AN724" s="33"/>
      <c r="AO724" s="10"/>
      <c r="AP724" s="10"/>
      <c r="AQ724" s="10"/>
    </row>
    <row r="725">
      <c r="A725" s="10"/>
      <c r="B725" s="101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33"/>
      <c r="AM725" s="33"/>
      <c r="AN725" s="33"/>
      <c r="AO725" s="10"/>
      <c r="AP725" s="10"/>
      <c r="AQ725" s="10"/>
    </row>
    <row r="726">
      <c r="A726" s="10"/>
      <c r="B726" s="101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33"/>
      <c r="AM726" s="33"/>
      <c r="AN726" s="33"/>
      <c r="AO726" s="10"/>
      <c r="AP726" s="10"/>
      <c r="AQ726" s="10"/>
    </row>
    <row r="727">
      <c r="A727" s="10"/>
      <c r="B727" s="101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33"/>
      <c r="AM727" s="33"/>
      <c r="AN727" s="33"/>
      <c r="AO727" s="10"/>
      <c r="AP727" s="10"/>
      <c r="AQ727" s="10"/>
    </row>
    <row r="728">
      <c r="A728" s="10"/>
      <c r="B728" s="101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33"/>
      <c r="AM728" s="33"/>
      <c r="AN728" s="33"/>
      <c r="AO728" s="10"/>
      <c r="AP728" s="10"/>
      <c r="AQ728" s="10"/>
    </row>
    <row r="729">
      <c r="A729" s="10"/>
      <c r="B729" s="101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33"/>
      <c r="AM729" s="33"/>
      <c r="AN729" s="33"/>
      <c r="AO729" s="10"/>
      <c r="AP729" s="10"/>
      <c r="AQ729" s="10"/>
    </row>
    <row r="730">
      <c r="A730" s="10"/>
      <c r="B730" s="101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33"/>
      <c r="AM730" s="33"/>
      <c r="AN730" s="33"/>
      <c r="AO730" s="10"/>
      <c r="AP730" s="10"/>
      <c r="AQ730" s="10"/>
    </row>
    <row r="731">
      <c r="A731" s="10"/>
      <c r="B731" s="101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33"/>
      <c r="AM731" s="33"/>
      <c r="AN731" s="33"/>
      <c r="AO731" s="10"/>
      <c r="AP731" s="10"/>
      <c r="AQ731" s="10"/>
    </row>
    <row r="732">
      <c r="A732" s="10"/>
      <c r="B732" s="101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33"/>
      <c r="AM732" s="33"/>
      <c r="AN732" s="33"/>
      <c r="AO732" s="10"/>
      <c r="AP732" s="10"/>
      <c r="AQ732" s="10"/>
    </row>
    <row r="733">
      <c r="A733" s="10"/>
      <c r="B733" s="101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33"/>
      <c r="AM733" s="33"/>
      <c r="AN733" s="33"/>
      <c r="AO733" s="10"/>
      <c r="AP733" s="10"/>
      <c r="AQ733" s="10"/>
    </row>
    <row r="734">
      <c r="A734" s="10"/>
      <c r="B734" s="101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33"/>
      <c r="AM734" s="33"/>
      <c r="AN734" s="33"/>
      <c r="AO734" s="10"/>
      <c r="AP734" s="10"/>
      <c r="AQ734" s="10"/>
    </row>
    <row r="735">
      <c r="A735" s="10"/>
      <c r="B735" s="101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33"/>
      <c r="AM735" s="33"/>
      <c r="AN735" s="33"/>
      <c r="AO735" s="10"/>
      <c r="AP735" s="10"/>
      <c r="AQ735" s="10"/>
    </row>
    <row r="736">
      <c r="A736" s="10"/>
      <c r="B736" s="101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33"/>
      <c r="AM736" s="33"/>
      <c r="AN736" s="33"/>
      <c r="AO736" s="10"/>
      <c r="AP736" s="10"/>
      <c r="AQ736" s="10"/>
    </row>
    <row r="737">
      <c r="A737" s="10"/>
      <c r="B737" s="101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33"/>
      <c r="AM737" s="33"/>
      <c r="AN737" s="33"/>
      <c r="AO737" s="10"/>
      <c r="AP737" s="10"/>
      <c r="AQ737" s="10"/>
    </row>
    <row r="738">
      <c r="A738" s="10"/>
      <c r="B738" s="101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33"/>
      <c r="AM738" s="33"/>
      <c r="AN738" s="33"/>
      <c r="AO738" s="10"/>
      <c r="AP738" s="10"/>
      <c r="AQ738" s="10"/>
    </row>
    <row r="739">
      <c r="A739" s="10"/>
      <c r="B739" s="101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33"/>
      <c r="AM739" s="33"/>
      <c r="AN739" s="33"/>
      <c r="AO739" s="10"/>
      <c r="AP739" s="10"/>
      <c r="AQ739" s="10"/>
    </row>
    <row r="740">
      <c r="A740" s="10"/>
      <c r="B740" s="101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33"/>
      <c r="AM740" s="33"/>
      <c r="AN740" s="33"/>
      <c r="AO740" s="10"/>
      <c r="AP740" s="10"/>
      <c r="AQ740" s="10"/>
    </row>
    <row r="741">
      <c r="A741" s="10"/>
      <c r="B741" s="101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33"/>
      <c r="AM741" s="33"/>
      <c r="AN741" s="33"/>
      <c r="AO741" s="10"/>
      <c r="AP741" s="10"/>
      <c r="AQ741" s="10"/>
    </row>
    <row r="742">
      <c r="A742" s="10"/>
      <c r="B742" s="101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33"/>
      <c r="AM742" s="33"/>
      <c r="AN742" s="33"/>
      <c r="AO742" s="10"/>
      <c r="AP742" s="10"/>
      <c r="AQ742" s="10"/>
    </row>
    <row r="743">
      <c r="A743" s="10"/>
      <c r="B743" s="101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33"/>
      <c r="AM743" s="33"/>
      <c r="AN743" s="33"/>
      <c r="AO743" s="10"/>
      <c r="AP743" s="10"/>
      <c r="AQ743" s="10"/>
    </row>
    <row r="744">
      <c r="A744" s="10"/>
      <c r="B744" s="101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33"/>
      <c r="AM744" s="33"/>
      <c r="AN744" s="33"/>
      <c r="AO744" s="10"/>
      <c r="AP744" s="10"/>
      <c r="AQ744" s="10"/>
    </row>
    <row r="745">
      <c r="A745" s="10"/>
      <c r="B745" s="101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33"/>
      <c r="AM745" s="33"/>
      <c r="AN745" s="33"/>
      <c r="AO745" s="10"/>
      <c r="AP745" s="10"/>
      <c r="AQ745" s="10"/>
    </row>
    <row r="746">
      <c r="A746" s="10"/>
      <c r="B746" s="101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33"/>
      <c r="AM746" s="33"/>
      <c r="AN746" s="33"/>
      <c r="AO746" s="10"/>
      <c r="AP746" s="10"/>
      <c r="AQ746" s="10"/>
    </row>
    <row r="747">
      <c r="A747" s="10"/>
      <c r="B747" s="101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33"/>
      <c r="AM747" s="33"/>
      <c r="AN747" s="33"/>
      <c r="AO747" s="10"/>
      <c r="AP747" s="10"/>
      <c r="AQ747" s="10"/>
    </row>
    <row r="748">
      <c r="A748" s="10"/>
      <c r="B748" s="101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33"/>
      <c r="AM748" s="33"/>
      <c r="AN748" s="33"/>
      <c r="AO748" s="10"/>
      <c r="AP748" s="10"/>
      <c r="AQ748" s="10"/>
    </row>
    <row r="749">
      <c r="A749" s="10"/>
      <c r="B749" s="101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33"/>
      <c r="AM749" s="33"/>
      <c r="AN749" s="33"/>
      <c r="AO749" s="10"/>
      <c r="AP749" s="10"/>
      <c r="AQ749" s="10"/>
    </row>
    <row r="750">
      <c r="A750" s="10"/>
      <c r="B750" s="101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33"/>
      <c r="AM750" s="33"/>
      <c r="AN750" s="33"/>
      <c r="AO750" s="10"/>
      <c r="AP750" s="10"/>
      <c r="AQ750" s="10"/>
    </row>
    <row r="751">
      <c r="A751" s="10"/>
      <c r="B751" s="101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33"/>
      <c r="AM751" s="33"/>
      <c r="AN751" s="33"/>
      <c r="AO751" s="10"/>
      <c r="AP751" s="10"/>
      <c r="AQ751" s="10"/>
    </row>
    <row r="752">
      <c r="A752" s="10"/>
      <c r="B752" s="101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33"/>
      <c r="AM752" s="33"/>
      <c r="AN752" s="33"/>
      <c r="AO752" s="10"/>
      <c r="AP752" s="10"/>
      <c r="AQ752" s="10"/>
    </row>
    <row r="753">
      <c r="A753" s="10"/>
      <c r="B753" s="101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33"/>
      <c r="AM753" s="33"/>
      <c r="AN753" s="33"/>
      <c r="AO753" s="10"/>
      <c r="AP753" s="10"/>
      <c r="AQ753" s="10"/>
    </row>
    <row r="754">
      <c r="A754" s="10"/>
      <c r="B754" s="101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33"/>
      <c r="AM754" s="33"/>
      <c r="AN754" s="33"/>
      <c r="AO754" s="10"/>
      <c r="AP754" s="10"/>
      <c r="AQ754" s="10"/>
    </row>
    <row r="755">
      <c r="A755" s="10"/>
      <c r="B755" s="101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33"/>
      <c r="AM755" s="33"/>
      <c r="AN755" s="33"/>
      <c r="AO755" s="10"/>
      <c r="AP755" s="10"/>
      <c r="AQ755" s="10"/>
    </row>
    <row r="756">
      <c r="A756" s="10"/>
      <c r="B756" s="101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33"/>
      <c r="AM756" s="33"/>
      <c r="AN756" s="33"/>
      <c r="AO756" s="10"/>
      <c r="AP756" s="10"/>
      <c r="AQ756" s="10"/>
    </row>
    <row r="757">
      <c r="A757" s="10"/>
      <c r="B757" s="101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33"/>
      <c r="AM757" s="33"/>
      <c r="AN757" s="33"/>
      <c r="AO757" s="10"/>
      <c r="AP757" s="10"/>
      <c r="AQ757" s="10"/>
    </row>
    <row r="758">
      <c r="A758" s="10"/>
      <c r="B758" s="101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33"/>
      <c r="AM758" s="33"/>
      <c r="AN758" s="33"/>
      <c r="AO758" s="10"/>
      <c r="AP758" s="10"/>
      <c r="AQ758" s="10"/>
    </row>
    <row r="759">
      <c r="A759" s="10"/>
      <c r="B759" s="101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33"/>
      <c r="AM759" s="33"/>
      <c r="AN759" s="33"/>
      <c r="AO759" s="10"/>
      <c r="AP759" s="10"/>
      <c r="AQ759" s="10"/>
    </row>
    <row r="760">
      <c r="A760" s="10"/>
      <c r="B760" s="101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33"/>
      <c r="AM760" s="33"/>
      <c r="AN760" s="33"/>
      <c r="AO760" s="10"/>
      <c r="AP760" s="10"/>
      <c r="AQ760" s="10"/>
    </row>
    <row r="761">
      <c r="A761" s="10"/>
      <c r="B761" s="101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33"/>
      <c r="AM761" s="33"/>
      <c r="AN761" s="33"/>
      <c r="AO761" s="10"/>
      <c r="AP761" s="10"/>
      <c r="AQ761" s="10"/>
    </row>
    <row r="762">
      <c r="A762" s="10"/>
      <c r="B762" s="101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33"/>
      <c r="AM762" s="33"/>
      <c r="AN762" s="33"/>
      <c r="AO762" s="10"/>
      <c r="AP762" s="10"/>
      <c r="AQ762" s="10"/>
    </row>
    <row r="763">
      <c r="A763" s="10"/>
      <c r="B763" s="101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33"/>
      <c r="AM763" s="33"/>
      <c r="AN763" s="33"/>
      <c r="AO763" s="10"/>
      <c r="AP763" s="10"/>
      <c r="AQ763" s="10"/>
    </row>
    <row r="764">
      <c r="A764" s="10"/>
      <c r="B764" s="101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33"/>
      <c r="AM764" s="33"/>
      <c r="AN764" s="33"/>
      <c r="AO764" s="10"/>
      <c r="AP764" s="10"/>
      <c r="AQ764" s="10"/>
    </row>
    <row r="765">
      <c r="A765" s="10"/>
      <c r="B765" s="101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33"/>
      <c r="AM765" s="33"/>
      <c r="AN765" s="33"/>
      <c r="AO765" s="10"/>
      <c r="AP765" s="10"/>
      <c r="AQ765" s="10"/>
    </row>
    <row r="766">
      <c r="A766" s="10"/>
      <c r="B766" s="101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33"/>
      <c r="AM766" s="33"/>
      <c r="AN766" s="33"/>
      <c r="AO766" s="10"/>
      <c r="AP766" s="10"/>
      <c r="AQ766" s="10"/>
    </row>
    <row r="767">
      <c r="A767" s="10"/>
      <c r="B767" s="101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33"/>
      <c r="AM767" s="33"/>
      <c r="AN767" s="33"/>
      <c r="AO767" s="10"/>
      <c r="AP767" s="10"/>
      <c r="AQ767" s="10"/>
    </row>
    <row r="768">
      <c r="A768" s="10"/>
      <c r="B768" s="101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33"/>
      <c r="AM768" s="33"/>
      <c r="AN768" s="33"/>
      <c r="AO768" s="10"/>
      <c r="AP768" s="10"/>
      <c r="AQ768" s="10"/>
    </row>
    <row r="769">
      <c r="A769" s="10"/>
      <c r="B769" s="101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33"/>
      <c r="AM769" s="33"/>
      <c r="AN769" s="33"/>
      <c r="AO769" s="10"/>
      <c r="AP769" s="10"/>
      <c r="AQ769" s="10"/>
    </row>
    <row r="770">
      <c r="A770" s="10"/>
      <c r="B770" s="101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33"/>
      <c r="AM770" s="33"/>
      <c r="AN770" s="33"/>
      <c r="AO770" s="10"/>
      <c r="AP770" s="10"/>
      <c r="AQ770" s="10"/>
    </row>
    <row r="771">
      <c r="A771" s="10"/>
      <c r="B771" s="101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33"/>
      <c r="AM771" s="33"/>
      <c r="AN771" s="33"/>
      <c r="AO771" s="10"/>
      <c r="AP771" s="10"/>
      <c r="AQ771" s="10"/>
    </row>
    <row r="772">
      <c r="A772" s="10"/>
      <c r="B772" s="101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33"/>
      <c r="AM772" s="33"/>
      <c r="AN772" s="33"/>
      <c r="AO772" s="10"/>
      <c r="AP772" s="10"/>
      <c r="AQ772" s="10"/>
    </row>
    <row r="773">
      <c r="A773" s="10"/>
      <c r="B773" s="101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33"/>
      <c r="AM773" s="33"/>
      <c r="AN773" s="33"/>
      <c r="AO773" s="10"/>
      <c r="AP773" s="10"/>
      <c r="AQ773" s="10"/>
    </row>
    <row r="774">
      <c r="A774" s="10"/>
      <c r="B774" s="101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33"/>
      <c r="AM774" s="33"/>
      <c r="AN774" s="33"/>
      <c r="AO774" s="10"/>
      <c r="AP774" s="10"/>
      <c r="AQ774" s="10"/>
    </row>
    <row r="775">
      <c r="A775" s="10"/>
      <c r="B775" s="101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33"/>
      <c r="AM775" s="33"/>
      <c r="AN775" s="33"/>
      <c r="AO775" s="10"/>
      <c r="AP775" s="10"/>
      <c r="AQ775" s="10"/>
    </row>
    <row r="776">
      <c r="A776" s="10"/>
      <c r="B776" s="101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33"/>
      <c r="AM776" s="33"/>
      <c r="AN776" s="33"/>
      <c r="AO776" s="10"/>
      <c r="AP776" s="10"/>
      <c r="AQ776" s="10"/>
    </row>
    <row r="777">
      <c r="A777" s="10"/>
      <c r="B777" s="101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33"/>
      <c r="AM777" s="33"/>
      <c r="AN777" s="33"/>
      <c r="AO777" s="10"/>
      <c r="AP777" s="10"/>
      <c r="AQ777" s="10"/>
    </row>
    <row r="778">
      <c r="A778" s="10"/>
      <c r="B778" s="101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33"/>
      <c r="AM778" s="33"/>
      <c r="AN778" s="33"/>
      <c r="AO778" s="10"/>
      <c r="AP778" s="10"/>
      <c r="AQ778" s="10"/>
    </row>
    <row r="779">
      <c r="A779" s="10"/>
      <c r="B779" s="101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33"/>
      <c r="AM779" s="33"/>
      <c r="AN779" s="33"/>
      <c r="AO779" s="10"/>
      <c r="AP779" s="10"/>
      <c r="AQ779" s="10"/>
    </row>
    <row r="780">
      <c r="A780" s="10"/>
      <c r="B780" s="101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33"/>
      <c r="AM780" s="33"/>
      <c r="AN780" s="33"/>
      <c r="AO780" s="10"/>
      <c r="AP780" s="10"/>
      <c r="AQ780" s="10"/>
    </row>
    <row r="781">
      <c r="A781" s="10"/>
      <c r="B781" s="101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33"/>
      <c r="AM781" s="33"/>
      <c r="AN781" s="33"/>
      <c r="AO781" s="10"/>
      <c r="AP781" s="10"/>
      <c r="AQ781" s="10"/>
    </row>
    <row r="782">
      <c r="A782" s="10"/>
      <c r="B782" s="101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33"/>
      <c r="AM782" s="33"/>
      <c r="AN782" s="33"/>
      <c r="AO782" s="10"/>
      <c r="AP782" s="10"/>
      <c r="AQ782" s="10"/>
    </row>
    <row r="783">
      <c r="A783" s="10"/>
      <c r="B783" s="101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33"/>
      <c r="AM783" s="33"/>
      <c r="AN783" s="33"/>
      <c r="AO783" s="10"/>
      <c r="AP783" s="10"/>
      <c r="AQ783" s="10"/>
    </row>
    <row r="784">
      <c r="A784" s="10"/>
      <c r="B784" s="101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33"/>
      <c r="AM784" s="33"/>
      <c r="AN784" s="33"/>
      <c r="AO784" s="10"/>
      <c r="AP784" s="10"/>
      <c r="AQ784" s="10"/>
    </row>
    <row r="785">
      <c r="A785" s="10"/>
      <c r="B785" s="101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33"/>
      <c r="AM785" s="33"/>
      <c r="AN785" s="33"/>
      <c r="AO785" s="10"/>
      <c r="AP785" s="10"/>
      <c r="AQ785" s="10"/>
    </row>
    <row r="786">
      <c r="A786" s="10"/>
      <c r="B786" s="101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33"/>
      <c r="AM786" s="33"/>
      <c r="AN786" s="33"/>
      <c r="AO786" s="10"/>
      <c r="AP786" s="10"/>
      <c r="AQ786" s="10"/>
    </row>
    <row r="787">
      <c r="A787" s="10"/>
      <c r="B787" s="101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33"/>
      <c r="AM787" s="33"/>
      <c r="AN787" s="33"/>
      <c r="AO787" s="10"/>
      <c r="AP787" s="10"/>
      <c r="AQ787" s="10"/>
    </row>
    <row r="788">
      <c r="A788" s="10"/>
      <c r="B788" s="101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33"/>
      <c r="AM788" s="33"/>
      <c r="AN788" s="33"/>
      <c r="AO788" s="10"/>
      <c r="AP788" s="10"/>
      <c r="AQ788" s="10"/>
    </row>
    <row r="789">
      <c r="A789" s="10"/>
      <c r="B789" s="101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33"/>
      <c r="AM789" s="33"/>
      <c r="AN789" s="33"/>
      <c r="AO789" s="10"/>
      <c r="AP789" s="10"/>
      <c r="AQ789" s="10"/>
    </row>
    <row r="790">
      <c r="A790" s="10"/>
      <c r="B790" s="101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33"/>
      <c r="AM790" s="33"/>
      <c r="AN790" s="33"/>
      <c r="AO790" s="10"/>
      <c r="AP790" s="10"/>
      <c r="AQ790" s="10"/>
    </row>
    <row r="791">
      <c r="A791" s="10"/>
      <c r="B791" s="101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33"/>
      <c r="AM791" s="33"/>
      <c r="AN791" s="33"/>
      <c r="AO791" s="10"/>
      <c r="AP791" s="10"/>
      <c r="AQ791" s="10"/>
    </row>
    <row r="792">
      <c r="A792" s="10"/>
      <c r="B792" s="101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33"/>
      <c r="AM792" s="33"/>
      <c r="AN792" s="33"/>
      <c r="AO792" s="10"/>
      <c r="AP792" s="10"/>
      <c r="AQ792" s="10"/>
    </row>
    <row r="793">
      <c r="A793" s="10"/>
      <c r="B793" s="101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33"/>
      <c r="AM793" s="33"/>
      <c r="AN793" s="33"/>
      <c r="AO793" s="10"/>
      <c r="AP793" s="10"/>
      <c r="AQ793" s="10"/>
    </row>
    <row r="794">
      <c r="A794" s="10"/>
      <c r="B794" s="101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33"/>
      <c r="AM794" s="33"/>
      <c r="AN794" s="33"/>
      <c r="AO794" s="10"/>
      <c r="AP794" s="10"/>
      <c r="AQ794" s="10"/>
    </row>
    <row r="795">
      <c r="A795" s="10"/>
      <c r="B795" s="101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33"/>
      <c r="AM795" s="33"/>
      <c r="AN795" s="33"/>
      <c r="AO795" s="10"/>
      <c r="AP795" s="10"/>
      <c r="AQ795" s="10"/>
    </row>
    <row r="796">
      <c r="A796" s="10"/>
      <c r="B796" s="101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33"/>
      <c r="AM796" s="33"/>
      <c r="AN796" s="33"/>
      <c r="AO796" s="10"/>
      <c r="AP796" s="10"/>
      <c r="AQ796" s="10"/>
    </row>
    <row r="797">
      <c r="A797" s="10"/>
      <c r="B797" s="101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33"/>
      <c r="AM797" s="33"/>
      <c r="AN797" s="33"/>
      <c r="AO797" s="10"/>
      <c r="AP797" s="10"/>
      <c r="AQ797" s="10"/>
    </row>
    <row r="798">
      <c r="A798" s="10"/>
      <c r="B798" s="101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33"/>
      <c r="AM798" s="33"/>
      <c r="AN798" s="33"/>
      <c r="AO798" s="10"/>
      <c r="AP798" s="10"/>
      <c r="AQ798" s="10"/>
    </row>
    <row r="799">
      <c r="A799" s="10"/>
      <c r="B799" s="101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33"/>
      <c r="AM799" s="33"/>
      <c r="AN799" s="33"/>
      <c r="AO799" s="10"/>
      <c r="AP799" s="10"/>
      <c r="AQ799" s="10"/>
    </row>
    <row r="800">
      <c r="A800" s="10"/>
      <c r="B800" s="101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33"/>
      <c r="AM800" s="33"/>
      <c r="AN800" s="33"/>
      <c r="AO800" s="10"/>
      <c r="AP800" s="10"/>
      <c r="AQ800" s="10"/>
    </row>
    <row r="801">
      <c r="A801" s="10"/>
      <c r="B801" s="101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33"/>
      <c r="AM801" s="33"/>
      <c r="AN801" s="33"/>
      <c r="AO801" s="10"/>
      <c r="AP801" s="10"/>
      <c r="AQ801" s="10"/>
    </row>
    <row r="802">
      <c r="A802" s="10"/>
      <c r="B802" s="101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33"/>
      <c r="AM802" s="33"/>
      <c r="AN802" s="33"/>
      <c r="AO802" s="10"/>
      <c r="AP802" s="10"/>
      <c r="AQ802" s="10"/>
    </row>
    <row r="803">
      <c r="A803" s="10"/>
      <c r="B803" s="101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33"/>
      <c r="AM803" s="33"/>
      <c r="AN803" s="33"/>
      <c r="AO803" s="10"/>
      <c r="AP803" s="10"/>
      <c r="AQ803" s="10"/>
    </row>
    <row r="804">
      <c r="A804" s="10"/>
      <c r="B804" s="101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33"/>
      <c r="AM804" s="33"/>
      <c r="AN804" s="33"/>
      <c r="AO804" s="10"/>
      <c r="AP804" s="10"/>
      <c r="AQ804" s="10"/>
    </row>
    <row r="805">
      <c r="A805" s="10"/>
      <c r="B805" s="101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33"/>
      <c r="AM805" s="33"/>
      <c r="AN805" s="33"/>
      <c r="AO805" s="10"/>
      <c r="AP805" s="10"/>
      <c r="AQ805" s="10"/>
    </row>
    <row r="806">
      <c r="A806" s="10"/>
      <c r="B806" s="101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33"/>
      <c r="AM806" s="33"/>
      <c r="AN806" s="33"/>
      <c r="AO806" s="10"/>
      <c r="AP806" s="10"/>
      <c r="AQ806" s="10"/>
    </row>
    <row r="807">
      <c r="A807" s="10"/>
      <c r="B807" s="101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33"/>
      <c r="AM807" s="33"/>
      <c r="AN807" s="33"/>
      <c r="AO807" s="10"/>
      <c r="AP807" s="10"/>
      <c r="AQ807" s="10"/>
    </row>
    <row r="808">
      <c r="A808" s="10"/>
      <c r="B808" s="101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33"/>
      <c r="AM808" s="33"/>
      <c r="AN808" s="33"/>
      <c r="AO808" s="10"/>
      <c r="AP808" s="10"/>
      <c r="AQ808" s="10"/>
    </row>
    <row r="809">
      <c r="A809" s="10"/>
      <c r="B809" s="101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33"/>
      <c r="AM809" s="33"/>
      <c r="AN809" s="33"/>
      <c r="AO809" s="10"/>
      <c r="AP809" s="10"/>
      <c r="AQ809" s="10"/>
    </row>
    <row r="810">
      <c r="A810" s="10"/>
      <c r="B810" s="101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33"/>
      <c r="AM810" s="33"/>
      <c r="AN810" s="33"/>
      <c r="AO810" s="10"/>
      <c r="AP810" s="10"/>
      <c r="AQ810" s="10"/>
    </row>
    <row r="811">
      <c r="A811" s="10"/>
      <c r="B811" s="101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33"/>
      <c r="AM811" s="33"/>
      <c r="AN811" s="33"/>
      <c r="AO811" s="10"/>
      <c r="AP811" s="10"/>
      <c r="AQ811" s="10"/>
    </row>
    <row r="812">
      <c r="A812" s="10"/>
      <c r="B812" s="101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33"/>
      <c r="AM812" s="33"/>
      <c r="AN812" s="33"/>
      <c r="AO812" s="10"/>
      <c r="AP812" s="10"/>
      <c r="AQ812" s="10"/>
    </row>
    <row r="813">
      <c r="A813" s="10"/>
      <c r="B813" s="101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33"/>
      <c r="AM813" s="33"/>
      <c r="AN813" s="33"/>
      <c r="AO813" s="10"/>
      <c r="AP813" s="10"/>
      <c r="AQ813" s="10"/>
    </row>
    <row r="814">
      <c r="A814" s="10"/>
      <c r="B814" s="101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33"/>
      <c r="AM814" s="33"/>
      <c r="AN814" s="33"/>
      <c r="AO814" s="10"/>
      <c r="AP814" s="10"/>
      <c r="AQ814" s="10"/>
    </row>
    <row r="815">
      <c r="A815" s="10"/>
      <c r="B815" s="101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33"/>
      <c r="AM815" s="33"/>
      <c r="AN815" s="33"/>
      <c r="AO815" s="10"/>
      <c r="AP815" s="10"/>
      <c r="AQ815" s="10"/>
    </row>
    <row r="816">
      <c r="A816" s="10"/>
      <c r="B816" s="101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33"/>
      <c r="AM816" s="33"/>
      <c r="AN816" s="33"/>
      <c r="AO816" s="10"/>
      <c r="AP816" s="10"/>
      <c r="AQ816" s="10"/>
    </row>
    <row r="817">
      <c r="A817" s="10"/>
      <c r="B817" s="101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33"/>
      <c r="AM817" s="33"/>
      <c r="AN817" s="33"/>
      <c r="AO817" s="10"/>
      <c r="AP817" s="10"/>
      <c r="AQ817" s="10"/>
    </row>
    <row r="818">
      <c r="A818" s="10"/>
      <c r="B818" s="101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33"/>
      <c r="AM818" s="33"/>
      <c r="AN818" s="33"/>
      <c r="AO818" s="10"/>
      <c r="AP818" s="10"/>
      <c r="AQ818" s="10"/>
    </row>
    <row r="819">
      <c r="A819" s="10"/>
      <c r="B819" s="101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33"/>
      <c r="AM819" s="33"/>
      <c r="AN819" s="33"/>
      <c r="AO819" s="10"/>
      <c r="AP819" s="10"/>
      <c r="AQ819" s="10"/>
    </row>
    <row r="820">
      <c r="A820" s="10"/>
      <c r="B820" s="101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33"/>
      <c r="AM820" s="33"/>
      <c r="AN820" s="33"/>
      <c r="AO820" s="10"/>
      <c r="AP820" s="10"/>
      <c r="AQ820" s="10"/>
    </row>
    <row r="821">
      <c r="A821" s="10"/>
      <c r="B821" s="101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33"/>
      <c r="AM821" s="33"/>
      <c r="AN821" s="33"/>
      <c r="AO821" s="10"/>
      <c r="AP821" s="10"/>
      <c r="AQ821" s="10"/>
    </row>
    <row r="822">
      <c r="A822" s="10"/>
      <c r="B822" s="101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33"/>
      <c r="AM822" s="33"/>
      <c r="AN822" s="33"/>
      <c r="AO822" s="10"/>
      <c r="AP822" s="10"/>
      <c r="AQ822" s="10"/>
    </row>
    <row r="823">
      <c r="A823" s="10"/>
      <c r="B823" s="101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33"/>
      <c r="AM823" s="33"/>
      <c r="AN823" s="33"/>
      <c r="AO823" s="10"/>
      <c r="AP823" s="10"/>
      <c r="AQ823" s="10"/>
    </row>
    <row r="824">
      <c r="A824" s="10"/>
      <c r="B824" s="101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33"/>
      <c r="AM824" s="33"/>
      <c r="AN824" s="33"/>
      <c r="AO824" s="10"/>
      <c r="AP824" s="10"/>
      <c r="AQ824" s="10"/>
    </row>
    <row r="825">
      <c r="A825" s="10"/>
      <c r="B825" s="101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33"/>
      <c r="AM825" s="33"/>
      <c r="AN825" s="33"/>
      <c r="AO825" s="10"/>
      <c r="AP825" s="10"/>
      <c r="AQ825" s="10"/>
    </row>
    <row r="826">
      <c r="A826" s="10"/>
      <c r="B826" s="101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33"/>
      <c r="AM826" s="33"/>
      <c r="AN826" s="33"/>
      <c r="AO826" s="10"/>
      <c r="AP826" s="10"/>
      <c r="AQ826" s="10"/>
    </row>
    <row r="827">
      <c r="A827" s="10"/>
      <c r="B827" s="101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33"/>
      <c r="AM827" s="33"/>
      <c r="AN827" s="33"/>
      <c r="AO827" s="10"/>
      <c r="AP827" s="10"/>
      <c r="AQ827" s="10"/>
    </row>
    <row r="828">
      <c r="A828" s="10"/>
      <c r="B828" s="101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33"/>
      <c r="AM828" s="33"/>
      <c r="AN828" s="33"/>
      <c r="AO828" s="10"/>
      <c r="AP828" s="10"/>
      <c r="AQ828" s="10"/>
    </row>
    <row r="829">
      <c r="A829" s="10"/>
      <c r="B829" s="101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33"/>
      <c r="AM829" s="33"/>
      <c r="AN829" s="33"/>
      <c r="AO829" s="10"/>
      <c r="AP829" s="10"/>
      <c r="AQ829" s="10"/>
    </row>
    <row r="830">
      <c r="A830" s="10"/>
      <c r="B830" s="101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33"/>
      <c r="AM830" s="33"/>
      <c r="AN830" s="33"/>
      <c r="AO830" s="10"/>
      <c r="AP830" s="10"/>
      <c r="AQ830" s="10"/>
    </row>
    <row r="831">
      <c r="A831" s="10"/>
      <c r="B831" s="101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33"/>
      <c r="AM831" s="33"/>
      <c r="AN831" s="33"/>
      <c r="AO831" s="10"/>
      <c r="AP831" s="10"/>
      <c r="AQ831" s="10"/>
    </row>
    <row r="832">
      <c r="A832" s="10"/>
      <c r="B832" s="101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33"/>
      <c r="AM832" s="33"/>
      <c r="AN832" s="33"/>
      <c r="AO832" s="10"/>
      <c r="AP832" s="10"/>
      <c r="AQ832" s="10"/>
    </row>
    <row r="833">
      <c r="A833" s="10"/>
      <c r="B833" s="101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33"/>
      <c r="AM833" s="33"/>
      <c r="AN833" s="33"/>
      <c r="AO833" s="10"/>
      <c r="AP833" s="10"/>
      <c r="AQ833" s="10"/>
    </row>
    <row r="834">
      <c r="A834" s="10"/>
      <c r="B834" s="101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33"/>
      <c r="AM834" s="33"/>
      <c r="AN834" s="33"/>
      <c r="AO834" s="10"/>
      <c r="AP834" s="10"/>
      <c r="AQ834" s="10"/>
    </row>
    <row r="835">
      <c r="A835" s="10"/>
      <c r="B835" s="101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33"/>
      <c r="AM835" s="33"/>
      <c r="AN835" s="33"/>
      <c r="AO835" s="10"/>
      <c r="AP835" s="10"/>
      <c r="AQ835" s="10"/>
    </row>
    <row r="836">
      <c r="A836" s="10"/>
      <c r="B836" s="101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33"/>
      <c r="AM836" s="33"/>
      <c r="AN836" s="33"/>
      <c r="AO836" s="10"/>
      <c r="AP836" s="10"/>
      <c r="AQ836" s="10"/>
    </row>
    <row r="837">
      <c r="A837" s="10"/>
      <c r="B837" s="101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33"/>
      <c r="AM837" s="33"/>
      <c r="AN837" s="33"/>
      <c r="AO837" s="10"/>
      <c r="AP837" s="10"/>
      <c r="AQ837" s="10"/>
    </row>
    <row r="838">
      <c r="A838" s="10"/>
      <c r="B838" s="101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33"/>
      <c r="AM838" s="33"/>
      <c r="AN838" s="33"/>
      <c r="AO838" s="10"/>
      <c r="AP838" s="10"/>
      <c r="AQ838" s="10"/>
    </row>
    <row r="839">
      <c r="A839" s="10"/>
      <c r="B839" s="101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33"/>
      <c r="AM839" s="33"/>
      <c r="AN839" s="33"/>
      <c r="AO839" s="10"/>
      <c r="AP839" s="10"/>
      <c r="AQ839" s="10"/>
    </row>
    <row r="840">
      <c r="A840" s="10"/>
      <c r="B840" s="101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33"/>
      <c r="AM840" s="33"/>
      <c r="AN840" s="33"/>
      <c r="AO840" s="10"/>
      <c r="AP840" s="10"/>
      <c r="AQ840" s="10"/>
    </row>
    <row r="841">
      <c r="A841" s="10"/>
      <c r="B841" s="101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33"/>
      <c r="AM841" s="33"/>
      <c r="AN841" s="33"/>
      <c r="AO841" s="10"/>
      <c r="AP841" s="10"/>
      <c r="AQ841" s="10"/>
    </row>
    <row r="842">
      <c r="A842" s="10"/>
      <c r="B842" s="101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33"/>
      <c r="AM842" s="33"/>
      <c r="AN842" s="33"/>
      <c r="AO842" s="10"/>
      <c r="AP842" s="10"/>
      <c r="AQ842" s="10"/>
    </row>
    <row r="843">
      <c r="A843" s="10"/>
      <c r="B843" s="101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33"/>
      <c r="AM843" s="33"/>
      <c r="AN843" s="33"/>
      <c r="AO843" s="10"/>
      <c r="AP843" s="10"/>
      <c r="AQ843" s="10"/>
    </row>
    <row r="844">
      <c r="A844" s="10"/>
      <c r="B844" s="101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33"/>
      <c r="AM844" s="33"/>
      <c r="AN844" s="33"/>
      <c r="AO844" s="10"/>
      <c r="AP844" s="10"/>
      <c r="AQ844" s="10"/>
    </row>
    <row r="845">
      <c r="A845" s="10"/>
      <c r="B845" s="101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33"/>
      <c r="AM845" s="33"/>
      <c r="AN845" s="33"/>
      <c r="AO845" s="10"/>
      <c r="AP845" s="10"/>
      <c r="AQ845" s="10"/>
    </row>
    <row r="846">
      <c r="A846" s="10"/>
      <c r="B846" s="101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33"/>
      <c r="AM846" s="33"/>
      <c r="AN846" s="33"/>
      <c r="AO846" s="10"/>
      <c r="AP846" s="10"/>
      <c r="AQ846" s="10"/>
    </row>
    <row r="847">
      <c r="A847" s="10"/>
      <c r="B847" s="101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33"/>
      <c r="AM847" s="33"/>
      <c r="AN847" s="33"/>
      <c r="AO847" s="10"/>
      <c r="AP847" s="10"/>
      <c r="AQ847" s="10"/>
    </row>
    <row r="848">
      <c r="A848" s="10"/>
      <c r="B848" s="101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33"/>
      <c r="AM848" s="33"/>
      <c r="AN848" s="33"/>
      <c r="AO848" s="10"/>
      <c r="AP848" s="10"/>
      <c r="AQ848" s="10"/>
    </row>
    <row r="849">
      <c r="A849" s="10"/>
      <c r="B849" s="101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33"/>
      <c r="AM849" s="33"/>
      <c r="AN849" s="33"/>
      <c r="AO849" s="10"/>
      <c r="AP849" s="10"/>
      <c r="AQ849" s="10"/>
    </row>
    <row r="850">
      <c r="A850" s="10"/>
      <c r="B850" s="101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33"/>
      <c r="AM850" s="33"/>
      <c r="AN850" s="33"/>
      <c r="AO850" s="10"/>
      <c r="AP850" s="10"/>
      <c r="AQ850" s="10"/>
    </row>
    <row r="851">
      <c r="A851" s="10"/>
      <c r="B851" s="101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33"/>
      <c r="AM851" s="33"/>
      <c r="AN851" s="33"/>
      <c r="AO851" s="10"/>
      <c r="AP851" s="10"/>
      <c r="AQ851" s="10"/>
    </row>
    <row r="852">
      <c r="A852" s="10"/>
      <c r="B852" s="101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33"/>
      <c r="AM852" s="33"/>
      <c r="AN852" s="33"/>
      <c r="AO852" s="10"/>
      <c r="AP852" s="10"/>
      <c r="AQ852" s="10"/>
    </row>
    <row r="853">
      <c r="A853" s="10"/>
      <c r="B853" s="101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33"/>
      <c r="AM853" s="33"/>
      <c r="AN853" s="33"/>
      <c r="AO853" s="10"/>
      <c r="AP853" s="10"/>
      <c r="AQ853" s="10"/>
    </row>
    <row r="854">
      <c r="A854" s="10"/>
      <c r="B854" s="101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33"/>
      <c r="AM854" s="33"/>
      <c r="AN854" s="33"/>
      <c r="AO854" s="10"/>
      <c r="AP854" s="10"/>
      <c r="AQ854" s="10"/>
    </row>
    <row r="855">
      <c r="A855" s="10"/>
      <c r="B855" s="101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33"/>
      <c r="AM855" s="33"/>
      <c r="AN855" s="33"/>
      <c r="AO855" s="10"/>
      <c r="AP855" s="10"/>
      <c r="AQ855" s="10"/>
    </row>
    <row r="856">
      <c r="A856" s="10"/>
      <c r="B856" s="101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33"/>
      <c r="AM856" s="33"/>
      <c r="AN856" s="33"/>
      <c r="AO856" s="10"/>
      <c r="AP856" s="10"/>
      <c r="AQ856" s="10"/>
    </row>
    <row r="857">
      <c r="A857" s="10"/>
      <c r="B857" s="101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33"/>
      <c r="AM857" s="33"/>
      <c r="AN857" s="33"/>
      <c r="AO857" s="10"/>
      <c r="AP857" s="10"/>
      <c r="AQ857" s="10"/>
    </row>
    <row r="858">
      <c r="A858" s="10"/>
      <c r="B858" s="101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33"/>
      <c r="AM858" s="33"/>
      <c r="AN858" s="33"/>
      <c r="AO858" s="10"/>
      <c r="AP858" s="10"/>
      <c r="AQ858" s="10"/>
    </row>
    <row r="859">
      <c r="A859" s="10"/>
      <c r="B859" s="101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33"/>
      <c r="AM859" s="33"/>
      <c r="AN859" s="33"/>
      <c r="AO859" s="10"/>
      <c r="AP859" s="10"/>
      <c r="AQ859" s="10"/>
    </row>
    <row r="860">
      <c r="A860" s="10"/>
      <c r="B860" s="101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33"/>
      <c r="AM860" s="33"/>
      <c r="AN860" s="33"/>
      <c r="AO860" s="10"/>
      <c r="AP860" s="10"/>
      <c r="AQ860" s="10"/>
    </row>
    <row r="861">
      <c r="A861" s="10"/>
      <c r="B861" s="101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33"/>
      <c r="AM861" s="33"/>
      <c r="AN861" s="33"/>
      <c r="AO861" s="10"/>
      <c r="AP861" s="10"/>
      <c r="AQ861" s="10"/>
    </row>
    <row r="862">
      <c r="A862" s="10"/>
      <c r="B862" s="101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33"/>
      <c r="AM862" s="33"/>
      <c r="AN862" s="33"/>
      <c r="AO862" s="10"/>
      <c r="AP862" s="10"/>
      <c r="AQ862" s="10"/>
    </row>
    <row r="863">
      <c r="A863" s="10"/>
      <c r="B863" s="101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33"/>
      <c r="AM863" s="33"/>
      <c r="AN863" s="33"/>
      <c r="AO863" s="10"/>
      <c r="AP863" s="10"/>
      <c r="AQ863" s="10"/>
    </row>
    <row r="864">
      <c r="A864" s="10"/>
      <c r="B864" s="101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33"/>
      <c r="AM864" s="33"/>
      <c r="AN864" s="33"/>
      <c r="AO864" s="10"/>
      <c r="AP864" s="10"/>
      <c r="AQ864" s="10"/>
    </row>
    <row r="865">
      <c r="A865" s="10"/>
      <c r="B865" s="101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33"/>
      <c r="AM865" s="33"/>
      <c r="AN865" s="33"/>
      <c r="AO865" s="10"/>
      <c r="AP865" s="10"/>
      <c r="AQ865" s="10"/>
    </row>
    <row r="866">
      <c r="A866" s="10"/>
      <c r="B866" s="101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33"/>
      <c r="AM866" s="33"/>
      <c r="AN866" s="33"/>
      <c r="AO866" s="10"/>
      <c r="AP866" s="10"/>
      <c r="AQ866" s="10"/>
    </row>
    <row r="867">
      <c r="A867" s="10"/>
      <c r="B867" s="101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33"/>
      <c r="AM867" s="33"/>
      <c r="AN867" s="33"/>
      <c r="AO867" s="10"/>
      <c r="AP867" s="10"/>
      <c r="AQ867" s="10"/>
    </row>
    <row r="868">
      <c r="A868" s="10"/>
      <c r="B868" s="101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33"/>
      <c r="AM868" s="33"/>
      <c r="AN868" s="33"/>
      <c r="AO868" s="10"/>
      <c r="AP868" s="10"/>
      <c r="AQ868" s="10"/>
    </row>
    <row r="869">
      <c r="A869" s="10"/>
      <c r="B869" s="101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33"/>
      <c r="AM869" s="33"/>
      <c r="AN869" s="33"/>
      <c r="AO869" s="10"/>
      <c r="AP869" s="10"/>
      <c r="AQ869" s="10"/>
    </row>
    <row r="870">
      <c r="A870" s="10"/>
      <c r="B870" s="101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33"/>
      <c r="AM870" s="33"/>
      <c r="AN870" s="33"/>
      <c r="AO870" s="10"/>
      <c r="AP870" s="10"/>
      <c r="AQ870" s="10"/>
    </row>
    <row r="871">
      <c r="A871" s="10"/>
      <c r="B871" s="101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33"/>
      <c r="AM871" s="33"/>
      <c r="AN871" s="33"/>
      <c r="AO871" s="10"/>
      <c r="AP871" s="10"/>
      <c r="AQ871" s="10"/>
    </row>
    <row r="872">
      <c r="A872" s="10"/>
      <c r="B872" s="101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33"/>
      <c r="AM872" s="33"/>
      <c r="AN872" s="33"/>
      <c r="AO872" s="10"/>
      <c r="AP872" s="10"/>
      <c r="AQ872" s="10"/>
    </row>
    <row r="873">
      <c r="A873" s="10"/>
      <c r="B873" s="101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33"/>
      <c r="AM873" s="33"/>
      <c r="AN873" s="33"/>
      <c r="AO873" s="10"/>
      <c r="AP873" s="10"/>
      <c r="AQ873" s="10"/>
    </row>
    <row r="874">
      <c r="A874" s="10"/>
      <c r="B874" s="101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33"/>
      <c r="AM874" s="33"/>
      <c r="AN874" s="33"/>
      <c r="AO874" s="10"/>
      <c r="AP874" s="10"/>
      <c r="AQ874" s="10"/>
    </row>
    <row r="875">
      <c r="A875" s="10"/>
      <c r="B875" s="101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33"/>
      <c r="AM875" s="33"/>
      <c r="AN875" s="33"/>
      <c r="AO875" s="10"/>
      <c r="AP875" s="10"/>
      <c r="AQ875" s="10"/>
    </row>
    <row r="876">
      <c r="A876" s="10"/>
      <c r="B876" s="101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33"/>
      <c r="AM876" s="33"/>
      <c r="AN876" s="33"/>
      <c r="AO876" s="10"/>
      <c r="AP876" s="10"/>
      <c r="AQ876" s="10"/>
    </row>
    <row r="877">
      <c r="A877" s="10"/>
      <c r="B877" s="101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33"/>
      <c r="AM877" s="33"/>
      <c r="AN877" s="33"/>
      <c r="AO877" s="10"/>
      <c r="AP877" s="10"/>
      <c r="AQ877" s="10"/>
    </row>
    <row r="878">
      <c r="A878" s="10"/>
      <c r="B878" s="101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33"/>
      <c r="AM878" s="33"/>
      <c r="AN878" s="33"/>
      <c r="AO878" s="10"/>
      <c r="AP878" s="10"/>
      <c r="AQ878" s="10"/>
    </row>
    <row r="879">
      <c r="A879" s="10"/>
      <c r="B879" s="101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33"/>
      <c r="AM879" s="33"/>
      <c r="AN879" s="33"/>
      <c r="AO879" s="10"/>
      <c r="AP879" s="10"/>
      <c r="AQ879" s="10"/>
    </row>
    <row r="880">
      <c r="A880" s="10"/>
      <c r="B880" s="101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33"/>
      <c r="AM880" s="33"/>
      <c r="AN880" s="33"/>
      <c r="AO880" s="10"/>
      <c r="AP880" s="10"/>
      <c r="AQ880" s="10"/>
    </row>
    <row r="881">
      <c r="A881" s="10"/>
      <c r="B881" s="101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33"/>
      <c r="AM881" s="33"/>
      <c r="AN881" s="33"/>
      <c r="AO881" s="10"/>
      <c r="AP881" s="10"/>
      <c r="AQ881" s="10"/>
    </row>
    <row r="882">
      <c r="A882" s="10"/>
      <c r="B882" s="101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33"/>
      <c r="AM882" s="33"/>
      <c r="AN882" s="33"/>
      <c r="AO882" s="10"/>
      <c r="AP882" s="10"/>
      <c r="AQ882" s="10"/>
    </row>
    <row r="883">
      <c r="A883" s="10"/>
      <c r="B883" s="101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33"/>
      <c r="AM883" s="33"/>
      <c r="AN883" s="33"/>
      <c r="AO883" s="10"/>
      <c r="AP883" s="10"/>
      <c r="AQ883" s="10"/>
    </row>
    <row r="884">
      <c r="A884" s="10"/>
      <c r="B884" s="101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33"/>
      <c r="AM884" s="33"/>
      <c r="AN884" s="33"/>
      <c r="AO884" s="10"/>
      <c r="AP884" s="10"/>
      <c r="AQ884" s="10"/>
    </row>
    <row r="885">
      <c r="A885" s="10"/>
      <c r="B885" s="101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33"/>
      <c r="AM885" s="33"/>
      <c r="AN885" s="33"/>
      <c r="AO885" s="10"/>
      <c r="AP885" s="10"/>
      <c r="AQ885" s="10"/>
    </row>
    <row r="886">
      <c r="A886" s="10"/>
      <c r="B886" s="101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33"/>
      <c r="AM886" s="33"/>
      <c r="AN886" s="33"/>
      <c r="AO886" s="10"/>
      <c r="AP886" s="10"/>
      <c r="AQ886" s="10"/>
    </row>
    <row r="887">
      <c r="A887" s="10"/>
      <c r="B887" s="101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33"/>
      <c r="AM887" s="33"/>
      <c r="AN887" s="33"/>
      <c r="AO887" s="10"/>
      <c r="AP887" s="10"/>
      <c r="AQ887" s="10"/>
    </row>
    <row r="888">
      <c r="A888" s="10"/>
      <c r="B888" s="101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33"/>
      <c r="AM888" s="33"/>
      <c r="AN888" s="33"/>
      <c r="AO888" s="10"/>
      <c r="AP888" s="10"/>
      <c r="AQ888" s="10"/>
    </row>
    <row r="889">
      <c r="A889" s="10"/>
      <c r="B889" s="101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33"/>
      <c r="AM889" s="33"/>
      <c r="AN889" s="33"/>
      <c r="AO889" s="10"/>
      <c r="AP889" s="10"/>
      <c r="AQ889" s="10"/>
    </row>
    <row r="890">
      <c r="A890" s="10"/>
      <c r="B890" s="101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33"/>
      <c r="AM890" s="33"/>
      <c r="AN890" s="33"/>
      <c r="AO890" s="10"/>
      <c r="AP890" s="10"/>
      <c r="AQ890" s="10"/>
    </row>
    <row r="891">
      <c r="A891" s="10"/>
      <c r="B891" s="101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33"/>
      <c r="AM891" s="33"/>
      <c r="AN891" s="33"/>
      <c r="AO891" s="10"/>
      <c r="AP891" s="10"/>
      <c r="AQ891" s="10"/>
    </row>
    <row r="892">
      <c r="A892" s="10"/>
      <c r="B892" s="101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33"/>
      <c r="AM892" s="33"/>
      <c r="AN892" s="33"/>
      <c r="AO892" s="10"/>
      <c r="AP892" s="10"/>
      <c r="AQ892" s="10"/>
    </row>
    <row r="893">
      <c r="A893" s="10"/>
      <c r="B893" s="101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33"/>
      <c r="AM893" s="33"/>
      <c r="AN893" s="33"/>
      <c r="AO893" s="10"/>
      <c r="AP893" s="10"/>
      <c r="AQ893" s="10"/>
    </row>
    <row r="894">
      <c r="A894" s="10"/>
      <c r="B894" s="101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33"/>
      <c r="AM894" s="33"/>
      <c r="AN894" s="33"/>
      <c r="AO894" s="10"/>
      <c r="AP894" s="10"/>
      <c r="AQ894" s="10"/>
    </row>
    <row r="895">
      <c r="A895" s="10"/>
      <c r="B895" s="101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33"/>
      <c r="AM895" s="33"/>
      <c r="AN895" s="33"/>
      <c r="AO895" s="10"/>
      <c r="AP895" s="10"/>
      <c r="AQ895" s="10"/>
    </row>
    <row r="896">
      <c r="A896" s="10"/>
      <c r="B896" s="101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33"/>
      <c r="AM896" s="33"/>
      <c r="AN896" s="33"/>
      <c r="AO896" s="10"/>
      <c r="AP896" s="10"/>
      <c r="AQ896" s="10"/>
    </row>
    <row r="897">
      <c r="A897" s="10"/>
      <c r="B897" s="101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33"/>
      <c r="AM897" s="33"/>
      <c r="AN897" s="33"/>
      <c r="AO897" s="10"/>
      <c r="AP897" s="10"/>
      <c r="AQ897" s="10"/>
    </row>
    <row r="898">
      <c r="A898" s="10"/>
      <c r="B898" s="101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33"/>
      <c r="AM898" s="33"/>
      <c r="AN898" s="33"/>
      <c r="AO898" s="10"/>
      <c r="AP898" s="10"/>
      <c r="AQ898" s="10"/>
    </row>
    <row r="899">
      <c r="A899" s="10"/>
      <c r="B899" s="101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33"/>
      <c r="AM899" s="33"/>
      <c r="AN899" s="33"/>
      <c r="AO899" s="10"/>
      <c r="AP899" s="10"/>
      <c r="AQ899" s="10"/>
    </row>
    <row r="900">
      <c r="A900" s="10"/>
      <c r="B900" s="101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33"/>
      <c r="AM900" s="33"/>
      <c r="AN900" s="33"/>
      <c r="AO900" s="10"/>
      <c r="AP900" s="10"/>
      <c r="AQ900" s="10"/>
    </row>
    <row r="901">
      <c r="A901" s="10"/>
      <c r="B901" s="101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33"/>
      <c r="AM901" s="33"/>
      <c r="AN901" s="33"/>
      <c r="AO901" s="10"/>
      <c r="AP901" s="10"/>
      <c r="AQ901" s="10"/>
    </row>
    <row r="902">
      <c r="A902" s="10"/>
      <c r="B902" s="101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33"/>
      <c r="AM902" s="33"/>
      <c r="AN902" s="33"/>
      <c r="AO902" s="10"/>
      <c r="AP902" s="10"/>
      <c r="AQ902" s="10"/>
    </row>
    <row r="903">
      <c r="A903" s="10"/>
      <c r="B903" s="101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33"/>
      <c r="AM903" s="33"/>
      <c r="AN903" s="33"/>
      <c r="AO903" s="10"/>
      <c r="AP903" s="10"/>
      <c r="AQ903" s="10"/>
    </row>
    <row r="904">
      <c r="A904" s="10"/>
      <c r="B904" s="101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33"/>
      <c r="AM904" s="33"/>
      <c r="AN904" s="33"/>
      <c r="AO904" s="10"/>
      <c r="AP904" s="10"/>
      <c r="AQ904" s="10"/>
    </row>
    <row r="905">
      <c r="A905" s="10"/>
      <c r="B905" s="101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33"/>
      <c r="AM905" s="33"/>
      <c r="AN905" s="33"/>
      <c r="AO905" s="10"/>
      <c r="AP905" s="10"/>
      <c r="AQ905" s="10"/>
    </row>
    <row r="906">
      <c r="A906" s="10"/>
      <c r="B906" s="101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33"/>
      <c r="AM906" s="33"/>
      <c r="AN906" s="33"/>
      <c r="AO906" s="10"/>
      <c r="AP906" s="10"/>
      <c r="AQ906" s="10"/>
    </row>
    <row r="907">
      <c r="A907" s="10"/>
      <c r="B907" s="101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33"/>
      <c r="AM907" s="33"/>
      <c r="AN907" s="33"/>
      <c r="AO907" s="10"/>
      <c r="AP907" s="10"/>
      <c r="AQ907" s="10"/>
    </row>
    <row r="908">
      <c r="A908" s="10"/>
      <c r="B908" s="101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33"/>
      <c r="AM908" s="33"/>
      <c r="AN908" s="33"/>
      <c r="AO908" s="10"/>
      <c r="AP908" s="10"/>
      <c r="AQ908" s="10"/>
    </row>
    <row r="909">
      <c r="A909" s="10"/>
      <c r="B909" s="101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33"/>
      <c r="AM909" s="33"/>
      <c r="AN909" s="33"/>
      <c r="AO909" s="10"/>
      <c r="AP909" s="10"/>
      <c r="AQ909" s="10"/>
    </row>
    <row r="910">
      <c r="A910" s="10"/>
      <c r="B910" s="101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33"/>
      <c r="AM910" s="33"/>
      <c r="AN910" s="33"/>
      <c r="AO910" s="10"/>
      <c r="AP910" s="10"/>
      <c r="AQ910" s="10"/>
    </row>
    <row r="911">
      <c r="A911" s="10"/>
      <c r="B911" s="101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33"/>
      <c r="AM911" s="33"/>
      <c r="AN911" s="33"/>
      <c r="AO911" s="10"/>
      <c r="AP911" s="10"/>
      <c r="AQ911" s="10"/>
    </row>
    <row r="912">
      <c r="A912" s="10"/>
      <c r="B912" s="101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33"/>
      <c r="AM912" s="33"/>
      <c r="AN912" s="33"/>
      <c r="AO912" s="10"/>
      <c r="AP912" s="10"/>
      <c r="AQ912" s="10"/>
    </row>
    <row r="913">
      <c r="A913" s="10"/>
      <c r="B913" s="101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33"/>
      <c r="AM913" s="33"/>
      <c r="AN913" s="33"/>
      <c r="AO913" s="10"/>
      <c r="AP913" s="10"/>
      <c r="AQ913" s="10"/>
    </row>
    <row r="914">
      <c r="A914" s="10"/>
      <c r="B914" s="101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33"/>
      <c r="AM914" s="33"/>
      <c r="AN914" s="33"/>
      <c r="AO914" s="10"/>
      <c r="AP914" s="10"/>
      <c r="AQ914" s="10"/>
    </row>
    <row r="915">
      <c r="A915" s="10"/>
      <c r="B915" s="101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33"/>
      <c r="AM915" s="33"/>
      <c r="AN915" s="33"/>
      <c r="AO915" s="10"/>
      <c r="AP915" s="10"/>
      <c r="AQ915" s="10"/>
    </row>
    <row r="916">
      <c r="A916" s="10"/>
      <c r="B916" s="101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33"/>
      <c r="AM916" s="33"/>
      <c r="AN916" s="33"/>
      <c r="AO916" s="10"/>
      <c r="AP916" s="10"/>
      <c r="AQ916" s="10"/>
    </row>
    <row r="917">
      <c r="A917" s="10"/>
      <c r="B917" s="101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33"/>
      <c r="AM917" s="33"/>
      <c r="AN917" s="33"/>
      <c r="AO917" s="10"/>
      <c r="AP917" s="10"/>
      <c r="AQ917" s="10"/>
    </row>
    <row r="918">
      <c r="A918" s="10"/>
      <c r="B918" s="101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33"/>
      <c r="AM918" s="33"/>
      <c r="AN918" s="33"/>
      <c r="AO918" s="10"/>
      <c r="AP918" s="10"/>
      <c r="AQ918" s="10"/>
    </row>
    <row r="919">
      <c r="A919" s="10"/>
      <c r="B919" s="101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33"/>
      <c r="AM919" s="33"/>
      <c r="AN919" s="33"/>
      <c r="AO919" s="10"/>
      <c r="AP919" s="10"/>
      <c r="AQ919" s="10"/>
    </row>
    <row r="920">
      <c r="A920" s="10"/>
      <c r="B920" s="101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33"/>
      <c r="AM920" s="33"/>
      <c r="AN920" s="33"/>
      <c r="AO920" s="10"/>
      <c r="AP920" s="10"/>
      <c r="AQ920" s="10"/>
    </row>
    <row r="921">
      <c r="A921" s="10"/>
      <c r="B921" s="101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33"/>
      <c r="AM921" s="33"/>
      <c r="AN921" s="33"/>
      <c r="AO921" s="10"/>
      <c r="AP921" s="10"/>
      <c r="AQ921" s="10"/>
    </row>
    <row r="922">
      <c r="A922" s="10"/>
      <c r="B922" s="101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33"/>
      <c r="AM922" s="33"/>
      <c r="AN922" s="33"/>
      <c r="AO922" s="10"/>
      <c r="AP922" s="10"/>
      <c r="AQ922" s="10"/>
    </row>
    <row r="923">
      <c r="A923" s="10"/>
      <c r="B923" s="101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33"/>
      <c r="AM923" s="33"/>
      <c r="AN923" s="33"/>
      <c r="AO923" s="10"/>
      <c r="AP923" s="10"/>
      <c r="AQ923" s="10"/>
    </row>
    <row r="924">
      <c r="A924" s="10"/>
      <c r="B924" s="101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33"/>
      <c r="AM924" s="33"/>
      <c r="AN924" s="33"/>
      <c r="AO924" s="10"/>
      <c r="AP924" s="10"/>
      <c r="AQ924" s="10"/>
    </row>
    <row r="925">
      <c r="A925" s="10"/>
      <c r="B925" s="101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33"/>
      <c r="AM925" s="33"/>
      <c r="AN925" s="33"/>
      <c r="AO925" s="10"/>
      <c r="AP925" s="10"/>
      <c r="AQ925" s="10"/>
    </row>
    <row r="926">
      <c r="A926" s="10"/>
      <c r="B926" s="101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33"/>
      <c r="AM926" s="33"/>
      <c r="AN926" s="33"/>
      <c r="AO926" s="10"/>
      <c r="AP926" s="10"/>
      <c r="AQ926" s="10"/>
    </row>
    <row r="927">
      <c r="A927" s="10"/>
      <c r="B927" s="101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33"/>
      <c r="AM927" s="33"/>
      <c r="AN927" s="33"/>
      <c r="AO927" s="10"/>
      <c r="AP927" s="10"/>
      <c r="AQ927" s="10"/>
    </row>
    <row r="928">
      <c r="A928" s="10"/>
      <c r="B928" s="101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33"/>
      <c r="AM928" s="33"/>
      <c r="AN928" s="33"/>
      <c r="AO928" s="10"/>
      <c r="AP928" s="10"/>
      <c r="AQ928" s="10"/>
    </row>
    <row r="929">
      <c r="A929" s="10"/>
      <c r="B929" s="101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33"/>
      <c r="AM929" s="33"/>
      <c r="AN929" s="33"/>
      <c r="AO929" s="10"/>
      <c r="AP929" s="10"/>
      <c r="AQ929" s="10"/>
    </row>
    <row r="930">
      <c r="A930" s="10"/>
      <c r="B930" s="101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33"/>
      <c r="AM930" s="33"/>
      <c r="AN930" s="33"/>
      <c r="AO930" s="10"/>
      <c r="AP930" s="10"/>
      <c r="AQ930" s="10"/>
    </row>
    <row r="931">
      <c r="A931" s="10"/>
      <c r="B931" s="101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33"/>
      <c r="AM931" s="33"/>
      <c r="AN931" s="33"/>
      <c r="AO931" s="10"/>
      <c r="AP931" s="10"/>
      <c r="AQ931" s="10"/>
    </row>
    <row r="932">
      <c r="A932" s="10"/>
      <c r="B932" s="101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33"/>
      <c r="AM932" s="33"/>
      <c r="AN932" s="33"/>
      <c r="AO932" s="10"/>
      <c r="AP932" s="10"/>
      <c r="AQ932" s="10"/>
    </row>
    <row r="933">
      <c r="A933" s="10"/>
      <c r="B933" s="101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33"/>
      <c r="AM933" s="33"/>
      <c r="AN933" s="33"/>
      <c r="AO933" s="10"/>
      <c r="AP933" s="10"/>
      <c r="AQ933" s="10"/>
    </row>
    <row r="934">
      <c r="A934" s="10"/>
      <c r="B934" s="101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33"/>
      <c r="AM934" s="33"/>
      <c r="AN934" s="33"/>
      <c r="AO934" s="10"/>
      <c r="AP934" s="10"/>
      <c r="AQ934" s="10"/>
    </row>
    <row r="935">
      <c r="A935" s="10"/>
      <c r="B935" s="101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33"/>
      <c r="AM935" s="33"/>
      <c r="AN935" s="33"/>
      <c r="AO935" s="10"/>
      <c r="AP935" s="10"/>
      <c r="AQ935" s="10"/>
    </row>
    <row r="936">
      <c r="A936" s="10"/>
      <c r="B936" s="101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33"/>
      <c r="AM936" s="33"/>
      <c r="AN936" s="33"/>
      <c r="AO936" s="10"/>
      <c r="AP936" s="10"/>
      <c r="AQ936" s="10"/>
    </row>
    <row r="937">
      <c r="A937" s="10"/>
      <c r="B937" s="101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33"/>
      <c r="AM937" s="33"/>
      <c r="AN937" s="33"/>
      <c r="AO937" s="10"/>
      <c r="AP937" s="10"/>
      <c r="AQ937" s="10"/>
    </row>
    <row r="938">
      <c r="A938" s="10"/>
      <c r="B938" s="101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33"/>
      <c r="AM938" s="33"/>
      <c r="AN938" s="33"/>
      <c r="AO938" s="10"/>
      <c r="AP938" s="10"/>
      <c r="AQ938" s="10"/>
    </row>
    <row r="939">
      <c r="A939" s="10"/>
      <c r="B939" s="101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33"/>
      <c r="AM939" s="33"/>
      <c r="AN939" s="33"/>
      <c r="AO939" s="10"/>
      <c r="AP939" s="10"/>
      <c r="AQ939" s="10"/>
    </row>
    <row r="940">
      <c r="A940" s="10"/>
      <c r="B940" s="101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33"/>
      <c r="AM940" s="33"/>
      <c r="AN940" s="33"/>
      <c r="AO940" s="10"/>
      <c r="AP940" s="10"/>
      <c r="AQ940" s="10"/>
    </row>
    <row r="941">
      <c r="A941" s="10"/>
      <c r="B941" s="101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33"/>
      <c r="AM941" s="33"/>
      <c r="AN941" s="33"/>
      <c r="AO941" s="10"/>
      <c r="AP941" s="10"/>
      <c r="AQ941" s="10"/>
    </row>
    <row r="942">
      <c r="A942" s="10"/>
      <c r="B942" s="101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33"/>
      <c r="AM942" s="33"/>
      <c r="AN942" s="33"/>
      <c r="AO942" s="10"/>
      <c r="AP942" s="10"/>
      <c r="AQ942" s="10"/>
    </row>
    <row r="943">
      <c r="A943" s="10"/>
      <c r="B943" s="101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33"/>
      <c r="AM943" s="33"/>
      <c r="AN943" s="33"/>
      <c r="AO943" s="10"/>
      <c r="AP943" s="10"/>
      <c r="AQ943" s="10"/>
    </row>
    <row r="944">
      <c r="A944" s="10"/>
      <c r="B944" s="101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33"/>
      <c r="AM944" s="33"/>
      <c r="AN944" s="33"/>
      <c r="AO944" s="10"/>
      <c r="AP944" s="10"/>
      <c r="AQ944" s="10"/>
    </row>
    <row r="945">
      <c r="A945" s="10"/>
      <c r="B945" s="101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33"/>
      <c r="AM945" s="33"/>
      <c r="AN945" s="33"/>
      <c r="AO945" s="10"/>
      <c r="AP945" s="10"/>
      <c r="AQ945" s="10"/>
    </row>
    <row r="946">
      <c r="A946" s="10"/>
      <c r="B946" s="101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33"/>
      <c r="AM946" s="33"/>
      <c r="AN946" s="33"/>
      <c r="AO946" s="10"/>
      <c r="AP946" s="10"/>
      <c r="AQ946" s="10"/>
    </row>
    <row r="947">
      <c r="A947" s="10"/>
      <c r="B947" s="101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33"/>
      <c r="AM947" s="33"/>
      <c r="AN947" s="33"/>
      <c r="AO947" s="10"/>
      <c r="AP947" s="10"/>
      <c r="AQ947" s="10"/>
    </row>
    <row r="948">
      <c r="A948" s="10"/>
      <c r="B948" s="101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33"/>
      <c r="AM948" s="33"/>
      <c r="AN948" s="33"/>
      <c r="AO948" s="10"/>
      <c r="AP948" s="10"/>
      <c r="AQ948" s="10"/>
    </row>
    <row r="949">
      <c r="A949" s="10"/>
      <c r="B949" s="101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33"/>
      <c r="AM949" s="33"/>
      <c r="AN949" s="33"/>
      <c r="AO949" s="10"/>
      <c r="AP949" s="10"/>
      <c r="AQ949" s="10"/>
    </row>
    <row r="950">
      <c r="A950" s="10"/>
      <c r="B950" s="101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33"/>
      <c r="AM950" s="33"/>
      <c r="AN950" s="33"/>
      <c r="AO950" s="10"/>
      <c r="AP950" s="10"/>
      <c r="AQ950" s="10"/>
    </row>
    <row r="951">
      <c r="A951" s="10"/>
      <c r="B951" s="101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33"/>
      <c r="AM951" s="33"/>
      <c r="AN951" s="33"/>
      <c r="AO951" s="10"/>
      <c r="AP951" s="10"/>
      <c r="AQ951" s="10"/>
    </row>
    <row r="952">
      <c r="A952" s="10"/>
      <c r="B952" s="101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33"/>
      <c r="AM952" s="33"/>
      <c r="AN952" s="33"/>
      <c r="AO952" s="10"/>
      <c r="AP952" s="10"/>
      <c r="AQ952" s="10"/>
    </row>
    <row r="953">
      <c r="A953" s="10"/>
      <c r="B953" s="101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33"/>
      <c r="AM953" s="33"/>
      <c r="AN953" s="33"/>
      <c r="AO953" s="10"/>
      <c r="AP953" s="10"/>
      <c r="AQ953" s="10"/>
    </row>
    <row r="954">
      <c r="A954" s="10"/>
      <c r="B954" s="101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33"/>
      <c r="AM954" s="33"/>
      <c r="AN954" s="33"/>
      <c r="AO954" s="10"/>
      <c r="AP954" s="10"/>
      <c r="AQ954" s="10"/>
    </row>
    <row r="955">
      <c r="A955" s="10"/>
      <c r="B955" s="101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33"/>
      <c r="AM955" s="33"/>
      <c r="AN955" s="33"/>
      <c r="AO955" s="10"/>
      <c r="AP955" s="10"/>
      <c r="AQ955" s="10"/>
    </row>
    <row r="956">
      <c r="A956" s="10"/>
      <c r="B956" s="101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33"/>
      <c r="AM956" s="33"/>
      <c r="AN956" s="33"/>
      <c r="AO956" s="10"/>
      <c r="AP956" s="10"/>
      <c r="AQ956" s="10"/>
    </row>
    <row r="957">
      <c r="A957" s="10"/>
      <c r="B957" s="101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33"/>
      <c r="AM957" s="33"/>
      <c r="AN957" s="33"/>
      <c r="AO957" s="10"/>
      <c r="AP957" s="10"/>
      <c r="AQ957" s="10"/>
    </row>
    <row r="958">
      <c r="A958" s="10"/>
      <c r="B958" s="101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33"/>
      <c r="AM958" s="33"/>
      <c r="AN958" s="33"/>
      <c r="AO958" s="10"/>
      <c r="AP958" s="10"/>
      <c r="AQ958" s="10"/>
    </row>
    <row r="959">
      <c r="A959" s="10"/>
      <c r="B959" s="101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33"/>
      <c r="AM959" s="33"/>
      <c r="AN959" s="33"/>
      <c r="AO959" s="10"/>
      <c r="AP959" s="10"/>
      <c r="AQ959" s="10"/>
    </row>
    <row r="960">
      <c r="A960" s="10"/>
      <c r="B960" s="101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33"/>
      <c r="AM960" s="33"/>
      <c r="AN960" s="33"/>
      <c r="AO960" s="10"/>
      <c r="AP960" s="10"/>
      <c r="AQ960" s="10"/>
    </row>
    <row r="961">
      <c r="A961" s="10"/>
      <c r="B961" s="101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33"/>
      <c r="AM961" s="33"/>
      <c r="AN961" s="33"/>
      <c r="AO961" s="10"/>
      <c r="AP961" s="10"/>
      <c r="AQ961" s="10"/>
    </row>
    <row r="962">
      <c r="A962" s="10"/>
      <c r="B962" s="101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33"/>
      <c r="AM962" s="33"/>
      <c r="AN962" s="33"/>
      <c r="AO962" s="10"/>
      <c r="AP962" s="10"/>
      <c r="AQ962" s="10"/>
    </row>
    <row r="963">
      <c r="A963" s="10"/>
      <c r="B963" s="101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33"/>
      <c r="AM963" s="33"/>
      <c r="AN963" s="33"/>
      <c r="AO963" s="10"/>
      <c r="AP963" s="10"/>
      <c r="AQ963" s="10"/>
    </row>
    <row r="964">
      <c r="A964" s="10"/>
      <c r="B964" s="101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33"/>
      <c r="AM964" s="33"/>
      <c r="AN964" s="33"/>
      <c r="AO964" s="10"/>
      <c r="AP964" s="10"/>
      <c r="AQ964" s="10"/>
    </row>
    <row r="965">
      <c r="A965" s="10"/>
      <c r="B965" s="101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33"/>
      <c r="AM965" s="33"/>
      <c r="AN965" s="33"/>
      <c r="AO965" s="10"/>
      <c r="AP965" s="10"/>
      <c r="AQ965" s="10"/>
    </row>
    <row r="966">
      <c r="A966" s="10"/>
      <c r="B966" s="101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33"/>
      <c r="AM966" s="33"/>
      <c r="AN966" s="33"/>
      <c r="AO966" s="10"/>
      <c r="AP966" s="10"/>
      <c r="AQ966" s="10"/>
    </row>
    <row r="967">
      <c r="A967" s="10"/>
      <c r="B967" s="101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33"/>
      <c r="AM967" s="33"/>
      <c r="AN967" s="33"/>
      <c r="AO967" s="10"/>
      <c r="AP967" s="10"/>
      <c r="AQ967" s="10"/>
    </row>
    <row r="968">
      <c r="A968" s="10"/>
      <c r="B968" s="101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33"/>
      <c r="AM968" s="33"/>
      <c r="AN968" s="33"/>
      <c r="AO968" s="10"/>
      <c r="AP968" s="10"/>
      <c r="AQ968" s="10"/>
    </row>
    <row r="969">
      <c r="A969" s="10"/>
      <c r="B969" s="101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33"/>
      <c r="AM969" s="33"/>
      <c r="AN969" s="33"/>
      <c r="AO969" s="10"/>
      <c r="AP969" s="10"/>
      <c r="AQ969" s="10"/>
    </row>
    <row r="970">
      <c r="A970" s="10"/>
      <c r="B970" s="101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33"/>
      <c r="AM970" s="33"/>
      <c r="AN970" s="33"/>
      <c r="AO970" s="10"/>
      <c r="AP970" s="10"/>
      <c r="AQ970" s="10"/>
    </row>
    <row r="971">
      <c r="A971" s="10"/>
      <c r="B971" s="101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33"/>
      <c r="AM971" s="33"/>
      <c r="AN971" s="33"/>
      <c r="AO971" s="10"/>
      <c r="AP971" s="10"/>
      <c r="AQ971" s="10"/>
    </row>
    <row r="972">
      <c r="A972" s="10"/>
      <c r="B972" s="101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33"/>
      <c r="AM972" s="33"/>
      <c r="AN972" s="33"/>
      <c r="AO972" s="10"/>
      <c r="AP972" s="10"/>
      <c r="AQ972" s="10"/>
    </row>
    <row r="973">
      <c r="A973" s="10"/>
      <c r="B973" s="101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33"/>
      <c r="AM973" s="33"/>
      <c r="AN973" s="33"/>
      <c r="AO973" s="10"/>
      <c r="AP973" s="10"/>
      <c r="AQ973" s="10"/>
    </row>
    <row r="974">
      <c r="A974" s="10"/>
      <c r="B974" s="101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33"/>
      <c r="AM974" s="33"/>
      <c r="AN974" s="33"/>
      <c r="AO974" s="10"/>
      <c r="AP974" s="10"/>
      <c r="AQ974" s="10"/>
    </row>
    <row r="975">
      <c r="A975" s="10"/>
      <c r="B975" s="101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33"/>
      <c r="AM975" s="33"/>
      <c r="AN975" s="33"/>
      <c r="AO975" s="10"/>
      <c r="AP975" s="10"/>
      <c r="AQ975" s="10"/>
    </row>
    <row r="976">
      <c r="A976" s="10"/>
      <c r="B976" s="101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33"/>
      <c r="AM976" s="33"/>
      <c r="AN976" s="33"/>
      <c r="AO976" s="10"/>
      <c r="AP976" s="10"/>
      <c r="AQ976" s="10"/>
    </row>
    <row r="977">
      <c r="A977" s="10"/>
      <c r="B977" s="101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33"/>
      <c r="AM977" s="33"/>
      <c r="AN977" s="33"/>
      <c r="AO977" s="10"/>
      <c r="AP977" s="10"/>
      <c r="AQ977" s="10"/>
    </row>
    <row r="978">
      <c r="A978" s="10"/>
      <c r="B978" s="101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33"/>
      <c r="AM978" s="33"/>
      <c r="AN978" s="33"/>
      <c r="AO978" s="10"/>
      <c r="AP978" s="10"/>
      <c r="AQ978" s="10"/>
    </row>
    <row r="979">
      <c r="A979" s="10"/>
      <c r="B979" s="101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33"/>
      <c r="AM979" s="33"/>
      <c r="AN979" s="33"/>
      <c r="AO979" s="10"/>
      <c r="AP979" s="10"/>
      <c r="AQ979" s="10"/>
    </row>
    <row r="980">
      <c r="A980" s="10"/>
      <c r="B980" s="101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33"/>
      <c r="AM980" s="33"/>
      <c r="AN980" s="33"/>
      <c r="AO980" s="10"/>
      <c r="AP980" s="10"/>
      <c r="AQ980" s="10"/>
    </row>
    <row r="981">
      <c r="A981" s="10"/>
      <c r="B981" s="101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33"/>
      <c r="AM981" s="33"/>
      <c r="AN981" s="33"/>
      <c r="AO981" s="10"/>
      <c r="AP981" s="10"/>
      <c r="AQ981" s="10"/>
    </row>
    <row r="982">
      <c r="A982" s="10"/>
      <c r="B982" s="101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33"/>
      <c r="AM982" s="33"/>
      <c r="AN982" s="33"/>
      <c r="AO982" s="10"/>
      <c r="AP982" s="10"/>
      <c r="AQ982" s="10"/>
    </row>
    <row r="983">
      <c r="A983" s="10"/>
      <c r="B983" s="101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33"/>
      <c r="AM983" s="33"/>
      <c r="AN983" s="33"/>
      <c r="AO983" s="10"/>
      <c r="AP983" s="10"/>
      <c r="AQ983" s="10"/>
    </row>
    <row r="984">
      <c r="A984" s="10"/>
      <c r="B984" s="101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33"/>
      <c r="AM984" s="33"/>
      <c r="AN984" s="33"/>
      <c r="AO984" s="10"/>
      <c r="AP984" s="10"/>
      <c r="AQ984" s="10"/>
    </row>
    <row r="985">
      <c r="A985" s="10"/>
      <c r="B985" s="101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33"/>
      <c r="AM985" s="33"/>
      <c r="AN985" s="33"/>
      <c r="AO985" s="10"/>
      <c r="AP985" s="10"/>
      <c r="AQ985" s="10"/>
    </row>
    <row r="986">
      <c r="A986" s="10"/>
      <c r="B986" s="101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33"/>
      <c r="AM986" s="33"/>
      <c r="AN986" s="33"/>
      <c r="AO986" s="10"/>
      <c r="AP986" s="10"/>
      <c r="AQ986" s="10"/>
    </row>
    <row r="987">
      <c r="A987" s="10"/>
      <c r="B987" s="101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33"/>
      <c r="AM987" s="33"/>
      <c r="AN987" s="33"/>
      <c r="AO987" s="10"/>
      <c r="AP987" s="10"/>
      <c r="AQ987" s="10"/>
    </row>
    <row r="988">
      <c r="A988" s="10"/>
      <c r="B988" s="101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33"/>
      <c r="AM988" s="33"/>
      <c r="AN988" s="33"/>
      <c r="AO988" s="10"/>
      <c r="AP988" s="10"/>
      <c r="AQ988" s="10"/>
    </row>
    <row r="989">
      <c r="A989" s="10"/>
      <c r="B989" s="101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33"/>
      <c r="AM989" s="33"/>
      <c r="AN989" s="33"/>
      <c r="AO989" s="10"/>
      <c r="AP989" s="10"/>
      <c r="AQ989" s="10"/>
    </row>
    <row r="990">
      <c r="A990" s="10"/>
      <c r="B990" s="101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33"/>
      <c r="AM990" s="33"/>
      <c r="AN990" s="33"/>
      <c r="AO990" s="10"/>
      <c r="AP990" s="10"/>
      <c r="AQ990" s="10"/>
    </row>
    <row r="991">
      <c r="A991" s="10"/>
      <c r="B991" s="101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33"/>
      <c r="AM991" s="33"/>
      <c r="AN991" s="33"/>
      <c r="AO991" s="10"/>
      <c r="AP991" s="10"/>
      <c r="AQ991" s="10"/>
    </row>
    <row r="992">
      <c r="A992" s="10"/>
      <c r="B992" s="101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33"/>
      <c r="AM992" s="33"/>
      <c r="AN992" s="33"/>
      <c r="AO992" s="10"/>
      <c r="AP992" s="10"/>
      <c r="AQ992" s="10"/>
    </row>
    <row r="993">
      <c r="A993" s="10"/>
      <c r="B993" s="101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33"/>
      <c r="AM993" s="33"/>
      <c r="AN993" s="33"/>
      <c r="AO993" s="10"/>
      <c r="AP993" s="10"/>
      <c r="AQ993" s="10"/>
    </row>
    <row r="994">
      <c r="A994" s="10"/>
      <c r="B994" s="101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33"/>
      <c r="AM994" s="33"/>
      <c r="AN994" s="33"/>
      <c r="AO994" s="10"/>
      <c r="AP994" s="10"/>
      <c r="AQ994" s="10"/>
    </row>
    <row r="995">
      <c r="A995" s="10"/>
      <c r="B995" s="101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33"/>
      <c r="AM995" s="33"/>
      <c r="AN995" s="33"/>
      <c r="AO995" s="10"/>
      <c r="AP995" s="10"/>
      <c r="AQ995" s="10"/>
    </row>
    <row r="996">
      <c r="A996" s="61"/>
      <c r="B996" s="2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61"/>
      <c r="AL996" s="115"/>
      <c r="AM996" s="115"/>
      <c r="AN996" s="115"/>
      <c r="AO996" s="61"/>
      <c r="AP996" s="61"/>
      <c r="AQ996" s="61"/>
    </row>
    <row r="997">
      <c r="A997" s="61"/>
      <c r="B997" s="2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  <c r="AH997" s="61"/>
      <c r="AI997" s="61"/>
      <c r="AJ997" s="61"/>
      <c r="AK997" s="61"/>
      <c r="AL997" s="115"/>
      <c r="AM997" s="115"/>
      <c r="AN997" s="115"/>
      <c r="AO997" s="61"/>
      <c r="AP997" s="61"/>
      <c r="AQ997" s="61"/>
    </row>
    <row r="998">
      <c r="A998" s="61"/>
      <c r="B998" s="2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61"/>
      <c r="AL998" s="115"/>
      <c r="AM998" s="115"/>
      <c r="AN998" s="115"/>
      <c r="AO998" s="61"/>
      <c r="AP998" s="61"/>
      <c r="AQ998" s="61"/>
    </row>
  </sheetData>
  <mergeCells count="4">
    <mergeCell ref="A1:AK1"/>
    <mergeCell ref="A2:A4"/>
    <mergeCell ref="B2:B4"/>
    <mergeCell ref="C2:AK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6.88"/>
    <col customWidth="1" min="2" max="2" width="10.13"/>
    <col customWidth="1" min="3" max="3" width="4.13"/>
    <col customWidth="1" min="4" max="4" width="4.25"/>
    <col customWidth="1" min="5" max="5" width="3.0"/>
    <col customWidth="1" min="6" max="6" width="4.25"/>
    <col customWidth="1" min="7" max="8" width="3.0"/>
    <col customWidth="1" min="9" max="9" width="4.25"/>
    <col customWidth="1" min="10" max="18" width="3.0"/>
    <col customWidth="1" min="19" max="19" width="4.25"/>
    <col customWidth="1" min="20" max="37" width="3.0"/>
    <col customWidth="1" min="38" max="38" width="10.38"/>
    <col customWidth="1" min="39" max="40" width="12.63"/>
    <col customWidth="1" min="41" max="42" width="11.25"/>
  </cols>
  <sheetData>
    <row r="1">
      <c r="A1" s="11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7"/>
      <c r="AL1" s="2"/>
      <c r="AM1" s="2"/>
      <c r="AN1" s="2"/>
      <c r="AO1" s="1"/>
      <c r="AP1" s="1"/>
      <c r="AQ1" s="113">
        <v>45962.0</v>
      </c>
    </row>
    <row r="2">
      <c r="A2" s="4" t="s">
        <v>1</v>
      </c>
      <c r="B2" s="4" t="s">
        <v>2</v>
      </c>
      <c r="C2" s="5" t="str">
        <f>UPPER("HARI / BULAN : " &amp; TEXT(AQ1, "MMMM YYYY"))</f>
        <v>HARI / BULAN : NOVEMBER 2025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  <c r="AL2" s="8"/>
      <c r="AM2" s="8"/>
      <c r="AN2" s="8"/>
      <c r="AO2" s="9"/>
      <c r="AP2" s="9"/>
      <c r="AQ2" s="10"/>
    </row>
    <row r="3">
      <c r="A3" s="11"/>
      <c r="B3" s="11"/>
      <c r="C3" s="12" t="str">
        <f t="shared" ref="C3:AG3" si="1">TEXT(C4,"dddd")</f>
        <v>Sabtu</v>
      </c>
      <c r="D3" s="12" t="str">
        <f t="shared" si="1"/>
        <v>Minggu</v>
      </c>
      <c r="E3" s="12" t="str">
        <f t="shared" si="1"/>
        <v>Senin</v>
      </c>
      <c r="F3" s="12" t="str">
        <f t="shared" si="1"/>
        <v>Selasa</v>
      </c>
      <c r="G3" s="12" t="str">
        <f t="shared" si="1"/>
        <v>Rabu</v>
      </c>
      <c r="H3" s="12" t="str">
        <f t="shared" si="1"/>
        <v>Kamis</v>
      </c>
      <c r="I3" s="12" t="str">
        <f t="shared" si="1"/>
        <v>Jumat</v>
      </c>
      <c r="J3" s="12" t="str">
        <f t="shared" si="1"/>
        <v>Sabtu</v>
      </c>
      <c r="K3" s="12" t="str">
        <f t="shared" si="1"/>
        <v>Minggu</v>
      </c>
      <c r="L3" s="12" t="str">
        <f t="shared" si="1"/>
        <v>Senin</v>
      </c>
      <c r="M3" s="12" t="str">
        <f t="shared" si="1"/>
        <v>Selasa</v>
      </c>
      <c r="N3" s="12" t="str">
        <f t="shared" si="1"/>
        <v>Rabu</v>
      </c>
      <c r="O3" s="12" t="str">
        <f t="shared" si="1"/>
        <v>Kamis</v>
      </c>
      <c r="P3" s="12" t="str">
        <f t="shared" si="1"/>
        <v>Jumat</v>
      </c>
      <c r="Q3" s="12" t="str">
        <f t="shared" si="1"/>
        <v>Sabtu</v>
      </c>
      <c r="R3" s="12" t="str">
        <f t="shared" si="1"/>
        <v>Minggu</v>
      </c>
      <c r="S3" s="12" t="str">
        <f t="shared" si="1"/>
        <v>Senin</v>
      </c>
      <c r="T3" s="12" t="str">
        <f t="shared" si="1"/>
        <v>Selasa</v>
      </c>
      <c r="U3" s="12" t="str">
        <f t="shared" si="1"/>
        <v>Rabu</v>
      </c>
      <c r="V3" s="12" t="str">
        <f t="shared" si="1"/>
        <v>Kamis</v>
      </c>
      <c r="W3" s="12" t="str">
        <f t="shared" si="1"/>
        <v>Jumat</v>
      </c>
      <c r="X3" s="12" t="str">
        <f t="shared" si="1"/>
        <v>Sabtu</v>
      </c>
      <c r="Y3" s="12" t="str">
        <f t="shared" si="1"/>
        <v>Minggu</v>
      </c>
      <c r="Z3" s="12" t="str">
        <f t="shared" si="1"/>
        <v>Senin</v>
      </c>
      <c r="AA3" s="12" t="str">
        <f t="shared" si="1"/>
        <v>Selasa</v>
      </c>
      <c r="AB3" s="12" t="str">
        <f t="shared" si="1"/>
        <v>Rabu</v>
      </c>
      <c r="AC3" s="12" t="str">
        <f t="shared" si="1"/>
        <v>Kamis</v>
      </c>
      <c r="AD3" s="12" t="str">
        <f t="shared" si="1"/>
        <v>Jumat</v>
      </c>
      <c r="AE3" s="12" t="str">
        <f t="shared" si="1"/>
        <v>Sabtu</v>
      </c>
      <c r="AF3" s="12" t="str">
        <f t="shared" si="1"/>
        <v>Minggu</v>
      </c>
      <c r="AG3" s="12" t="str">
        <f t="shared" si="1"/>
        <v/>
      </c>
      <c r="AH3" s="13" t="s">
        <v>3</v>
      </c>
      <c r="AI3" s="13" t="s">
        <v>4</v>
      </c>
      <c r="AJ3" s="13" t="s">
        <v>5</v>
      </c>
      <c r="AK3" s="13" t="s">
        <v>6</v>
      </c>
      <c r="AL3" s="14" t="s">
        <v>7</v>
      </c>
      <c r="AM3" s="14" t="s">
        <v>8</v>
      </c>
      <c r="AN3" s="14" t="s">
        <v>9</v>
      </c>
      <c r="AO3" s="13" t="s">
        <v>10</v>
      </c>
      <c r="AP3" s="13" t="s">
        <v>509</v>
      </c>
      <c r="AQ3" s="10"/>
    </row>
    <row r="4">
      <c r="A4" s="15"/>
      <c r="B4" s="15"/>
      <c r="C4" s="16">
        <f>AQ1</f>
        <v>45962</v>
      </c>
      <c r="D4" s="16">
        <f t="shared" ref="D4:AG4" si="2">IF(AND(MONTH(C4+1) = MONTH(C4), C4&lt;&gt;""),C4  + 1, "")</f>
        <v>45963</v>
      </c>
      <c r="E4" s="16">
        <f t="shared" si="2"/>
        <v>45964</v>
      </c>
      <c r="F4" s="16">
        <f t="shared" si="2"/>
        <v>45965</v>
      </c>
      <c r="G4" s="16">
        <f t="shared" si="2"/>
        <v>45966</v>
      </c>
      <c r="H4" s="16">
        <f t="shared" si="2"/>
        <v>45967</v>
      </c>
      <c r="I4" s="16">
        <f t="shared" si="2"/>
        <v>45968</v>
      </c>
      <c r="J4" s="16">
        <f t="shared" si="2"/>
        <v>45969</v>
      </c>
      <c r="K4" s="16">
        <f t="shared" si="2"/>
        <v>45970</v>
      </c>
      <c r="L4" s="16">
        <f t="shared" si="2"/>
        <v>45971</v>
      </c>
      <c r="M4" s="16">
        <f t="shared" si="2"/>
        <v>45972</v>
      </c>
      <c r="N4" s="16">
        <f t="shared" si="2"/>
        <v>45973</v>
      </c>
      <c r="O4" s="16">
        <f t="shared" si="2"/>
        <v>45974</v>
      </c>
      <c r="P4" s="16">
        <f t="shared" si="2"/>
        <v>45975</v>
      </c>
      <c r="Q4" s="16">
        <f t="shared" si="2"/>
        <v>45976</v>
      </c>
      <c r="R4" s="16">
        <f t="shared" si="2"/>
        <v>45977</v>
      </c>
      <c r="S4" s="16">
        <f t="shared" si="2"/>
        <v>45978</v>
      </c>
      <c r="T4" s="16">
        <f t="shared" si="2"/>
        <v>45979</v>
      </c>
      <c r="U4" s="16">
        <f t="shared" si="2"/>
        <v>45980</v>
      </c>
      <c r="V4" s="16">
        <f t="shared" si="2"/>
        <v>45981</v>
      </c>
      <c r="W4" s="16">
        <f t="shared" si="2"/>
        <v>45982</v>
      </c>
      <c r="X4" s="16">
        <f t="shared" si="2"/>
        <v>45983</v>
      </c>
      <c r="Y4" s="16">
        <f t="shared" si="2"/>
        <v>45984</v>
      </c>
      <c r="Z4" s="16">
        <f t="shared" si="2"/>
        <v>45985</v>
      </c>
      <c r="AA4" s="16">
        <f t="shared" si="2"/>
        <v>45986</v>
      </c>
      <c r="AB4" s="16">
        <f t="shared" si="2"/>
        <v>45987</v>
      </c>
      <c r="AC4" s="16">
        <f t="shared" si="2"/>
        <v>45988</v>
      </c>
      <c r="AD4" s="16">
        <f t="shared" si="2"/>
        <v>45989</v>
      </c>
      <c r="AE4" s="16">
        <f t="shared" si="2"/>
        <v>45990</v>
      </c>
      <c r="AF4" s="16">
        <f t="shared" si="2"/>
        <v>45991</v>
      </c>
      <c r="AG4" s="16" t="str">
        <f t="shared" si="2"/>
        <v/>
      </c>
      <c r="AH4" s="17"/>
      <c r="AI4" s="17"/>
      <c r="AJ4" s="18"/>
      <c r="AK4" s="18"/>
      <c r="AL4" s="19"/>
      <c r="AM4" s="19"/>
      <c r="AN4" s="19"/>
      <c r="AO4" s="18"/>
      <c r="AP4" s="18"/>
      <c r="AQ4" s="10"/>
    </row>
    <row r="5">
      <c r="A5" s="20" t="str">
        <f>'MASTER STOCK'!F2</f>
        <v>Fitting Gantung</v>
      </c>
      <c r="B5" s="21">
        <f>'OKT 25'!AJ5:AJ388</f>
        <v>8</v>
      </c>
      <c r="C5" s="22"/>
      <c r="D5" s="22"/>
      <c r="E5" s="10"/>
      <c r="F5" s="10"/>
      <c r="G5" s="22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22"/>
      <c r="AH5" s="23">
        <f t="shared" ref="AH5:AH379" si="3">SUM(C5:AG5)</f>
        <v>0</v>
      </c>
      <c r="AI5" s="24">
        <v>0.0</v>
      </c>
      <c r="AJ5" s="23">
        <f t="shared" ref="AJ5:AJ379" si="4">B5-AH5</f>
        <v>8</v>
      </c>
      <c r="AK5" s="23">
        <f t="shared" ref="AK5:AK379" si="5">AJ5-AI5</f>
        <v>8</v>
      </c>
      <c r="AL5" s="25">
        <f>'MASTER STOCK'!I2</f>
        <v>1400</v>
      </c>
      <c r="AM5" s="27">
        <f>'MASTER STOCK'!L2</f>
        <v>1820</v>
      </c>
      <c r="AN5" s="27">
        <f t="shared" ref="AN5:AN377" si="6">AH5*AM5</f>
        <v>0</v>
      </c>
      <c r="AO5" s="26">
        <f t="shared" ref="AO5:AO408" si="7">AN5-(AH5*AL5)</f>
        <v>0</v>
      </c>
      <c r="AP5" s="114">
        <f t="shared" ref="AP5:AP408" si="8">AH5*AL5</f>
        <v>0</v>
      </c>
      <c r="AQ5" s="10"/>
    </row>
    <row r="6">
      <c r="A6" s="20" t="str">
        <f>'MASTER STOCK'!F3</f>
        <v>Colokan T </v>
      </c>
      <c r="B6" s="21">
        <f>'OKT 25'!AJ6:AJ389</f>
        <v>12</v>
      </c>
      <c r="C6" s="22"/>
      <c r="D6" s="10"/>
      <c r="E6" s="10"/>
      <c r="F6" s="10"/>
      <c r="G6" s="10"/>
      <c r="H6" s="22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23">
        <f t="shared" si="3"/>
        <v>0</v>
      </c>
      <c r="AI6" s="24">
        <v>0.0</v>
      </c>
      <c r="AJ6" s="23">
        <f t="shared" si="4"/>
        <v>12</v>
      </c>
      <c r="AK6" s="23">
        <f t="shared" si="5"/>
        <v>12</v>
      </c>
      <c r="AL6" s="25">
        <f>'MASTER STOCK'!I3</f>
        <v>3000</v>
      </c>
      <c r="AM6" s="27">
        <f>'MASTER STOCK'!L3</f>
        <v>3900</v>
      </c>
      <c r="AN6" s="27">
        <f t="shared" si="6"/>
        <v>0</v>
      </c>
      <c r="AO6" s="26">
        <f t="shared" si="7"/>
        <v>0</v>
      </c>
      <c r="AP6" s="114">
        <f t="shared" si="8"/>
        <v>0</v>
      </c>
      <c r="AQ6" s="10"/>
    </row>
    <row r="7">
      <c r="A7" s="20" t="str">
        <f>'MASTER STOCK'!F4</f>
        <v>Steker Bulat</v>
      </c>
      <c r="B7" s="21">
        <f>'OKT 25'!AJ7:AJ390</f>
        <v>11</v>
      </c>
      <c r="C7" s="10"/>
      <c r="D7" s="10"/>
      <c r="E7" s="22"/>
      <c r="F7" s="22">
        <v>1.0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23">
        <f t="shared" si="3"/>
        <v>1</v>
      </c>
      <c r="AI7" s="24">
        <v>0.0</v>
      </c>
      <c r="AJ7" s="23">
        <f t="shared" si="4"/>
        <v>10</v>
      </c>
      <c r="AK7" s="23">
        <f t="shared" si="5"/>
        <v>10</v>
      </c>
      <c r="AL7" s="25">
        <f>'MASTER STOCK'!I4</f>
        <v>3000</v>
      </c>
      <c r="AM7" s="27">
        <f>'MASTER STOCK'!L4</f>
        <v>6000</v>
      </c>
      <c r="AN7" s="27">
        <f t="shared" si="6"/>
        <v>6000</v>
      </c>
      <c r="AO7" s="26">
        <f t="shared" si="7"/>
        <v>3000</v>
      </c>
      <c r="AP7" s="114">
        <f t="shared" si="8"/>
        <v>3000</v>
      </c>
      <c r="AQ7" s="10"/>
    </row>
    <row r="8">
      <c r="A8" s="20" t="str">
        <f>'MASTER STOCK'!F5</f>
        <v>Steker Gepeng</v>
      </c>
      <c r="B8" s="21">
        <f>'OKT 25'!AJ8:AJ391</f>
        <v>10</v>
      </c>
      <c r="C8" s="10"/>
      <c r="D8" s="10"/>
      <c r="E8" s="10"/>
      <c r="F8" s="10"/>
      <c r="G8" s="10"/>
      <c r="H8" s="22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23">
        <f t="shared" si="3"/>
        <v>0</v>
      </c>
      <c r="AI8" s="24">
        <v>0.0</v>
      </c>
      <c r="AJ8" s="23">
        <f t="shared" si="4"/>
        <v>10</v>
      </c>
      <c r="AK8" s="23">
        <f t="shared" si="5"/>
        <v>10</v>
      </c>
      <c r="AL8" s="25">
        <f>'MASTER STOCK'!I5</f>
        <v>1100</v>
      </c>
      <c r="AM8" s="27">
        <f>'MASTER STOCK'!L5</f>
        <v>1430</v>
      </c>
      <c r="AN8" s="27">
        <f t="shared" si="6"/>
        <v>0</v>
      </c>
      <c r="AO8" s="26">
        <f t="shared" si="7"/>
        <v>0</v>
      </c>
      <c r="AP8" s="114">
        <f t="shared" si="8"/>
        <v>0</v>
      </c>
      <c r="AQ8" s="10"/>
    </row>
    <row r="9">
      <c r="A9" s="20" t="str">
        <f>'MASTER STOCK'!F6</f>
        <v>Saklar Gantung Putih jumbo</v>
      </c>
      <c r="B9" s="21">
        <f>'OKT 25'!AJ9:AJ392</f>
        <v>11</v>
      </c>
      <c r="C9" s="10"/>
      <c r="D9" s="10"/>
      <c r="E9" s="22">
        <v>2.0</v>
      </c>
      <c r="F9" s="10"/>
      <c r="G9" s="22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22">
        <v>1.0</v>
      </c>
      <c r="T9" s="10"/>
      <c r="U9" s="10"/>
      <c r="V9" s="22">
        <v>1.0</v>
      </c>
      <c r="W9" s="22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23">
        <f t="shared" si="3"/>
        <v>4</v>
      </c>
      <c r="AI9" s="24">
        <v>0.0</v>
      </c>
      <c r="AJ9" s="23">
        <f t="shared" si="4"/>
        <v>7</v>
      </c>
      <c r="AK9" s="23">
        <f t="shared" si="5"/>
        <v>7</v>
      </c>
      <c r="AL9" s="25">
        <f>'MASTER STOCK'!I6</f>
        <v>2250</v>
      </c>
      <c r="AM9" s="27">
        <f>'MASTER STOCK'!L6</f>
        <v>4000</v>
      </c>
      <c r="AN9" s="27">
        <f t="shared" si="6"/>
        <v>16000</v>
      </c>
      <c r="AO9" s="26">
        <f t="shared" si="7"/>
        <v>7000</v>
      </c>
      <c r="AP9" s="114">
        <f t="shared" si="8"/>
        <v>9000</v>
      </c>
      <c r="AQ9" s="10"/>
    </row>
    <row r="10">
      <c r="A10" s="20" t="str">
        <f>'MASTER STOCK'!F7</f>
        <v>Saklar Gantung Hitam</v>
      </c>
      <c r="B10" s="21">
        <f>'OKT 25'!AJ10:AJ393</f>
        <v>11</v>
      </c>
      <c r="C10" s="10"/>
      <c r="D10" s="10"/>
      <c r="E10" s="10"/>
      <c r="F10" s="10"/>
      <c r="G10" s="10"/>
      <c r="H10" s="10"/>
      <c r="I10" s="10"/>
      <c r="J10" s="10"/>
      <c r="K10" s="22"/>
      <c r="L10" s="10"/>
      <c r="M10" s="10"/>
      <c r="N10" s="10"/>
      <c r="O10" s="10"/>
      <c r="P10" s="10"/>
      <c r="Q10" s="10"/>
      <c r="R10" s="10"/>
      <c r="S10" s="22">
        <v>1.0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23">
        <f t="shared" si="3"/>
        <v>1</v>
      </c>
      <c r="AI10" s="24">
        <v>0.0</v>
      </c>
      <c r="AJ10" s="23">
        <f t="shared" si="4"/>
        <v>10</v>
      </c>
      <c r="AK10" s="23">
        <f t="shared" si="5"/>
        <v>10</v>
      </c>
      <c r="AL10" s="25">
        <f>'MASTER STOCK'!I7</f>
        <v>1850</v>
      </c>
      <c r="AM10" s="27">
        <f>'MASTER STOCK'!L7</f>
        <v>4000</v>
      </c>
      <c r="AN10" s="27">
        <f t="shared" si="6"/>
        <v>4000</v>
      </c>
      <c r="AO10" s="26">
        <f t="shared" si="7"/>
        <v>2150</v>
      </c>
      <c r="AP10" s="114">
        <f t="shared" si="8"/>
        <v>1850</v>
      </c>
      <c r="AQ10" s="10"/>
    </row>
    <row r="11">
      <c r="A11" s="20" t="str">
        <f>'MASTER STOCK'!F8</f>
        <v>Isolasi Hitam National</v>
      </c>
      <c r="B11" s="21">
        <f>'OKT 25'!AJ11:AJ394</f>
        <v>19</v>
      </c>
      <c r="C11" s="10"/>
      <c r="D11" s="10"/>
      <c r="E11" s="10"/>
      <c r="F11" s="10"/>
      <c r="G11" s="22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22"/>
      <c r="AE11" s="10"/>
      <c r="AF11" s="10"/>
      <c r="AG11" s="10"/>
      <c r="AH11" s="23">
        <f t="shared" si="3"/>
        <v>0</v>
      </c>
      <c r="AI11" s="24">
        <v>0.0</v>
      </c>
      <c r="AJ11" s="23">
        <f t="shared" si="4"/>
        <v>19</v>
      </c>
      <c r="AK11" s="23">
        <f t="shared" si="5"/>
        <v>19</v>
      </c>
      <c r="AL11" s="25">
        <f>'MASTER STOCK'!I8</f>
        <v>5150</v>
      </c>
      <c r="AM11" s="27">
        <f>'MASTER STOCK'!L8</f>
        <v>7982.5</v>
      </c>
      <c r="AN11" s="27">
        <f t="shared" si="6"/>
        <v>0</v>
      </c>
      <c r="AO11" s="26">
        <f t="shared" si="7"/>
        <v>0</v>
      </c>
      <c r="AP11" s="114">
        <f t="shared" si="8"/>
        <v>0</v>
      </c>
      <c r="AQ11" s="10"/>
    </row>
    <row r="12">
      <c r="A12" s="20" t="str">
        <f>'MASTER STOCK'!F9</f>
        <v>Lem PVC Isarplas 40gram</v>
      </c>
      <c r="B12" s="21">
        <f>'OKT 25'!AJ12:AJ395</f>
        <v>23</v>
      </c>
      <c r="C12" s="10"/>
      <c r="D12" s="10"/>
      <c r="E12" s="10"/>
      <c r="F12" s="10"/>
      <c r="G12" s="10"/>
      <c r="H12" s="10"/>
      <c r="I12" s="22">
        <v>1.0</v>
      </c>
      <c r="J12" s="10"/>
      <c r="K12" s="10"/>
      <c r="L12" s="10"/>
      <c r="M12" s="10"/>
      <c r="N12" s="22">
        <v>1.0</v>
      </c>
      <c r="O12" s="10"/>
      <c r="P12" s="10"/>
      <c r="Q12" s="10"/>
      <c r="R12" s="10"/>
      <c r="S12" s="22"/>
      <c r="T12" s="10"/>
      <c r="U12" s="10"/>
      <c r="V12" s="10"/>
      <c r="W12" s="10"/>
      <c r="X12" s="10"/>
      <c r="Y12" s="22"/>
      <c r="Z12" s="10"/>
      <c r="AA12" s="10"/>
      <c r="AB12" s="10"/>
      <c r="AC12" s="10"/>
      <c r="AD12" s="10"/>
      <c r="AE12" s="10"/>
      <c r="AF12" s="10"/>
      <c r="AG12" s="10"/>
      <c r="AH12" s="23">
        <f t="shared" si="3"/>
        <v>2</v>
      </c>
      <c r="AI12" s="24">
        <v>0.0</v>
      </c>
      <c r="AJ12" s="23">
        <f t="shared" si="4"/>
        <v>21</v>
      </c>
      <c r="AK12" s="23">
        <f t="shared" si="5"/>
        <v>21</v>
      </c>
      <c r="AL12" s="25">
        <f>'MASTER STOCK'!I9</f>
        <v>6900</v>
      </c>
      <c r="AM12" s="27">
        <f>'MASTER STOCK'!L9</f>
        <v>9500</v>
      </c>
      <c r="AN12" s="27">
        <f t="shared" si="6"/>
        <v>19000</v>
      </c>
      <c r="AO12" s="26">
        <f t="shared" si="7"/>
        <v>5200</v>
      </c>
      <c r="AP12" s="114">
        <f t="shared" si="8"/>
        <v>13800</v>
      </c>
      <c r="AQ12" s="10"/>
    </row>
    <row r="13">
      <c r="A13" s="20" t="str">
        <f>'MASTER STOCK'!F10</f>
        <v>Isolasi Kran air onda </v>
      </c>
      <c r="B13" s="21">
        <f>'OKT 25'!AJ13:AJ396</f>
        <v>60</v>
      </c>
      <c r="C13" s="23"/>
      <c r="D13" s="23"/>
      <c r="E13" s="23"/>
      <c r="F13" s="2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23">
        <f t="shared" si="3"/>
        <v>0</v>
      </c>
      <c r="AI13" s="24">
        <v>0.0</v>
      </c>
      <c r="AJ13" s="23">
        <f t="shared" si="4"/>
        <v>60</v>
      </c>
      <c r="AK13" s="23">
        <f t="shared" si="5"/>
        <v>60</v>
      </c>
      <c r="AL13" s="25">
        <f>'MASTER STOCK'!I10</f>
        <v>1150</v>
      </c>
      <c r="AM13" s="27">
        <f>'MASTER STOCK'!L10</f>
        <v>1495</v>
      </c>
      <c r="AN13" s="27">
        <f t="shared" si="6"/>
        <v>0</v>
      </c>
      <c r="AO13" s="26">
        <f t="shared" si="7"/>
        <v>0</v>
      </c>
      <c r="AP13" s="114">
        <f t="shared" si="8"/>
        <v>0</v>
      </c>
      <c r="AQ13" s="10"/>
    </row>
    <row r="14">
      <c r="A14" s="20" t="str">
        <f>'MASTER STOCK'!F11</f>
        <v>Tutup Pipa 3/4"</v>
      </c>
      <c r="B14" s="21">
        <f>'OKT 25'!AJ14:AJ397</f>
        <v>50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23">
        <f t="shared" si="3"/>
        <v>0</v>
      </c>
      <c r="AI14" s="24">
        <v>0.0</v>
      </c>
      <c r="AJ14" s="23">
        <f t="shared" si="4"/>
        <v>50</v>
      </c>
      <c r="AK14" s="23">
        <f t="shared" si="5"/>
        <v>50</v>
      </c>
      <c r="AL14" s="25">
        <f>'MASTER STOCK'!I11</f>
        <v>850</v>
      </c>
      <c r="AM14" s="27">
        <f>'MASTER STOCK'!L11</f>
        <v>1275</v>
      </c>
      <c r="AN14" s="27">
        <f t="shared" si="6"/>
        <v>0</v>
      </c>
      <c r="AO14" s="26">
        <f t="shared" si="7"/>
        <v>0</v>
      </c>
      <c r="AP14" s="114">
        <f t="shared" si="8"/>
        <v>0</v>
      </c>
      <c r="AQ14" s="10"/>
    </row>
    <row r="15">
      <c r="A15" s="20" t="str">
        <f>'MASTER STOCK'!F12</f>
        <v>Fitting lampu gantung outdoor (10 m 5 fitting)</v>
      </c>
      <c r="B15" s="21">
        <f>'OKT 25'!AJ15:AJ398</f>
        <v>1</v>
      </c>
      <c r="C15" s="28"/>
      <c r="D15" s="28"/>
      <c r="E15" s="28"/>
      <c r="F15" s="28"/>
      <c r="G15" s="10"/>
      <c r="H15" s="10"/>
      <c r="I15" s="2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23">
        <f t="shared" si="3"/>
        <v>0</v>
      </c>
      <c r="AI15" s="24">
        <v>0.0</v>
      </c>
      <c r="AJ15" s="23">
        <f t="shared" si="4"/>
        <v>1</v>
      </c>
      <c r="AK15" s="23">
        <f t="shared" si="5"/>
        <v>1</v>
      </c>
      <c r="AL15" s="25">
        <f>'MASTER STOCK'!I12</f>
        <v>38000</v>
      </c>
      <c r="AM15" s="27">
        <f>'MASTER STOCK'!L12</f>
        <v>49400</v>
      </c>
      <c r="AN15" s="27">
        <f t="shared" si="6"/>
        <v>0</v>
      </c>
      <c r="AO15" s="26">
        <f t="shared" si="7"/>
        <v>0</v>
      </c>
      <c r="AP15" s="114">
        <f t="shared" si="8"/>
        <v>0</v>
      </c>
      <c r="AQ15" s="10"/>
    </row>
    <row r="16">
      <c r="A16" s="20" t="str">
        <f>'MASTER STOCK'!F13</f>
        <v>Obeng karet 4" plus</v>
      </c>
      <c r="B16" s="21">
        <f>'OKT 25'!AJ16:AJ399</f>
        <v>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23">
        <f t="shared" si="3"/>
        <v>0</v>
      </c>
      <c r="AI16" s="24">
        <v>0.0</v>
      </c>
      <c r="AJ16" s="23">
        <f t="shared" si="4"/>
        <v>5</v>
      </c>
      <c r="AK16" s="23">
        <f t="shared" si="5"/>
        <v>5</v>
      </c>
      <c r="AL16" s="25">
        <f>'MASTER STOCK'!I13</f>
        <v>5500</v>
      </c>
      <c r="AM16" s="27">
        <f>'MASTER STOCK'!L13</f>
        <v>7150</v>
      </c>
      <c r="AN16" s="27">
        <f t="shared" si="6"/>
        <v>0</v>
      </c>
      <c r="AO16" s="26">
        <f t="shared" si="7"/>
        <v>0</v>
      </c>
      <c r="AP16" s="114">
        <f t="shared" si="8"/>
        <v>0</v>
      </c>
      <c r="AQ16" s="10"/>
    </row>
    <row r="17">
      <c r="A17" s="20" t="str">
        <f>'MASTER STOCK'!F14</f>
        <v>Obeng karet 4" minus</v>
      </c>
      <c r="B17" s="21">
        <f>'OKT 25'!AJ17:AJ400</f>
        <v>4</v>
      </c>
      <c r="C17" s="28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22"/>
      <c r="T17" s="22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23">
        <f t="shared" si="3"/>
        <v>0</v>
      </c>
      <c r="AI17" s="24">
        <v>0.0</v>
      </c>
      <c r="AJ17" s="23">
        <f t="shared" si="4"/>
        <v>4</v>
      </c>
      <c r="AK17" s="23">
        <f t="shared" si="5"/>
        <v>4</v>
      </c>
      <c r="AL17" s="25">
        <f>'MASTER STOCK'!I14</f>
        <v>5500</v>
      </c>
      <c r="AM17" s="27">
        <f>'MASTER STOCK'!L14</f>
        <v>7150</v>
      </c>
      <c r="AN17" s="27">
        <f t="shared" si="6"/>
        <v>0</v>
      </c>
      <c r="AO17" s="26">
        <f t="shared" si="7"/>
        <v>0</v>
      </c>
      <c r="AP17" s="114">
        <f t="shared" si="8"/>
        <v>0</v>
      </c>
      <c r="AQ17" s="10"/>
    </row>
    <row r="18">
      <c r="A18" s="20" t="str">
        <f>'MASTER STOCK'!F15</f>
        <v>Obeng karet 6" plus</v>
      </c>
      <c r="B18" s="21">
        <f>'OKT 25'!AJ18:AJ401</f>
        <v>5</v>
      </c>
      <c r="C18" s="28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23">
        <f t="shared" si="3"/>
        <v>0</v>
      </c>
      <c r="AI18" s="24">
        <v>0.0</v>
      </c>
      <c r="AJ18" s="23">
        <f t="shared" si="4"/>
        <v>5</v>
      </c>
      <c r="AK18" s="23">
        <f t="shared" si="5"/>
        <v>5</v>
      </c>
      <c r="AL18" s="25">
        <f>'MASTER STOCK'!I15</f>
        <v>7000</v>
      </c>
      <c r="AM18" s="27">
        <f>'MASTER STOCK'!L15</f>
        <v>9100</v>
      </c>
      <c r="AN18" s="27">
        <f t="shared" si="6"/>
        <v>0</v>
      </c>
      <c r="AO18" s="26">
        <f t="shared" si="7"/>
        <v>0</v>
      </c>
      <c r="AP18" s="114">
        <f t="shared" si="8"/>
        <v>0</v>
      </c>
      <c r="AQ18" s="10"/>
    </row>
    <row r="19">
      <c r="A19" s="20" t="str">
        <f>'MASTER STOCK'!F16</f>
        <v>Obeng karet 6" Minus</v>
      </c>
      <c r="B19" s="21">
        <f>'OKT 25'!AJ19:AJ402</f>
        <v>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22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23">
        <f t="shared" si="3"/>
        <v>0</v>
      </c>
      <c r="AI19" s="24">
        <v>0.0</v>
      </c>
      <c r="AJ19" s="23">
        <f t="shared" si="4"/>
        <v>5</v>
      </c>
      <c r="AK19" s="23">
        <f t="shared" si="5"/>
        <v>5</v>
      </c>
      <c r="AL19" s="25">
        <f>'MASTER STOCK'!I16</f>
        <v>7000</v>
      </c>
      <c r="AM19" s="27">
        <f>'MASTER STOCK'!L16</f>
        <v>9100</v>
      </c>
      <c r="AN19" s="27">
        <f t="shared" si="6"/>
        <v>0</v>
      </c>
      <c r="AO19" s="26">
        <f t="shared" si="7"/>
        <v>0</v>
      </c>
      <c r="AP19" s="114">
        <f t="shared" si="8"/>
        <v>0</v>
      </c>
      <c r="AQ19" s="10"/>
    </row>
    <row r="20">
      <c r="A20" s="20" t="str">
        <f>'MASTER STOCK'!F17</f>
        <v>Kabel Awg 24 Double 2x18 merah hitam</v>
      </c>
      <c r="B20" s="21">
        <f>'OKT 25'!AJ20:AJ403</f>
        <v>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23">
        <f t="shared" si="3"/>
        <v>0</v>
      </c>
      <c r="AI20" s="24">
        <v>0.0</v>
      </c>
      <c r="AJ20" s="23">
        <f t="shared" si="4"/>
        <v>2</v>
      </c>
      <c r="AK20" s="23">
        <f t="shared" si="5"/>
        <v>2</v>
      </c>
      <c r="AL20" s="25">
        <f>'MASTER STOCK'!I17</f>
        <v>106500</v>
      </c>
      <c r="AM20" s="27">
        <f>'MASTER STOCK'!L17</f>
        <v>181050</v>
      </c>
      <c r="AN20" s="27">
        <f t="shared" si="6"/>
        <v>0</v>
      </c>
      <c r="AO20" s="26">
        <f t="shared" si="7"/>
        <v>0</v>
      </c>
      <c r="AP20" s="114">
        <f t="shared" si="8"/>
        <v>0</v>
      </c>
      <c r="AQ20" s="10"/>
    </row>
    <row r="21">
      <c r="A21" s="20" t="str">
        <f>'MASTER STOCK'!F18</f>
        <v>Kabel bintik serabut tembaga motor mobil 20mx0.5mm/0,85mm merah 0,5mm</v>
      </c>
      <c r="B21" s="21">
        <f>'OKT 25'!AJ21:AJ404</f>
        <v>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22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23">
        <f t="shared" si="3"/>
        <v>0</v>
      </c>
      <c r="AI21" s="24">
        <v>0.0</v>
      </c>
      <c r="AJ21" s="23">
        <f t="shared" si="4"/>
        <v>2</v>
      </c>
      <c r="AK21" s="23">
        <f t="shared" si="5"/>
        <v>2</v>
      </c>
      <c r="AL21" s="25">
        <f>'MASTER STOCK'!I18</f>
        <v>33700</v>
      </c>
      <c r="AM21" s="27">
        <f>'MASTER STOCK'!L18</f>
        <v>57290</v>
      </c>
      <c r="AN21" s="27">
        <f t="shared" si="6"/>
        <v>0</v>
      </c>
      <c r="AO21" s="26">
        <f t="shared" si="7"/>
        <v>0</v>
      </c>
      <c r="AP21" s="114">
        <f t="shared" si="8"/>
        <v>0</v>
      </c>
      <c r="AQ21" s="10"/>
    </row>
    <row r="22">
      <c r="A22" s="20" t="str">
        <f>'MASTER STOCK'!F19</f>
        <v>Kabel bintik serabut tembaga motor mobil 20mx0.5mm/0,85mm hitam 0,5mm</v>
      </c>
      <c r="B22" s="21">
        <f>'OKT 25'!AJ22:AJ405</f>
        <v>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22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23">
        <f t="shared" si="3"/>
        <v>0</v>
      </c>
      <c r="AI22" s="24">
        <v>0.0</v>
      </c>
      <c r="AJ22" s="23">
        <f t="shared" si="4"/>
        <v>2</v>
      </c>
      <c r="AK22" s="23">
        <f t="shared" si="5"/>
        <v>2</v>
      </c>
      <c r="AL22" s="25">
        <f>'MASTER STOCK'!I19</f>
        <v>33700</v>
      </c>
      <c r="AM22" s="27">
        <f>'MASTER STOCK'!L19</f>
        <v>57290</v>
      </c>
      <c r="AN22" s="27">
        <f t="shared" si="6"/>
        <v>0</v>
      </c>
      <c r="AO22" s="26">
        <f t="shared" si="7"/>
        <v>0</v>
      </c>
      <c r="AP22" s="114">
        <f t="shared" si="8"/>
        <v>0</v>
      </c>
      <c r="AQ22" s="10"/>
    </row>
    <row r="23">
      <c r="A23" s="20" t="str">
        <f>'MASTER STOCK'!F20</f>
        <v>Mata Gerinda keramik 4 inch kering</v>
      </c>
      <c r="B23" s="21">
        <f>'OKT 25'!AJ23:AJ406</f>
        <v>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23">
        <f t="shared" si="3"/>
        <v>0</v>
      </c>
      <c r="AI23" s="24">
        <v>0.0</v>
      </c>
      <c r="AJ23" s="23">
        <f t="shared" si="4"/>
        <v>5</v>
      </c>
      <c r="AK23" s="23">
        <f t="shared" si="5"/>
        <v>5</v>
      </c>
      <c r="AL23" s="25">
        <f>'MASTER STOCK'!I20</f>
        <v>12000</v>
      </c>
      <c r="AM23" s="27">
        <f>'MASTER STOCK'!L20</f>
        <v>18000</v>
      </c>
      <c r="AN23" s="27">
        <f t="shared" si="6"/>
        <v>0</v>
      </c>
      <c r="AO23" s="26">
        <f t="shared" si="7"/>
        <v>0</v>
      </c>
      <c r="AP23" s="114">
        <f t="shared" si="8"/>
        <v>0</v>
      </c>
      <c r="AQ23" s="10"/>
    </row>
    <row r="24">
      <c r="A24" s="20" t="str">
        <f>'MASTER STOCK'!F21</f>
        <v>Kabel tunggal serabut 0.8mmx25m biru 25m</v>
      </c>
      <c r="B24" s="21">
        <f>'OKT 25'!AJ24:AJ407</f>
        <v>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23">
        <f t="shared" si="3"/>
        <v>0</v>
      </c>
      <c r="AI24" s="24">
        <v>0.0</v>
      </c>
      <c r="AJ24" s="23">
        <f t="shared" si="4"/>
        <v>1</v>
      </c>
      <c r="AK24" s="23">
        <f t="shared" si="5"/>
        <v>1</v>
      </c>
      <c r="AL24" s="25">
        <f>'MASTER STOCK'!I21</f>
        <v>17500</v>
      </c>
      <c r="AM24" s="27">
        <f>'MASTER STOCK'!L21</f>
        <v>29750</v>
      </c>
      <c r="AN24" s="27">
        <f t="shared" si="6"/>
        <v>0</v>
      </c>
      <c r="AO24" s="26">
        <f t="shared" si="7"/>
        <v>0</v>
      </c>
      <c r="AP24" s="114">
        <f t="shared" si="8"/>
        <v>0</v>
      </c>
      <c r="AQ24" s="10"/>
    </row>
    <row r="25">
      <c r="A25" s="20" t="str">
        <f>'MASTER STOCK'!F22</f>
        <v>Kabel tunggal serabut 0.8mmx25m Hitam 25m</v>
      </c>
      <c r="B25" s="21">
        <f>'OKT 25'!AJ25:AJ408</f>
        <v>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23">
        <f t="shared" si="3"/>
        <v>0</v>
      </c>
      <c r="AI25" s="24">
        <v>0.0</v>
      </c>
      <c r="AJ25" s="23">
        <f t="shared" si="4"/>
        <v>1</v>
      </c>
      <c r="AK25" s="23">
        <f t="shared" si="5"/>
        <v>1</v>
      </c>
      <c r="AL25" s="25">
        <f>'MASTER STOCK'!I22</f>
        <v>17500</v>
      </c>
      <c r="AM25" s="27">
        <f>'MASTER STOCK'!L22</f>
        <v>29750</v>
      </c>
      <c r="AN25" s="27">
        <f t="shared" si="6"/>
        <v>0</v>
      </c>
      <c r="AO25" s="26">
        <f t="shared" si="7"/>
        <v>0</v>
      </c>
      <c r="AP25" s="114">
        <f t="shared" si="8"/>
        <v>0</v>
      </c>
      <c r="AQ25" s="10"/>
    </row>
    <row r="26">
      <c r="A26" s="20" t="str">
        <f>'MASTER STOCK'!F23</f>
        <v>Lampu Hias LED strip USB 10m+adaptor </v>
      </c>
      <c r="B26" s="21">
        <f>'OKT 25'!AJ26:AJ409</f>
        <v>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23">
        <f t="shared" si="3"/>
        <v>0</v>
      </c>
      <c r="AI26" s="24">
        <v>0.0</v>
      </c>
      <c r="AJ26" s="23">
        <f t="shared" si="4"/>
        <v>2</v>
      </c>
      <c r="AK26" s="23">
        <f t="shared" si="5"/>
        <v>2</v>
      </c>
      <c r="AL26" s="25">
        <f>'MASTER STOCK'!I23</f>
        <v>50000</v>
      </c>
      <c r="AM26" s="27">
        <f>'MASTER STOCK'!L23</f>
        <v>65000</v>
      </c>
      <c r="AN26" s="27">
        <f t="shared" si="6"/>
        <v>0</v>
      </c>
      <c r="AO26" s="26">
        <f t="shared" si="7"/>
        <v>0</v>
      </c>
      <c r="AP26" s="114">
        <f t="shared" si="8"/>
        <v>0</v>
      </c>
      <c r="AQ26" s="10"/>
    </row>
    <row r="27">
      <c r="A27" s="20" t="str">
        <f>'MASTER STOCK'!F24</f>
        <v>Lampu LED strip outdoor rainbow 10m +adaptor</v>
      </c>
      <c r="B27" s="21">
        <f>'OKT 25'!AJ27:AJ410</f>
        <v>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23">
        <f t="shared" si="3"/>
        <v>0</v>
      </c>
      <c r="AI27" s="24">
        <v>0.0</v>
      </c>
      <c r="AJ27" s="23">
        <f t="shared" si="4"/>
        <v>5</v>
      </c>
      <c r="AK27" s="23">
        <f t="shared" si="5"/>
        <v>5</v>
      </c>
      <c r="AL27" s="25">
        <f>'MASTER STOCK'!I24</f>
        <v>27000</v>
      </c>
      <c r="AM27" s="27">
        <f>'MASTER STOCK'!L24</f>
        <v>35100</v>
      </c>
      <c r="AN27" s="27">
        <f t="shared" si="6"/>
        <v>0</v>
      </c>
      <c r="AO27" s="26">
        <f t="shared" si="7"/>
        <v>0</v>
      </c>
      <c r="AP27" s="114">
        <f t="shared" si="8"/>
        <v>0</v>
      </c>
      <c r="AQ27" s="10"/>
    </row>
    <row r="28">
      <c r="A28" s="20" t="str">
        <f>'MASTER STOCK'!F25</f>
        <v>Lampu LED strip outdoor merah putih 10m +adaptor</v>
      </c>
      <c r="B28" s="21">
        <f>'OKT 25'!AJ28:AJ411</f>
        <v>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22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23">
        <f t="shared" si="3"/>
        <v>0</v>
      </c>
      <c r="AI28" s="24">
        <v>0.0</v>
      </c>
      <c r="AJ28" s="23">
        <f t="shared" si="4"/>
        <v>4</v>
      </c>
      <c r="AK28" s="23">
        <f t="shared" si="5"/>
        <v>4</v>
      </c>
      <c r="AL28" s="25">
        <f>'MASTER STOCK'!I25</f>
        <v>30000</v>
      </c>
      <c r="AM28" s="27">
        <f>'MASTER STOCK'!L25</f>
        <v>40500</v>
      </c>
      <c r="AN28" s="27">
        <f t="shared" si="6"/>
        <v>0</v>
      </c>
      <c r="AO28" s="26">
        <f t="shared" si="7"/>
        <v>0</v>
      </c>
      <c r="AP28" s="114">
        <f t="shared" si="8"/>
        <v>0</v>
      </c>
      <c r="AQ28" s="10"/>
    </row>
    <row r="29">
      <c r="A29" s="20" t="str">
        <f>'MASTER STOCK'!F26</f>
        <v>Lampu tumbler 10m (rainbow)</v>
      </c>
      <c r="B29" s="21">
        <f>'OKT 25'!AJ29:AJ412</f>
        <v>5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23">
        <f t="shared" si="3"/>
        <v>0</v>
      </c>
      <c r="AI29" s="24">
        <v>0.0</v>
      </c>
      <c r="AJ29" s="23">
        <f t="shared" si="4"/>
        <v>5</v>
      </c>
      <c r="AK29" s="23">
        <f t="shared" si="5"/>
        <v>5</v>
      </c>
      <c r="AL29" s="25">
        <f>'MASTER STOCK'!I26</f>
        <v>11000</v>
      </c>
      <c r="AM29" s="27">
        <f>'MASTER STOCK'!L26</f>
        <v>14300</v>
      </c>
      <c r="AN29" s="27">
        <f t="shared" si="6"/>
        <v>0</v>
      </c>
      <c r="AO29" s="26">
        <f t="shared" si="7"/>
        <v>0</v>
      </c>
      <c r="AP29" s="114">
        <f t="shared" si="8"/>
        <v>0</v>
      </c>
      <c r="AQ29" s="10"/>
    </row>
    <row r="30">
      <c r="A30" s="20" t="str">
        <f>'MASTER STOCK'!F27</f>
        <v>WD Gerinda potong besi</v>
      </c>
      <c r="B30" s="21">
        <f>'OKT 25'!AJ30:AJ413</f>
        <v>58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22">
        <v>1.0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23">
        <f t="shared" si="3"/>
        <v>1</v>
      </c>
      <c r="AI30" s="24">
        <v>0.0</v>
      </c>
      <c r="AJ30" s="23">
        <f t="shared" si="4"/>
        <v>57</v>
      </c>
      <c r="AK30" s="23">
        <f t="shared" si="5"/>
        <v>57</v>
      </c>
      <c r="AL30" s="25">
        <f>'MASTER STOCK'!I27</f>
        <v>2900</v>
      </c>
      <c r="AM30" s="27">
        <f>'MASTER STOCK'!L27</f>
        <v>5000</v>
      </c>
      <c r="AN30" s="27">
        <f t="shared" si="6"/>
        <v>5000</v>
      </c>
      <c r="AO30" s="26">
        <f t="shared" si="7"/>
        <v>2100</v>
      </c>
      <c r="AP30" s="114">
        <f t="shared" si="8"/>
        <v>2900</v>
      </c>
      <c r="AQ30" s="10"/>
    </row>
    <row r="31">
      <c r="A31" s="20" t="str">
        <f>'MASTER STOCK'!F28</f>
        <v>Meteran karet 7,5m (merk HPP)</v>
      </c>
      <c r="B31" s="21">
        <f>'OKT 25'!AJ31:AJ414</f>
        <v>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23">
        <f t="shared" si="3"/>
        <v>0</v>
      </c>
      <c r="AI31" s="24">
        <v>0.0</v>
      </c>
      <c r="AJ31" s="23">
        <f t="shared" si="4"/>
        <v>3</v>
      </c>
      <c r="AK31" s="23">
        <f t="shared" si="5"/>
        <v>3</v>
      </c>
      <c r="AL31" s="25">
        <f>'MASTER STOCK'!I28</f>
        <v>12800</v>
      </c>
      <c r="AM31" s="27">
        <f>'MASTER STOCK'!L28</f>
        <v>16640</v>
      </c>
      <c r="AN31" s="27">
        <f t="shared" si="6"/>
        <v>0</v>
      </c>
      <c r="AO31" s="26">
        <f t="shared" si="7"/>
        <v>0</v>
      </c>
      <c r="AP31" s="114">
        <f t="shared" si="8"/>
        <v>0</v>
      </c>
      <c r="AQ31" s="10"/>
    </row>
    <row r="32">
      <c r="A32" s="20" t="str">
        <f>'MASTER STOCK'!F29</f>
        <v>Meteran karet 5m (merk VPR)</v>
      </c>
      <c r="B32" s="21">
        <f>'OKT 25'!AJ32:AJ415</f>
        <v>3</v>
      </c>
      <c r="C32" s="2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23">
        <f t="shared" si="3"/>
        <v>0</v>
      </c>
      <c r="AI32" s="24">
        <v>0.0</v>
      </c>
      <c r="AJ32" s="23">
        <f t="shared" si="4"/>
        <v>3</v>
      </c>
      <c r="AK32" s="23">
        <f t="shared" si="5"/>
        <v>3</v>
      </c>
      <c r="AL32" s="25">
        <f>'MASTER STOCK'!I29</f>
        <v>7000</v>
      </c>
      <c r="AM32" s="27">
        <f>'MASTER STOCK'!L29</f>
        <v>9100</v>
      </c>
      <c r="AN32" s="27">
        <f t="shared" si="6"/>
        <v>0</v>
      </c>
      <c r="AO32" s="26">
        <f t="shared" si="7"/>
        <v>0</v>
      </c>
      <c r="AP32" s="114">
        <f t="shared" si="8"/>
        <v>0</v>
      </c>
      <c r="AQ32" s="10"/>
    </row>
    <row r="33">
      <c r="A33" s="20" t="str">
        <f>'MASTER STOCK'!F30</f>
        <v>Kuas cat 2 1/2" (merk MDN)</v>
      </c>
      <c r="B33" s="21">
        <f>'OKT 25'!AJ33:AJ416</f>
        <v>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23">
        <f t="shared" si="3"/>
        <v>0</v>
      </c>
      <c r="AI33" s="24">
        <v>0.0</v>
      </c>
      <c r="AJ33" s="23">
        <f t="shared" si="4"/>
        <v>5</v>
      </c>
      <c r="AK33" s="23">
        <f t="shared" si="5"/>
        <v>5</v>
      </c>
      <c r="AL33" s="25">
        <f>'MASTER STOCK'!I30</f>
        <v>5300</v>
      </c>
      <c r="AM33" s="27">
        <f>'MASTER STOCK'!L30</f>
        <v>6890</v>
      </c>
      <c r="AN33" s="27">
        <f t="shared" si="6"/>
        <v>0</v>
      </c>
      <c r="AO33" s="26">
        <f t="shared" si="7"/>
        <v>0</v>
      </c>
      <c r="AP33" s="114">
        <f t="shared" si="8"/>
        <v>0</v>
      </c>
      <c r="AQ33" s="10"/>
    </row>
    <row r="34">
      <c r="A34" s="20" t="str">
        <f>'MASTER STOCK'!F31</f>
        <v>Kuas cat 2" (merk MDN)</v>
      </c>
      <c r="B34" s="21">
        <f>'OKT 25'!AJ34:AJ417</f>
        <v>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23">
        <f t="shared" si="3"/>
        <v>0</v>
      </c>
      <c r="AI34" s="24">
        <v>0.0</v>
      </c>
      <c r="AJ34" s="23">
        <f t="shared" si="4"/>
        <v>5</v>
      </c>
      <c r="AK34" s="23">
        <f t="shared" si="5"/>
        <v>5</v>
      </c>
      <c r="AL34" s="25">
        <f>'MASTER STOCK'!I31</f>
        <v>4400</v>
      </c>
      <c r="AM34" s="27">
        <f>'MASTER STOCK'!L31</f>
        <v>5720</v>
      </c>
      <c r="AN34" s="27">
        <f t="shared" si="6"/>
        <v>0</v>
      </c>
      <c r="AO34" s="26">
        <f t="shared" si="7"/>
        <v>0</v>
      </c>
      <c r="AP34" s="114">
        <f t="shared" si="8"/>
        <v>0</v>
      </c>
      <c r="AQ34" s="10"/>
    </row>
    <row r="35">
      <c r="A35" s="20" t="str">
        <f>'MASTER STOCK'!F32</f>
        <v>Kuas cat 3" (merk MDN)</v>
      </c>
      <c r="B35" s="21">
        <f>'OKT 25'!AJ35:AJ418</f>
        <v>4</v>
      </c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22">
        <v>1.0</v>
      </c>
      <c r="R35" s="10"/>
      <c r="S35" s="10"/>
      <c r="T35" s="22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23">
        <f t="shared" si="3"/>
        <v>1</v>
      </c>
      <c r="AI35" s="24">
        <v>0.0</v>
      </c>
      <c r="AJ35" s="23">
        <f t="shared" si="4"/>
        <v>3</v>
      </c>
      <c r="AK35" s="23">
        <f t="shared" si="5"/>
        <v>3</v>
      </c>
      <c r="AL35" s="25">
        <f>'MASTER STOCK'!I32</f>
        <v>6300</v>
      </c>
      <c r="AM35" s="27">
        <f>'MASTER STOCK'!L32</f>
        <v>8190</v>
      </c>
      <c r="AN35" s="27">
        <f t="shared" si="6"/>
        <v>8190</v>
      </c>
      <c r="AO35" s="26">
        <f t="shared" si="7"/>
        <v>1890</v>
      </c>
      <c r="AP35" s="114">
        <f t="shared" si="8"/>
        <v>6300</v>
      </c>
      <c r="AQ35" s="10"/>
    </row>
    <row r="36">
      <c r="A36" s="20" t="str">
        <f>'MASTER STOCK'!F33</f>
        <v>Kuas cat 1 1/2" (merk MDN)</v>
      </c>
      <c r="B36" s="21">
        <f>'OKT 25'!AJ36:AJ419</f>
        <v>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23">
        <f t="shared" si="3"/>
        <v>0</v>
      </c>
      <c r="AI36" s="24">
        <v>0.0</v>
      </c>
      <c r="AJ36" s="23">
        <f t="shared" si="4"/>
        <v>5</v>
      </c>
      <c r="AK36" s="23">
        <f t="shared" si="5"/>
        <v>5</v>
      </c>
      <c r="AL36" s="25">
        <f>'MASTER STOCK'!I33</f>
        <v>3400</v>
      </c>
      <c r="AM36" s="27">
        <f>'MASTER STOCK'!L33</f>
        <v>4420</v>
      </c>
      <c r="AN36" s="27">
        <f t="shared" si="6"/>
        <v>0</v>
      </c>
      <c r="AO36" s="26">
        <f t="shared" si="7"/>
        <v>0</v>
      </c>
      <c r="AP36" s="114">
        <f t="shared" si="8"/>
        <v>0</v>
      </c>
      <c r="AQ36" s="10"/>
    </row>
    <row r="37">
      <c r="A37" s="20" t="str">
        <f>'MASTER STOCK'!F34</f>
        <v>Kuas cat 1" (merk MDN)</v>
      </c>
      <c r="B37" s="21">
        <f>'OKT 25'!AJ37:AJ420</f>
        <v>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22"/>
      <c r="R37" s="10"/>
      <c r="S37" s="10"/>
      <c r="T37" s="22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23">
        <f t="shared" si="3"/>
        <v>0</v>
      </c>
      <c r="AI37" s="24">
        <v>0.0</v>
      </c>
      <c r="AJ37" s="23">
        <f t="shared" si="4"/>
        <v>4</v>
      </c>
      <c r="AK37" s="23">
        <f t="shared" si="5"/>
        <v>4</v>
      </c>
      <c r="AL37" s="25">
        <f>'MASTER STOCK'!I34</f>
        <v>2300</v>
      </c>
      <c r="AM37" s="27">
        <f>'MASTER STOCK'!L34</f>
        <v>2990</v>
      </c>
      <c r="AN37" s="27">
        <f t="shared" si="6"/>
        <v>0</v>
      </c>
      <c r="AO37" s="26">
        <f t="shared" si="7"/>
        <v>0</v>
      </c>
      <c r="AP37" s="114">
        <f t="shared" si="8"/>
        <v>0</v>
      </c>
      <c r="AQ37" s="10"/>
    </row>
    <row r="38">
      <c r="A38" s="20" t="str">
        <f>'MASTER STOCK'!F35</f>
        <v>Kran PVC Tembok 3/4"</v>
      </c>
      <c r="B38" s="21">
        <f>'OKT 25'!AJ38:AJ421</f>
        <v>23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22"/>
      <c r="R38" s="10"/>
      <c r="S38" s="10"/>
      <c r="T38" s="10"/>
      <c r="U38" s="10"/>
      <c r="V38" s="10"/>
      <c r="W38" s="10"/>
      <c r="X38" s="10"/>
      <c r="Y38" s="10"/>
      <c r="Z38" s="10"/>
      <c r="AA38" s="22">
        <v>1.0</v>
      </c>
      <c r="AB38" s="10"/>
      <c r="AC38" s="10"/>
      <c r="AD38" s="10"/>
      <c r="AE38" s="10"/>
      <c r="AF38" s="10"/>
      <c r="AG38" s="22"/>
      <c r="AH38" s="23">
        <f t="shared" si="3"/>
        <v>1</v>
      </c>
      <c r="AI38" s="24">
        <v>0.0</v>
      </c>
      <c r="AJ38" s="23">
        <f t="shared" si="4"/>
        <v>22</v>
      </c>
      <c r="AK38" s="23">
        <f t="shared" si="5"/>
        <v>22</v>
      </c>
      <c r="AL38" s="25">
        <f>'MASTER STOCK'!I35</f>
        <v>4200</v>
      </c>
      <c r="AM38" s="27">
        <f>'MASTER STOCK'!L35</f>
        <v>6000</v>
      </c>
      <c r="AN38" s="27">
        <f t="shared" si="6"/>
        <v>6000</v>
      </c>
      <c r="AO38" s="26">
        <f t="shared" si="7"/>
        <v>1800</v>
      </c>
      <c r="AP38" s="114">
        <f t="shared" si="8"/>
        <v>4200</v>
      </c>
      <c r="AQ38" s="10"/>
    </row>
    <row r="39">
      <c r="A39" s="20" t="str">
        <f>'MASTER STOCK'!F36</f>
        <v>Kran PVC Tembok 1/2"</v>
      </c>
      <c r="B39" s="21">
        <f>'OKT 25'!AJ39:AJ422</f>
        <v>24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23">
        <f t="shared" si="3"/>
        <v>0</v>
      </c>
      <c r="AI39" s="24">
        <v>0.0</v>
      </c>
      <c r="AJ39" s="23">
        <f t="shared" si="4"/>
        <v>24</v>
      </c>
      <c r="AK39" s="23">
        <f t="shared" si="5"/>
        <v>24</v>
      </c>
      <c r="AL39" s="25">
        <f>'MASTER STOCK'!I36</f>
        <v>4200</v>
      </c>
      <c r="AM39" s="27">
        <f>'MASTER STOCK'!L36</f>
        <v>6000</v>
      </c>
      <c r="AN39" s="27">
        <f t="shared" si="6"/>
        <v>0</v>
      </c>
      <c r="AO39" s="26">
        <f t="shared" si="7"/>
        <v>0</v>
      </c>
      <c r="AP39" s="114">
        <f t="shared" si="8"/>
        <v>0</v>
      </c>
      <c r="AQ39" s="10"/>
    </row>
    <row r="40">
      <c r="A40" s="20" t="str">
        <f>'MASTER STOCK'!F37</f>
        <v>Lampu bohlam inlite 5w Putih</v>
      </c>
      <c r="B40" s="21">
        <f>'OKT 25'!AJ40:AJ423</f>
        <v>7</v>
      </c>
      <c r="C40" s="22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23">
        <f t="shared" si="3"/>
        <v>0</v>
      </c>
      <c r="AI40" s="24">
        <v>0.0</v>
      </c>
      <c r="AJ40" s="23">
        <f t="shared" si="4"/>
        <v>7</v>
      </c>
      <c r="AK40" s="23">
        <f t="shared" si="5"/>
        <v>7</v>
      </c>
      <c r="AL40" s="25">
        <f>'MASTER STOCK'!I37</f>
        <v>13000</v>
      </c>
      <c r="AM40" s="27">
        <f>'MASTER STOCK'!L37</f>
        <v>18200</v>
      </c>
      <c r="AN40" s="27">
        <f t="shared" si="6"/>
        <v>0</v>
      </c>
      <c r="AO40" s="26">
        <f t="shared" si="7"/>
        <v>0</v>
      </c>
      <c r="AP40" s="114">
        <f t="shared" si="8"/>
        <v>0</v>
      </c>
      <c r="AQ40" s="10"/>
    </row>
    <row r="41">
      <c r="A41" s="20" t="str">
        <f>'MASTER STOCK'!F38</f>
        <v>Lampu bohlam inlite 7w Putih</v>
      </c>
      <c r="B41" s="21">
        <f>'OKT 25'!AJ41:AJ424</f>
        <v>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23">
        <f t="shared" si="3"/>
        <v>0</v>
      </c>
      <c r="AI41" s="24">
        <v>0.0</v>
      </c>
      <c r="AJ41" s="23">
        <f t="shared" si="4"/>
        <v>2</v>
      </c>
      <c r="AK41" s="23">
        <f t="shared" si="5"/>
        <v>2</v>
      </c>
      <c r="AL41" s="25">
        <f>'MASTER STOCK'!I38</f>
        <v>16200</v>
      </c>
      <c r="AM41" s="27">
        <f>'MASTER STOCK'!L38</f>
        <v>22680</v>
      </c>
      <c r="AN41" s="27">
        <f t="shared" si="6"/>
        <v>0</v>
      </c>
      <c r="AO41" s="26">
        <f t="shared" si="7"/>
        <v>0</v>
      </c>
      <c r="AP41" s="114">
        <f t="shared" si="8"/>
        <v>0</v>
      </c>
      <c r="AQ41" s="10"/>
    </row>
    <row r="42">
      <c r="A42" s="20" t="str">
        <f>'MASTER STOCK'!F39</f>
        <v>Lampu bohlam inlite 15w Putih</v>
      </c>
      <c r="B42" s="21">
        <f>'OKT 25'!AJ42:AJ425</f>
        <v>4</v>
      </c>
      <c r="C42" s="22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23">
        <f t="shared" si="3"/>
        <v>0</v>
      </c>
      <c r="AI42" s="24">
        <v>0.0</v>
      </c>
      <c r="AJ42" s="23">
        <f t="shared" si="4"/>
        <v>4</v>
      </c>
      <c r="AK42" s="23">
        <f t="shared" si="5"/>
        <v>4</v>
      </c>
      <c r="AL42" s="25">
        <f>'MASTER STOCK'!I39</f>
        <v>28000</v>
      </c>
      <c r="AM42" s="27">
        <f>'MASTER STOCK'!L39</f>
        <v>39200</v>
      </c>
      <c r="AN42" s="27">
        <f t="shared" si="6"/>
        <v>0</v>
      </c>
      <c r="AO42" s="26">
        <f t="shared" si="7"/>
        <v>0</v>
      </c>
      <c r="AP42" s="114">
        <f t="shared" si="8"/>
        <v>0</v>
      </c>
      <c r="AQ42" s="10"/>
    </row>
    <row r="43">
      <c r="A43" s="20" t="str">
        <f>'MASTER STOCK'!F40</f>
        <v>Lampu bohlam inlite 12w Putih</v>
      </c>
      <c r="B43" s="21">
        <f>'OKT 25'!AJ43:AJ426</f>
        <v>5</v>
      </c>
      <c r="C43" s="22"/>
      <c r="D43" s="10"/>
      <c r="E43" s="10"/>
      <c r="F43" s="10"/>
      <c r="G43" s="10"/>
      <c r="H43" s="10"/>
      <c r="I43" s="22">
        <v>1.0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22">
        <v>1.0</v>
      </c>
      <c r="AC43" s="10"/>
      <c r="AD43" s="10"/>
      <c r="AE43" s="22"/>
      <c r="AF43" s="10"/>
      <c r="AG43" s="22"/>
      <c r="AH43" s="23">
        <f t="shared" si="3"/>
        <v>2</v>
      </c>
      <c r="AI43" s="24">
        <v>0.0</v>
      </c>
      <c r="AJ43" s="23">
        <f t="shared" si="4"/>
        <v>3</v>
      </c>
      <c r="AK43" s="23">
        <f t="shared" si="5"/>
        <v>3</v>
      </c>
      <c r="AL43" s="25">
        <f>'MASTER STOCK'!I40</f>
        <v>25000</v>
      </c>
      <c r="AM43" s="27">
        <f>'MASTER STOCK'!L40</f>
        <v>30000</v>
      </c>
      <c r="AN43" s="27">
        <f t="shared" si="6"/>
        <v>60000</v>
      </c>
      <c r="AO43" s="26">
        <f t="shared" si="7"/>
        <v>10000</v>
      </c>
      <c r="AP43" s="114">
        <f t="shared" si="8"/>
        <v>50000</v>
      </c>
      <c r="AQ43" s="10"/>
    </row>
    <row r="44">
      <c r="A44" s="20" t="str">
        <f>'MASTER STOCK'!F41</f>
        <v>Lampu tintin platinum LED 9w</v>
      </c>
      <c r="B44" s="21">
        <f>'OKT 25'!AJ44:AJ427</f>
        <v>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22"/>
      <c r="S44" s="10"/>
      <c r="T44" s="22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23">
        <f t="shared" si="3"/>
        <v>0</v>
      </c>
      <c r="AI44" s="24">
        <v>0.0</v>
      </c>
      <c r="AJ44" s="23">
        <f t="shared" si="4"/>
        <v>4</v>
      </c>
      <c r="AK44" s="23">
        <f t="shared" si="5"/>
        <v>4</v>
      </c>
      <c r="AL44" s="25">
        <f>'MASTER STOCK'!I41</f>
        <v>7000</v>
      </c>
      <c r="AM44" s="27">
        <f>'MASTER STOCK'!L41</f>
        <v>9800</v>
      </c>
      <c r="AN44" s="27">
        <f t="shared" si="6"/>
        <v>0</v>
      </c>
      <c r="AO44" s="26">
        <f t="shared" si="7"/>
        <v>0</v>
      </c>
      <c r="AP44" s="114">
        <f t="shared" si="8"/>
        <v>0</v>
      </c>
      <c r="AQ44" s="10"/>
    </row>
    <row r="45">
      <c r="A45" s="20" t="str">
        <f>'MASTER STOCK'!F42</f>
        <v>Lampu tintin platinum LED 5w</v>
      </c>
      <c r="B45" s="21">
        <f>'OKT 25'!AJ45:AJ428</f>
        <v>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22"/>
      <c r="S45" s="10"/>
      <c r="T45" s="22">
        <v>1.0</v>
      </c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23">
        <f t="shared" si="3"/>
        <v>1</v>
      </c>
      <c r="AI45" s="24">
        <v>0.0</v>
      </c>
      <c r="AJ45" s="23">
        <f t="shared" si="4"/>
        <v>3</v>
      </c>
      <c r="AK45" s="23">
        <f t="shared" si="5"/>
        <v>3</v>
      </c>
      <c r="AL45" s="25">
        <f>'MASTER STOCK'!I42</f>
        <v>5000</v>
      </c>
      <c r="AM45" s="27">
        <f>'MASTER STOCK'!L42</f>
        <v>7000</v>
      </c>
      <c r="AN45" s="27">
        <f t="shared" si="6"/>
        <v>7000</v>
      </c>
      <c r="AO45" s="26">
        <f t="shared" si="7"/>
        <v>2000</v>
      </c>
      <c r="AP45" s="114">
        <f t="shared" si="8"/>
        <v>5000</v>
      </c>
      <c r="AQ45" s="10"/>
    </row>
    <row r="46">
      <c r="A46" s="20" t="str">
        <f>'MASTER STOCK'!F43</f>
        <v>Lampu tintin platinum LED 21w</v>
      </c>
      <c r="B46" s="21">
        <f>'OKT 25'!AJ46:AJ429</f>
        <v>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23">
        <f t="shared" si="3"/>
        <v>0</v>
      </c>
      <c r="AI46" s="24">
        <v>0.0</v>
      </c>
      <c r="AJ46" s="23">
        <f t="shared" si="4"/>
        <v>3</v>
      </c>
      <c r="AK46" s="23">
        <f t="shared" si="5"/>
        <v>3</v>
      </c>
      <c r="AL46" s="25">
        <f>'MASTER STOCK'!I43</f>
        <v>15500</v>
      </c>
      <c r="AM46" s="27">
        <f>'MASTER STOCK'!L43</f>
        <v>21700</v>
      </c>
      <c r="AN46" s="27">
        <f t="shared" si="6"/>
        <v>0</v>
      </c>
      <c r="AO46" s="26">
        <f t="shared" si="7"/>
        <v>0</v>
      </c>
      <c r="AP46" s="114">
        <f t="shared" si="8"/>
        <v>0</v>
      </c>
      <c r="AQ46" s="10"/>
    </row>
    <row r="47">
      <c r="A47" s="20" t="str">
        <f>'MASTER STOCK'!F44</f>
        <v>Lampu tintin platinum LED 15w</v>
      </c>
      <c r="B47" s="21">
        <f>'OKT 25'!AJ47:AJ430</f>
        <v>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22">
        <v>1.0</v>
      </c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23">
        <f t="shared" si="3"/>
        <v>1</v>
      </c>
      <c r="AI47" s="24">
        <v>0.0</v>
      </c>
      <c r="AJ47" s="23">
        <f t="shared" si="4"/>
        <v>4</v>
      </c>
      <c r="AK47" s="23">
        <f t="shared" si="5"/>
        <v>4</v>
      </c>
      <c r="AL47" s="25">
        <f>'MASTER STOCK'!I44</f>
        <v>8800</v>
      </c>
      <c r="AM47" s="27">
        <f>'MASTER STOCK'!L44</f>
        <v>13000</v>
      </c>
      <c r="AN47" s="27">
        <f t="shared" si="6"/>
        <v>13000</v>
      </c>
      <c r="AO47" s="26">
        <f t="shared" si="7"/>
        <v>4200</v>
      </c>
      <c r="AP47" s="114">
        <f t="shared" si="8"/>
        <v>8800</v>
      </c>
      <c r="AQ47" s="10"/>
    </row>
    <row r="48">
      <c r="A48" s="20" t="str">
        <f>'MASTER STOCK'!F45</f>
        <v>Lampu tintin platinum LED 12w</v>
      </c>
      <c r="B48" s="21">
        <f>'OKT 25'!AJ48:AJ431</f>
        <v>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23">
        <f t="shared" si="3"/>
        <v>0</v>
      </c>
      <c r="AI48" s="24">
        <v>0.0</v>
      </c>
      <c r="AJ48" s="23">
        <f t="shared" si="4"/>
        <v>5</v>
      </c>
      <c r="AK48" s="23">
        <f t="shared" si="5"/>
        <v>5</v>
      </c>
      <c r="AL48" s="25">
        <f>'MASTER STOCK'!I45</f>
        <v>7800</v>
      </c>
      <c r="AM48" s="27">
        <f>'MASTER STOCK'!L45</f>
        <v>10920</v>
      </c>
      <c r="AN48" s="27">
        <f t="shared" si="6"/>
        <v>0</v>
      </c>
      <c r="AO48" s="26">
        <f t="shared" si="7"/>
        <v>0</v>
      </c>
      <c r="AP48" s="114">
        <f t="shared" si="8"/>
        <v>0</v>
      </c>
      <c r="AQ48" s="10"/>
    </row>
    <row r="49">
      <c r="A49" s="20" t="str">
        <f>'MASTER STOCK'!F46</f>
        <v>Lampu tintin platinum LED 7w</v>
      </c>
      <c r="B49" s="21">
        <f>'OKT 25'!AJ49:AJ432</f>
        <v>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22">
        <v>1.0</v>
      </c>
      <c r="T49" s="10"/>
      <c r="U49" s="10"/>
      <c r="V49" s="22">
        <v>1.0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23">
        <f t="shared" si="3"/>
        <v>2</v>
      </c>
      <c r="AI49" s="24">
        <v>0.0</v>
      </c>
      <c r="AJ49" s="23">
        <f t="shared" si="4"/>
        <v>3</v>
      </c>
      <c r="AK49" s="23">
        <f t="shared" si="5"/>
        <v>3</v>
      </c>
      <c r="AL49" s="25">
        <f>'MASTER STOCK'!I46</f>
        <v>5800</v>
      </c>
      <c r="AM49" s="27">
        <f>'MASTER STOCK'!L46</f>
        <v>8120</v>
      </c>
      <c r="AN49" s="27">
        <f t="shared" si="6"/>
        <v>16240</v>
      </c>
      <c r="AO49" s="26">
        <f t="shared" si="7"/>
        <v>4640</v>
      </c>
      <c r="AP49" s="114">
        <f t="shared" si="8"/>
        <v>11600</v>
      </c>
      <c r="AQ49" s="10"/>
    </row>
    <row r="50">
      <c r="A50" s="20" t="str">
        <f>'MASTER STOCK'!F47</f>
        <v>Gergaji kayu (POPEYE) 18 inch </v>
      </c>
      <c r="B50" s="21">
        <f>'OKT 25'!AJ50:AJ433</f>
        <v>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23">
        <f t="shared" si="3"/>
        <v>0</v>
      </c>
      <c r="AI50" s="24">
        <v>0.0</v>
      </c>
      <c r="AJ50" s="23">
        <f t="shared" si="4"/>
        <v>4</v>
      </c>
      <c r="AK50" s="23">
        <f t="shared" si="5"/>
        <v>4</v>
      </c>
      <c r="AL50" s="25">
        <f>'MASTER STOCK'!I47</f>
        <v>15000</v>
      </c>
      <c r="AM50" s="27">
        <f>'MASTER STOCK'!L47</f>
        <v>19500</v>
      </c>
      <c r="AN50" s="27">
        <f t="shared" si="6"/>
        <v>0</v>
      </c>
      <c r="AO50" s="26">
        <f t="shared" si="7"/>
        <v>0</v>
      </c>
      <c r="AP50" s="114">
        <f t="shared" si="8"/>
        <v>0</v>
      </c>
      <c r="AQ50" s="10"/>
    </row>
    <row r="51">
      <c r="A51" s="20" t="str">
        <f>'MASTER STOCK'!F48</f>
        <v>Kapi plamir plastik PVC 9" (23cm)</v>
      </c>
      <c r="B51" s="21">
        <f>'OKT 25'!AJ51:AJ434</f>
        <v>10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23">
        <f t="shared" si="3"/>
        <v>0</v>
      </c>
      <c r="AI51" s="24">
        <v>0.0</v>
      </c>
      <c r="AJ51" s="23">
        <f t="shared" si="4"/>
        <v>10</v>
      </c>
      <c r="AK51" s="23">
        <f t="shared" si="5"/>
        <v>10</v>
      </c>
      <c r="AL51" s="25">
        <f>'MASTER STOCK'!I48</f>
        <v>2200</v>
      </c>
      <c r="AM51" s="27">
        <f>'MASTER STOCK'!L48</f>
        <v>3300</v>
      </c>
      <c r="AN51" s="27">
        <f t="shared" si="6"/>
        <v>0</v>
      </c>
      <c r="AO51" s="26">
        <f t="shared" si="7"/>
        <v>0</v>
      </c>
      <c r="AP51" s="114">
        <f t="shared" si="8"/>
        <v>0</v>
      </c>
      <c r="AQ51" s="10"/>
    </row>
    <row r="52">
      <c r="A52" s="20" t="str">
        <f>'MASTER STOCK'!F49</f>
        <v>Kapi plamir plastik PVC 5" (12cm)</v>
      </c>
      <c r="B52" s="21">
        <f>'OKT 25'!AJ52:AJ435</f>
        <v>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23">
        <f t="shared" si="3"/>
        <v>0</v>
      </c>
      <c r="AI52" s="24">
        <v>0.0</v>
      </c>
      <c r="AJ52" s="23">
        <f t="shared" si="4"/>
        <v>5</v>
      </c>
      <c r="AK52" s="23">
        <f t="shared" si="5"/>
        <v>5</v>
      </c>
      <c r="AL52" s="25">
        <f>'MASTER STOCK'!I49</f>
        <v>1100</v>
      </c>
      <c r="AM52" s="27">
        <f>'MASTER STOCK'!L49</f>
        <v>1650</v>
      </c>
      <c r="AN52" s="27">
        <f t="shared" si="6"/>
        <v>0</v>
      </c>
      <c r="AO52" s="26">
        <f t="shared" si="7"/>
        <v>0</v>
      </c>
      <c r="AP52" s="114">
        <f t="shared" si="8"/>
        <v>0</v>
      </c>
      <c r="AQ52" s="10"/>
    </row>
    <row r="53">
      <c r="A53" s="20" t="str">
        <f>'MASTER STOCK'!F50</f>
        <v>Kapi plamir plastik PVC 7" (18cm)</v>
      </c>
      <c r="B53" s="21">
        <f>'OKT 25'!AJ53:AJ436</f>
        <v>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23">
        <f t="shared" si="3"/>
        <v>0</v>
      </c>
      <c r="AI53" s="24">
        <v>0.0</v>
      </c>
      <c r="AJ53" s="23">
        <f t="shared" si="4"/>
        <v>10</v>
      </c>
      <c r="AK53" s="23">
        <f t="shared" si="5"/>
        <v>10</v>
      </c>
      <c r="AL53" s="25">
        <f>'MASTER STOCK'!I50</f>
        <v>1500</v>
      </c>
      <c r="AM53" s="27">
        <f>'MASTER STOCK'!L50</f>
        <v>2250</v>
      </c>
      <c r="AN53" s="27">
        <f t="shared" si="6"/>
        <v>0</v>
      </c>
      <c r="AO53" s="26">
        <f t="shared" si="7"/>
        <v>0</v>
      </c>
      <c r="AP53" s="114">
        <f t="shared" si="8"/>
        <v>0</v>
      </c>
      <c r="AQ53" s="10"/>
    </row>
    <row r="54">
      <c r="A54" s="20" t="str">
        <f>'MASTER STOCK'!F51</f>
        <v>Tang Kombinasi karet 8"</v>
      </c>
      <c r="B54" s="21">
        <f>'OKT 25'!AJ54:AJ437</f>
        <v>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23">
        <f t="shared" si="3"/>
        <v>0</v>
      </c>
      <c r="AI54" s="24">
        <v>0.0</v>
      </c>
      <c r="AJ54" s="23">
        <f t="shared" si="4"/>
        <v>5</v>
      </c>
      <c r="AK54" s="23">
        <f t="shared" si="5"/>
        <v>5</v>
      </c>
      <c r="AL54" s="25">
        <f>'MASTER STOCK'!I51</f>
        <v>12000</v>
      </c>
      <c r="AM54" s="27">
        <f>'MASTER STOCK'!L51</f>
        <v>15600</v>
      </c>
      <c r="AN54" s="27">
        <f t="shared" si="6"/>
        <v>0</v>
      </c>
      <c r="AO54" s="26">
        <f t="shared" si="7"/>
        <v>0</v>
      </c>
      <c r="AP54" s="114">
        <f t="shared" si="8"/>
        <v>0</v>
      </c>
      <c r="AQ54" s="10"/>
    </row>
    <row r="55">
      <c r="A55" s="20" t="str">
        <f>'MASTER STOCK'!F52</f>
        <v>Tang Kombinasi 8"</v>
      </c>
      <c r="B55" s="21">
        <f>'OKT 25'!AJ55:AJ438</f>
        <v>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23">
        <f t="shared" si="3"/>
        <v>0</v>
      </c>
      <c r="AI55" s="24">
        <v>0.0</v>
      </c>
      <c r="AJ55" s="23">
        <f t="shared" si="4"/>
        <v>5</v>
      </c>
      <c r="AK55" s="23">
        <f t="shared" si="5"/>
        <v>5</v>
      </c>
      <c r="AL55" s="25">
        <f>'MASTER STOCK'!I52</f>
        <v>12500</v>
      </c>
      <c r="AM55" s="27">
        <f>'MASTER STOCK'!L52</f>
        <v>16250</v>
      </c>
      <c r="AN55" s="27">
        <f t="shared" si="6"/>
        <v>0</v>
      </c>
      <c r="AO55" s="26">
        <f t="shared" si="7"/>
        <v>0</v>
      </c>
      <c r="AP55" s="114">
        <f t="shared" si="8"/>
        <v>0</v>
      </c>
      <c r="AQ55" s="10"/>
    </row>
    <row r="56">
      <c r="A56" s="20" t="str">
        <f>'MASTER STOCK'!F53</f>
        <v>Stop Kontak Hitam 3L 5M </v>
      </c>
      <c r="B56" s="21">
        <f>'OKT 25'!AJ56:AJ439</f>
        <v>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23">
        <f t="shared" si="3"/>
        <v>0</v>
      </c>
      <c r="AI56" s="24">
        <v>0.0</v>
      </c>
      <c r="AJ56" s="23">
        <f t="shared" si="4"/>
        <v>2</v>
      </c>
      <c r="AK56" s="23">
        <f t="shared" si="5"/>
        <v>2</v>
      </c>
      <c r="AL56" s="25">
        <f>'MASTER STOCK'!I53</f>
        <v>18400</v>
      </c>
      <c r="AM56" s="27">
        <f>'MASTER STOCK'!L53</f>
        <v>27600</v>
      </c>
      <c r="AN56" s="27">
        <f t="shared" si="6"/>
        <v>0</v>
      </c>
      <c r="AO56" s="26">
        <f t="shared" si="7"/>
        <v>0</v>
      </c>
      <c r="AP56" s="114">
        <f t="shared" si="8"/>
        <v>0</v>
      </c>
      <c r="AQ56" s="10"/>
    </row>
    <row r="57">
      <c r="A57" s="20" t="str">
        <f>'MASTER STOCK'!F54</f>
        <v>Stop Kontak Hitam 4L 5M </v>
      </c>
      <c r="B57" s="21">
        <f>'OKT 25'!AJ57:AJ440</f>
        <v>3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23">
        <f t="shared" si="3"/>
        <v>0</v>
      </c>
      <c r="AI57" s="24">
        <v>0.0</v>
      </c>
      <c r="AJ57" s="23">
        <f t="shared" si="4"/>
        <v>3</v>
      </c>
      <c r="AK57" s="23">
        <f t="shared" si="5"/>
        <v>3</v>
      </c>
      <c r="AL57" s="25">
        <f>'MASTER STOCK'!I54</f>
        <v>19600</v>
      </c>
      <c r="AM57" s="27">
        <f>'MASTER STOCK'!L54</f>
        <v>29400</v>
      </c>
      <c r="AN57" s="27">
        <f t="shared" si="6"/>
        <v>0</v>
      </c>
      <c r="AO57" s="26">
        <f t="shared" si="7"/>
        <v>0</v>
      </c>
      <c r="AP57" s="114">
        <f t="shared" si="8"/>
        <v>0</v>
      </c>
      <c r="AQ57" s="10"/>
    </row>
    <row r="58">
      <c r="A58" s="20" t="str">
        <f>'MASTER STOCK'!F55</f>
        <v>Stop Kontak Hitam 5L 5M </v>
      </c>
      <c r="B58" s="21">
        <f>'OKT 25'!AJ58:AJ441</f>
        <v>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23">
        <f t="shared" si="3"/>
        <v>0</v>
      </c>
      <c r="AI58" s="24">
        <v>0.0</v>
      </c>
      <c r="AJ58" s="23">
        <f t="shared" si="4"/>
        <v>6</v>
      </c>
      <c r="AK58" s="23">
        <f t="shared" si="5"/>
        <v>6</v>
      </c>
      <c r="AL58" s="25">
        <f>'MASTER STOCK'!I55</f>
        <v>21000</v>
      </c>
      <c r="AM58" s="27">
        <f>'MASTER STOCK'!L55</f>
        <v>31500</v>
      </c>
      <c r="AN58" s="27">
        <f t="shared" si="6"/>
        <v>0</v>
      </c>
      <c r="AO58" s="26">
        <f t="shared" si="7"/>
        <v>0</v>
      </c>
      <c r="AP58" s="114">
        <f t="shared" si="8"/>
        <v>0</v>
      </c>
      <c r="AQ58" s="10"/>
    </row>
    <row r="59">
      <c r="A59" s="20" t="str">
        <f>'MASTER STOCK'!F56</f>
        <v>Stop Kontak Hitam 2L 5M </v>
      </c>
      <c r="B59" s="21">
        <f>'OKT 25'!AJ59:AJ442</f>
        <v>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23">
        <f t="shared" si="3"/>
        <v>0</v>
      </c>
      <c r="AI59" s="24">
        <v>0.0</v>
      </c>
      <c r="AJ59" s="23">
        <f t="shared" si="4"/>
        <v>2</v>
      </c>
      <c r="AK59" s="23">
        <f t="shared" si="5"/>
        <v>2</v>
      </c>
      <c r="AL59" s="25">
        <f>'MASTER STOCK'!I56</f>
        <v>17000</v>
      </c>
      <c r="AM59" s="27">
        <f>'MASTER STOCK'!L56</f>
        <v>25500</v>
      </c>
      <c r="AN59" s="27">
        <f t="shared" si="6"/>
        <v>0</v>
      </c>
      <c r="AO59" s="26">
        <f t="shared" si="7"/>
        <v>0</v>
      </c>
      <c r="AP59" s="114">
        <f t="shared" si="8"/>
        <v>0</v>
      </c>
      <c r="AQ59" s="10"/>
    </row>
    <row r="60">
      <c r="A60" s="20" t="str">
        <f>'MASTER STOCK'!F57</f>
        <v>Palu Konde besi cor gagang kayu ukuran 1LB</v>
      </c>
      <c r="B60" s="21">
        <f>'OKT 25'!AJ60:AJ443</f>
        <v>3</v>
      </c>
      <c r="C60" s="22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23">
        <f t="shared" si="3"/>
        <v>0</v>
      </c>
      <c r="AI60" s="24">
        <v>0.0</v>
      </c>
      <c r="AJ60" s="23">
        <f t="shared" si="4"/>
        <v>3</v>
      </c>
      <c r="AK60" s="23">
        <f t="shared" si="5"/>
        <v>3</v>
      </c>
      <c r="AL60" s="25">
        <f>'MASTER STOCK'!I57</f>
        <v>17000</v>
      </c>
      <c r="AM60" s="27">
        <f>'MASTER STOCK'!L57</f>
        <v>22100</v>
      </c>
      <c r="AN60" s="27">
        <f t="shared" si="6"/>
        <v>0</v>
      </c>
      <c r="AO60" s="26">
        <f t="shared" si="7"/>
        <v>0</v>
      </c>
      <c r="AP60" s="114">
        <f t="shared" si="8"/>
        <v>0</v>
      </c>
      <c r="AQ60" s="10"/>
    </row>
    <row r="61">
      <c r="A61" s="20" t="str">
        <f>'MASTER STOCK'!F58</f>
        <v>Lem kuning 100gr</v>
      </c>
      <c r="B61" s="21">
        <f>'OKT 25'!AJ61:AJ444</f>
        <v>22</v>
      </c>
      <c r="C61" s="22"/>
      <c r="D61" s="22"/>
      <c r="E61" s="10"/>
      <c r="F61" s="10"/>
      <c r="G61" s="10"/>
      <c r="H61" s="10"/>
      <c r="I61" s="22">
        <v>1.0</v>
      </c>
      <c r="J61" s="10"/>
      <c r="K61" s="10"/>
      <c r="L61" s="10"/>
      <c r="M61" s="10"/>
      <c r="N61" s="10"/>
      <c r="O61" s="10"/>
      <c r="P61" s="10"/>
      <c r="Q61" s="22"/>
      <c r="R61" s="10"/>
      <c r="S61" s="10"/>
      <c r="T61" s="10"/>
      <c r="U61" s="10"/>
      <c r="V61" s="10"/>
      <c r="W61" s="10"/>
      <c r="X61" s="10"/>
      <c r="Y61" s="10"/>
      <c r="Z61" s="10"/>
      <c r="AA61" s="22"/>
      <c r="AB61" s="10"/>
      <c r="AC61" s="10"/>
      <c r="AD61" s="10"/>
      <c r="AE61" s="10"/>
      <c r="AF61" s="10"/>
      <c r="AG61" s="10"/>
      <c r="AH61" s="23">
        <f t="shared" si="3"/>
        <v>1</v>
      </c>
      <c r="AI61" s="24">
        <v>0.0</v>
      </c>
      <c r="AJ61" s="23">
        <f t="shared" si="4"/>
        <v>21</v>
      </c>
      <c r="AK61" s="23">
        <f t="shared" si="5"/>
        <v>21</v>
      </c>
      <c r="AL61" s="25">
        <f>'MASTER STOCK'!I58</f>
        <v>10000</v>
      </c>
      <c r="AM61" s="27">
        <f>'MASTER STOCK'!L58</f>
        <v>15000</v>
      </c>
      <c r="AN61" s="27">
        <f t="shared" si="6"/>
        <v>15000</v>
      </c>
      <c r="AO61" s="26">
        <f t="shared" si="7"/>
        <v>5000</v>
      </c>
      <c r="AP61" s="114">
        <f t="shared" si="8"/>
        <v>10000</v>
      </c>
      <c r="AQ61" s="10"/>
    </row>
    <row r="62">
      <c r="A62" s="20" t="str">
        <f>'MASTER STOCK'!F59</f>
        <v>Lem aica aibon kuning 125gr</v>
      </c>
      <c r="B62" s="21">
        <f>'OKT 25'!AJ62:AJ445</f>
        <v>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22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23">
        <f t="shared" si="3"/>
        <v>0</v>
      </c>
      <c r="AI62" s="24">
        <v>0.0</v>
      </c>
      <c r="AJ62" s="23">
        <f t="shared" si="4"/>
        <v>1</v>
      </c>
      <c r="AK62" s="23">
        <f t="shared" si="5"/>
        <v>1</v>
      </c>
      <c r="AL62" s="25">
        <f>'MASTER STOCK'!I59</f>
        <v>18200</v>
      </c>
      <c r="AM62" s="27">
        <f>'MASTER STOCK'!L59</f>
        <v>27300</v>
      </c>
      <c r="AN62" s="27">
        <f t="shared" si="6"/>
        <v>0</v>
      </c>
      <c r="AO62" s="26">
        <f t="shared" si="7"/>
        <v>0</v>
      </c>
      <c r="AP62" s="114">
        <f t="shared" si="8"/>
        <v>0</v>
      </c>
      <c r="AQ62" s="10"/>
    </row>
    <row r="63">
      <c r="A63" s="20" t="str">
        <f>'MASTER STOCK'!F60</f>
        <v>Kuas 4" incco</v>
      </c>
      <c r="B63" s="21">
        <f>'OKT 25'!AJ63:AJ446</f>
        <v>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22"/>
      <c r="U63" s="10"/>
      <c r="V63" s="10"/>
      <c r="W63" s="10"/>
      <c r="X63" s="10"/>
      <c r="Y63" s="10"/>
      <c r="Z63" s="10"/>
      <c r="AA63" s="10"/>
      <c r="AB63" s="10"/>
      <c r="AC63" s="10"/>
      <c r="AD63" s="22">
        <v>1.0</v>
      </c>
      <c r="AE63" s="10"/>
      <c r="AF63" s="10"/>
      <c r="AG63" s="10"/>
      <c r="AH63" s="23">
        <f t="shared" si="3"/>
        <v>1</v>
      </c>
      <c r="AI63" s="24">
        <v>0.0</v>
      </c>
      <c r="AJ63" s="23">
        <f t="shared" si="4"/>
        <v>1</v>
      </c>
      <c r="AK63" s="23">
        <f t="shared" si="5"/>
        <v>1</v>
      </c>
      <c r="AL63" s="25">
        <f>'MASTER STOCK'!I60</f>
        <v>15000</v>
      </c>
      <c r="AM63" s="27">
        <f>'MASTER STOCK'!L60</f>
        <v>19500</v>
      </c>
      <c r="AN63" s="27">
        <f t="shared" si="6"/>
        <v>19500</v>
      </c>
      <c r="AO63" s="26">
        <f t="shared" si="7"/>
        <v>4500</v>
      </c>
      <c r="AP63" s="114">
        <f t="shared" si="8"/>
        <v>15000</v>
      </c>
      <c r="AQ63" s="10"/>
    </row>
    <row r="64">
      <c r="A64" s="20" t="str">
        <f>'MASTER STOCK'!F61</f>
        <v>Meteran Autostop Wilmer 5m*19mm</v>
      </c>
      <c r="B64" s="21">
        <f>'OKT 25'!AJ64:AJ447</f>
        <v>2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22">
        <v>1.0</v>
      </c>
      <c r="AE64" s="10"/>
      <c r="AF64" s="10"/>
      <c r="AG64" s="10"/>
      <c r="AH64" s="23">
        <f t="shared" si="3"/>
        <v>1</v>
      </c>
      <c r="AI64" s="24">
        <v>0.0</v>
      </c>
      <c r="AJ64" s="23">
        <f t="shared" si="4"/>
        <v>1</v>
      </c>
      <c r="AK64" s="23">
        <f t="shared" si="5"/>
        <v>1</v>
      </c>
      <c r="AL64" s="25">
        <f>'MASTER STOCK'!I61</f>
        <v>25000</v>
      </c>
      <c r="AM64" s="27">
        <f>'MASTER STOCK'!L61</f>
        <v>30000</v>
      </c>
      <c r="AN64" s="27">
        <f t="shared" si="6"/>
        <v>30000</v>
      </c>
      <c r="AO64" s="26">
        <f t="shared" si="7"/>
        <v>5000</v>
      </c>
      <c r="AP64" s="114">
        <f t="shared" si="8"/>
        <v>25000</v>
      </c>
      <c r="AQ64" s="10"/>
    </row>
    <row r="65">
      <c r="A65" s="20" t="str">
        <f>'MASTER STOCK'!F62</f>
        <v>Precision S/Driver Obeng 6S DIY</v>
      </c>
      <c r="B65" s="21">
        <f>'OKT 25'!AJ65:AJ448</f>
        <v>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23">
        <f t="shared" si="3"/>
        <v>0</v>
      </c>
      <c r="AI65" s="24">
        <v>0.0</v>
      </c>
      <c r="AJ65" s="23">
        <f t="shared" si="4"/>
        <v>2</v>
      </c>
      <c r="AK65" s="23">
        <f t="shared" si="5"/>
        <v>2</v>
      </c>
      <c r="AL65" s="25">
        <f>'MASTER STOCK'!I62</f>
        <v>9500</v>
      </c>
      <c r="AM65" s="27">
        <f>'MASTER STOCK'!L62</f>
        <v>13300</v>
      </c>
      <c r="AN65" s="27">
        <f t="shared" si="6"/>
        <v>0</v>
      </c>
      <c r="AO65" s="26">
        <f t="shared" si="7"/>
        <v>0</v>
      </c>
      <c r="AP65" s="114">
        <f t="shared" si="8"/>
        <v>0</v>
      </c>
      <c r="AQ65" s="10"/>
    </row>
    <row r="66">
      <c r="A66" s="20" t="str">
        <f>'MASTER STOCK'!F63</f>
        <v>Blades / Isi Cutter Besar DIY</v>
      </c>
      <c r="B66" s="21">
        <f>'OKT 25'!AJ66:AJ449</f>
        <v>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23">
        <f t="shared" si="3"/>
        <v>0</v>
      </c>
      <c r="AI66" s="24">
        <v>0.0</v>
      </c>
      <c r="AJ66" s="23">
        <f t="shared" si="4"/>
        <v>20</v>
      </c>
      <c r="AK66" s="23">
        <f t="shared" si="5"/>
        <v>20</v>
      </c>
      <c r="AL66" s="25">
        <f>'MASTER STOCK'!I63</f>
        <v>1150</v>
      </c>
      <c r="AM66" s="27">
        <f>'MASTER STOCK'!L63</f>
        <v>1495</v>
      </c>
      <c r="AN66" s="27">
        <f t="shared" si="6"/>
        <v>0</v>
      </c>
      <c r="AO66" s="26">
        <f t="shared" si="7"/>
        <v>0</v>
      </c>
      <c r="AP66" s="114">
        <f t="shared" si="8"/>
        <v>0</v>
      </c>
      <c r="AQ66" s="10"/>
    </row>
    <row r="67">
      <c r="A67" s="20" t="str">
        <f>'MASTER STOCK'!F64</f>
        <v>Blades / Isi Cutter Kecil DIY</v>
      </c>
      <c r="B67" s="21">
        <f>'OKT 25'!AJ67:AJ450</f>
        <v>20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23">
        <f t="shared" si="3"/>
        <v>0</v>
      </c>
      <c r="AI67" s="24">
        <v>0.0</v>
      </c>
      <c r="AJ67" s="23">
        <f t="shared" si="4"/>
        <v>20</v>
      </c>
      <c r="AK67" s="23">
        <f t="shared" si="5"/>
        <v>20</v>
      </c>
      <c r="AL67" s="25">
        <f>'MASTER STOCK'!I64</f>
        <v>700</v>
      </c>
      <c r="AM67" s="27">
        <f>'MASTER STOCK'!L64</f>
        <v>1050</v>
      </c>
      <c r="AN67" s="27">
        <f t="shared" si="6"/>
        <v>0</v>
      </c>
      <c r="AO67" s="26">
        <f t="shared" si="7"/>
        <v>0</v>
      </c>
      <c r="AP67" s="114">
        <f t="shared" si="8"/>
        <v>0</v>
      </c>
      <c r="AQ67" s="10"/>
    </row>
    <row r="68">
      <c r="A68" s="20" t="str">
        <f>'MASTER STOCK'!F65</f>
        <v>Screwdriver  / Obeng 4" isi 2 DIY</v>
      </c>
      <c r="B68" s="21">
        <f>'OKT 25'!AJ68:AJ451</f>
        <v>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23">
        <f t="shared" si="3"/>
        <v>0</v>
      </c>
      <c r="AI68" s="24">
        <v>0.0</v>
      </c>
      <c r="AJ68" s="23">
        <f t="shared" si="4"/>
        <v>2</v>
      </c>
      <c r="AK68" s="23">
        <f t="shared" si="5"/>
        <v>2</v>
      </c>
      <c r="AL68" s="25">
        <f>'MASTER STOCK'!I65</f>
        <v>12000</v>
      </c>
      <c r="AM68" s="27">
        <f>'MASTER STOCK'!L65</f>
        <v>15600</v>
      </c>
      <c r="AN68" s="27">
        <f t="shared" si="6"/>
        <v>0</v>
      </c>
      <c r="AO68" s="26">
        <f t="shared" si="7"/>
        <v>0</v>
      </c>
      <c r="AP68" s="114">
        <f t="shared" si="8"/>
        <v>0</v>
      </c>
      <c r="AQ68" s="10"/>
    </row>
    <row r="69">
      <c r="A69" s="20" t="str">
        <f>'MASTER STOCK'!F66</f>
        <v>Test Pen DIY</v>
      </c>
      <c r="B69" s="21">
        <f>'OKT 25'!AJ69:AJ452</f>
        <v>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23">
        <f t="shared" si="3"/>
        <v>0</v>
      </c>
      <c r="AI69" s="24">
        <v>0.0</v>
      </c>
      <c r="AJ69" s="23">
        <f t="shared" si="4"/>
        <v>2</v>
      </c>
      <c r="AK69" s="23">
        <f t="shared" si="5"/>
        <v>2</v>
      </c>
      <c r="AL69" s="25">
        <f>'MASTER STOCK'!I66</f>
        <v>12000</v>
      </c>
      <c r="AM69" s="27">
        <f>'MASTER STOCK'!L66</f>
        <v>15600</v>
      </c>
      <c r="AN69" s="27">
        <f t="shared" si="6"/>
        <v>0</v>
      </c>
      <c r="AO69" s="26">
        <f t="shared" si="7"/>
        <v>0</v>
      </c>
      <c r="AP69" s="114">
        <f t="shared" si="8"/>
        <v>0</v>
      </c>
      <c r="AQ69" s="10"/>
    </row>
    <row r="70">
      <c r="A70" s="20" t="str">
        <f>'MASTER STOCK'!F67</f>
        <v>Door Bolt / Selot Pintu DIY 4"</v>
      </c>
      <c r="B70" s="21">
        <f>'OKT 25'!AJ70:AJ453</f>
        <v>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23">
        <f t="shared" si="3"/>
        <v>0</v>
      </c>
      <c r="AI70" s="24">
        <v>0.0</v>
      </c>
      <c r="AJ70" s="23">
        <f t="shared" si="4"/>
        <v>3</v>
      </c>
      <c r="AK70" s="23">
        <f t="shared" si="5"/>
        <v>3</v>
      </c>
      <c r="AL70" s="25">
        <f>'MASTER STOCK'!I67</f>
        <v>7500</v>
      </c>
      <c r="AM70" s="27">
        <f>'MASTER STOCK'!L67</f>
        <v>9750</v>
      </c>
      <c r="AN70" s="27">
        <f t="shared" si="6"/>
        <v>0</v>
      </c>
      <c r="AO70" s="26">
        <f t="shared" si="7"/>
        <v>0</v>
      </c>
      <c r="AP70" s="114">
        <f t="shared" si="8"/>
        <v>0</v>
      </c>
      <c r="AQ70" s="10"/>
    </row>
    <row r="71">
      <c r="A71" s="20" t="str">
        <f>'MASTER STOCK'!F68</f>
        <v>Door Bolt / Selot Pintu DIY 3"</v>
      </c>
      <c r="B71" s="21">
        <f>'OKT 25'!AJ71:AJ454</f>
        <v>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23">
        <f t="shared" si="3"/>
        <v>0</v>
      </c>
      <c r="AI71" s="24">
        <v>0.0</v>
      </c>
      <c r="AJ71" s="23">
        <f t="shared" si="4"/>
        <v>2</v>
      </c>
      <c r="AK71" s="23">
        <f t="shared" si="5"/>
        <v>2</v>
      </c>
      <c r="AL71" s="25">
        <f>'MASTER STOCK'!I68</f>
        <v>10500</v>
      </c>
      <c r="AM71" s="27">
        <f>'MASTER STOCK'!L68</f>
        <v>13650</v>
      </c>
      <c r="AN71" s="27">
        <f t="shared" si="6"/>
        <v>0</v>
      </c>
      <c r="AO71" s="26">
        <f t="shared" si="7"/>
        <v>0</v>
      </c>
      <c r="AP71" s="114">
        <f t="shared" si="8"/>
        <v>0</v>
      </c>
      <c r="AQ71" s="10"/>
    </row>
    <row r="72">
      <c r="A72" s="20" t="str">
        <f>'MASTER STOCK'!F69</f>
        <v>Kuas 2" incco</v>
      </c>
      <c r="B72" s="21">
        <f>'OKT 25'!AJ72:AJ455</f>
        <v>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23">
        <f t="shared" si="3"/>
        <v>0</v>
      </c>
      <c r="AI72" s="24">
        <v>0.0</v>
      </c>
      <c r="AJ72" s="23">
        <f t="shared" si="4"/>
        <v>3</v>
      </c>
      <c r="AK72" s="23">
        <f t="shared" si="5"/>
        <v>3</v>
      </c>
      <c r="AL72" s="25">
        <f>'MASTER STOCK'!I69</f>
        <v>7000</v>
      </c>
      <c r="AM72" s="27">
        <f>'MASTER STOCK'!L69</f>
        <v>9100</v>
      </c>
      <c r="AN72" s="27">
        <f t="shared" si="6"/>
        <v>0</v>
      </c>
      <c r="AO72" s="26">
        <f t="shared" si="7"/>
        <v>0</v>
      </c>
      <c r="AP72" s="114">
        <f t="shared" si="8"/>
        <v>0</v>
      </c>
      <c r="AQ72" s="10"/>
    </row>
    <row r="73">
      <c r="A73" s="20" t="str">
        <f>'MASTER STOCK'!F70</f>
        <v>Kuas 1" incco </v>
      </c>
      <c r="B73" s="21">
        <f>'OKT 25'!AJ73:AJ456</f>
        <v>5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23">
        <f t="shared" si="3"/>
        <v>0</v>
      </c>
      <c r="AI73" s="24">
        <v>0.0</v>
      </c>
      <c r="AJ73" s="23">
        <f t="shared" si="4"/>
        <v>5</v>
      </c>
      <c r="AK73" s="23">
        <f t="shared" si="5"/>
        <v>5</v>
      </c>
      <c r="AL73" s="25">
        <f>'MASTER STOCK'!I70</f>
        <v>3500</v>
      </c>
      <c r="AM73" s="27">
        <f>'MASTER STOCK'!L70</f>
        <v>4550</v>
      </c>
      <c r="AN73" s="27">
        <f t="shared" si="6"/>
        <v>0</v>
      </c>
      <c r="AO73" s="26">
        <f t="shared" si="7"/>
        <v>0</v>
      </c>
      <c r="AP73" s="114">
        <f t="shared" si="8"/>
        <v>0</v>
      </c>
      <c r="AQ73" s="10"/>
    </row>
    <row r="74">
      <c r="A74" s="20" t="str">
        <f>'MASTER STOCK'!F71</f>
        <v>Kapi Plastik Kuning DIY</v>
      </c>
      <c r="B74" s="21">
        <f>'OKT 25'!AJ74:AJ457</f>
        <v>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23">
        <f t="shared" si="3"/>
        <v>0</v>
      </c>
      <c r="AI74" s="24">
        <v>0.0</v>
      </c>
      <c r="AJ74" s="23">
        <f t="shared" si="4"/>
        <v>4</v>
      </c>
      <c r="AK74" s="23">
        <f t="shared" si="5"/>
        <v>4</v>
      </c>
      <c r="AL74" s="25">
        <f>'MASTER STOCK'!I71</f>
        <v>5500</v>
      </c>
      <c r="AM74" s="27">
        <f>'MASTER STOCK'!L71</f>
        <v>7150</v>
      </c>
      <c r="AN74" s="27">
        <f t="shared" si="6"/>
        <v>0</v>
      </c>
      <c r="AO74" s="26">
        <f t="shared" si="7"/>
        <v>0</v>
      </c>
      <c r="AP74" s="114">
        <f t="shared" si="8"/>
        <v>0</v>
      </c>
      <c r="AQ74" s="10"/>
    </row>
    <row r="75">
      <c r="A75" s="20" t="str">
        <f>'MASTER STOCK'!F72</f>
        <v>Kabel Ties 3.6x300mm (85 gram) isi 100 pcs</v>
      </c>
      <c r="B75" s="21">
        <f>'OKT 25'!AJ75:AJ458</f>
        <v>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23">
        <f t="shared" si="3"/>
        <v>0</v>
      </c>
      <c r="AI75" s="24">
        <v>0.0</v>
      </c>
      <c r="AJ75" s="23">
        <f t="shared" si="4"/>
        <v>1</v>
      </c>
      <c r="AK75" s="23">
        <f t="shared" si="5"/>
        <v>1</v>
      </c>
      <c r="AL75" s="25">
        <f>'MASTER STOCK'!I72</f>
        <v>11000</v>
      </c>
      <c r="AM75" s="27">
        <f>'MASTER STOCK'!L72</f>
        <v>16500</v>
      </c>
      <c r="AN75" s="27">
        <f t="shared" si="6"/>
        <v>0</v>
      </c>
      <c r="AO75" s="26">
        <f t="shared" si="7"/>
        <v>0</v>
      </c>
      <c r="AP75" s="114">
        <f t="shared" si="8"/>
        <v>0</v>
      </c>
      <c r="AQ75" s="10"/>
    </row>
    <row r="76">
      <c r="A76" s="20" t="str">
        <f>'MASTER STOCK'!F73</f>
        <v>Kabel Ties 3.6x150mm (60 gram) isi 100 pcs</v>
      </c>
      <c r="B76" s="21">
        <f>'OKT 25'!AJ76:AJ459</f>
        <v>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23">
        <f t="shared" si="3"/>
        <v>0</v>
      </c>
      <c r="AI76" s="24">
        <v>0.0</v>
      </c>
      <c r="AJ76" s="23">
        <f t="shared" si="4"/>
        <v>1</v>
      </c>
      <c r="AK76" s="23">
        <f t="shared" si="5"/>
        <v>1</v>
      </c>
      <c r="AL76" s="25">
        <f>'MASTER STOCK'!I73</f>
        <v>6500</v>
      </c>
      <c r="AM76" s="27">
        <f>'MASTER STOCK'!L73</f>
        <v>9750</v>
      </c>
      <c r="AN76" s="27">
        <f t="shared" si="6"/>
        <v>0</v>
      </c>
      <c r="AO76" s="26">
        <f t="shared" si="7"/>
        <v>0</v>
      </c>
      <c r="AP76" s="114">
        <f t="shared" si="8"/>
        <v>0</v>
      </c>
      <c r="AQ76" s="10"/>
    </row>
    <row r="77">
      <c r="A77" s="20" t="str">
        <f>'MASTER STOCK'!F74</f>
        <v>Kabel Ties 2.5x200mm (50 gram) isi 100 pcs</v>
      </c>
      <c r="B77" s="21">
        <f>'OKT 25'!AJ77:AJ460</f>
        <v>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23">
        <f t="shared" si="3"/>
        <v>0</v>
      </c>
      <c r="AI77" s="24">
        <v>0.0</v>
      </c>
      <c r="AJ77" s="23">
        <f t="shared" si="4"/>
        <v>1</v>
      </c>
      <c r="AK77" s="23">
        <f t="shared" si="5"/>
        <v>1</v>
      </c>
      <c r="AL77" s="25">
        <f>'MASTER STOCK'!I74</f>
        <v>5300</v>
      </c>
      <c r="AM77" s="27">
        <f>'MASTER STOCK'!L74</f>
        <v>7950</v>
      </c>
      <c r="AN77" s="27">
        <f t="shared" si="6"/>
        <v>0</v>
      </c>
      <c r="AO77" s="26">
        <f t="shared" si="7"/>
        <v>0</v>
      </c>
      <c r="AP77" s="114">
        <f t="shared" si="8"/>
        <v>0</v>
      </c>
      <c r="AQ77" s="10"/>
    </row>
    <row r="78">
      <c r="A78" s="20" t="str">
        <f>'MASTER STOCK'!F75</f>
        <v>Kabel Ties 2.5x100mm (50 gram) isi 100 pcs</v>
      </c>
      <c r="B78" s="21">
        <f>'OKT 25'!AJ78:AJ461</f>
        <v>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23">
        <f t="shared" si="3"/>
        <v>0</v>
      </c>
      <c r="AI78" s="24">
        <v>0.0</v>
      </c>
      <c r="AJ78" s="23">
        <f t="shared" si="4"/>
        <v>3</v>
      </c>
      <c r="AK78" s="23">
        <f t="shared" si="5"/>
        <v>3</v>
      </c>
      <c r="AL78" s="25">
        <f>'MASTER STOCK'!I75</f>
        <v>2850</v>
      </c>
      <c r="AM78" s="27">
        <f>'MASTER STOCK'!L75</f>
        <v>4275</v>
      </c>
      <c r="AN78" s="27">
        <f t="shared" si="6"/>
        <v>0</v>
      </c>
      <c r="AO78" s="26">
        <f t="shared" si="7"/>
        <v>0</v>
      </c>
      <c r="AP78" s="114">
        <f t="shared" si="8"/>
        <v>0</v>
      </c>
      <c r="AQ78" s="10"/>
    </row>
    <row r="79">
      <c r="A79" s="20" t="str">
        <f>'MASTER STOCK'!F76</f>
        <v>Kabel Ties 3.6x300mm (85 gram) isi 100 pcs</v>
      </c>
      <c r="B79" s="21">
        <f>'OKT 25'!AJ79:AJ462</f>
        <v>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23">
        <f t="shared" si="3"/>
        <v>0</v>
      </c>
      <c r="AI79" s="24">
        <v>0.0</v>
      </c>
      <c r="AJ79" s="23">
        <f t="shared" si="4"/>
        <v>1</v>
      </c>
      <c r="AK79" s="23">
        <f t="shared" si="5"/>
        <v>1</v>
      </c>
      <c r="AL79" s="25">
        <f>'MASTER STOCK'!I76</f>
        <v>11000</v>
      </c>
      <c r="AM79" s="27">
        <f>'MASTER STOCK'!L76</f>
        <v>16500</v>
      </c>
      <c r="AN79" s="27">
        <f t="shared" si="6"/>
        <v>0</v>
      </c>
      <c r="AO79" s="26">
        <f t="shared" si="7"/>
        <v>0</v>
      </c>
      <c r="AP79" s="114">
        <f t="shared" si="8"/>
        <v>0</v>
      </c>
      <c r="AQ79" s="10"/>
    </row>
    <row r="80">
      <c r="A80" s="20" t="str">
        <f>'MASTER STOCK'!F77</f>
        <v>Kabel Ties 2.5x150mm (50 gram) isi 100 pcs</v>
      </c>
      <c r="B80" s="21">
        <f>'OKT 25'!AJ80:AJ463</f>
        <v>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23">
        <f t="shared" si="3"/>
        <v>0</v>
      </c>
      <c r="AI80" s="24">
        <v>0.0</v>
      </c>
      <c r="AJ80" s="23">
        <f t="shared" si="4"/>
        <v>1</v>
      </c>
      <c r="AK80" s="23">
        <f t="shared" si="5"/>
        <v>1</v>
      </c>
      <c r="AL80" s="25">
        <f>'MASTER STOCK'!I77</f>
        <v>4100</v>
      </c>
      <c r="AM80" s="27">
        <f>'MASTER STOCK'!L77</f>
        <v>6150</v>
      </c>
      <c r="AN80" s="27">
        <f t="shared" si="6"/>
        <v>0</v>
      </c>
      <c r="AO80" s="26">
        <f t="shared" si="7"/>
        <v>0</v>
      </c>
      <c r="AP80" s="114">
        <f t="shared" si="8"/>
        <v>0</v>
      </c>
      <c r="AQ80" s="10"/>
    </row>
    <row r="81">
      <c r="A81" s="20" t="str">
        <f>'MASTER STOCK'!F78</f>
        <v>Kabel Ties 3.6x250mm (80 gram) isi 100 pcs</v>
      </c>
      <c r="B81" s="21">
        <f>'OKT 25'!AJ81:AJ464</f>
        <v>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23">
        <f t="shared" si="3"/>
        <v>0</v>
      </c>
      <c r="AI81" s="24">
        <v>0.0</v>
      </c>
      <c r="AJ81" s="23">
        <f t="shared" si="4"/>
        <v>1</v>
      </c>
      <c r="AK81" s="23">
        <f t="shared" si="5"/>
        <v>1</v>
      </c>
      <c r="AL81" s="25">
        <f>'MASTER STOCK'!I78</f>
        <v>10300</v>
      </c>
      <c r="AM81" s="27">
        <f>'MASTER STOCK'!L78</f>
        <v>15450</v>
      </c>
      <c r="AN81" s="27">
        <f t="shared" si="6"/>
        <v>0</v>
      </c>
      <c r="AO81" s="26">
        <f t="shared" si="7"/>
        <v>0</v>
      </c>
      <c r="AP81" s="114">
        <f t="shared" si="8"/>
        <v>0</v>
      </c>
      <c r="AQ81" s="10"/>
    </row>
    <row r="82">
      <c r="A82" s="20" t="str">
        <f>'MASTER STOCK'!F79</f>
        <v>Kabel Ties 4.8x200mm (85 gram) isi 100 pcs</v>
      </c>
      <c r="B82" s="21">
        <f>'OKT 25'!AJ82:AJ465</f>
        <v>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23">
        <f t="shared" si="3"/>
        <v>0</v>
      </c>
      <c r="AI82" s="24">
        <v>0.0</v>
      </c>
      <c r="AJ82" s="23">
        <f t="shared" si="4"/>
        <v>1</v>
      </c>
      <c r="AK82" s="23">
        <f t="shared" si="5"/>
        <v>1</v>
      </c>
      <c r="AL82" s="25">
        <f>'MASTER STOCK'!I79</f>
        <v>11000</v>
      </c>
      <c r="AM82" s="27">
        <f>'MASTER STOCK'!L79</f>
        <v>16500</v>
      </c>
      <c r="AN82" s="27">
        <f t="shared" si="6"/>
        <v>0</v>
      </c>
      <c r="AO82" s="26">
        <f t="shared" si="7"/>
        <v>0</v>
      </c>
      <c r="AP82" s="114">
        <f t="shared" si="8"/>
        <v>0</v>
      </c>
      <c r="AQ82" s="10"/>
    </row>
    <row r="83">
      <c r="A83" s="20" t="str">
        <f>'MASTER STOCK'!F80</f>
        <v>Kabel Ties 2.5x100mm (50 gram) isi 100 pcs</v>
      </c>
      <c r="B83" s="21">
        <f>'OKT 25'!AJ83:AJ466</f>
        <v>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23">
        <f t="shared" si="3"/>
        <v>0</v>
      </c>
      <c r="AI83" s="24">
        <v>0.0</v>
      </c>
      <c r="AJ83" s="23">
        <f t="shared" si="4"/>
        <v>1</v>
      </c>
      <c r="AK83" s="23">
        <f t="shared" si="5"/>
        <v>1</v>
      </c>
      <c r="AL83" s="25">
        <f>'MASTER STOCK'!I80</f>
        <v>2850</v>
      </c>
      <c r="AM83" s="27">
        <f>'MASTER STOCK'!L80</f>
        <v>4275</v>
      </c>
      <c r="AN83" s="27">
        <f t="shared" si="6"/>
        <v>0</v>
      </c>
      <c r="AO83" s="26">
        <f t="shared" si="7"/>
        <v>0</v>
      </c>
      <c r="AP83" s="114">
        <f t="shared" si="8"/>
        <v>0</v>
      </c>
      <c r="AQ83" s="10"/>
    </row>
    <row r="84">
      <c r="A84" s="20" t="str">
        <f>'MASTER STOCK'!F81</f>
        <v>Kabel Ties 3.6x150mm (70 gram) isi 100 pcs</v>
      </c>
      <c r="B84" s="21">
        <f>'OKT 25'!AJ84:AJ467</f>
        <v>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23">
        <f t="shared" si="3"/>
        <v>0</v>
      </c>
      <c r="AI84" s="24">
        <v>0.0</v>
      </c>
      <c r="AJ84" s="23">
        <f t="shared" si="4"/>
        <v>1</v>
      </c>
      <c r="AK84" s="23">
        <f t="shared" si="5"/>
        <v>1</v>
      </c>
      <c r="AL84" s="25">
        <f>'MASTER STOCK'!I81</f>
        <v>6500</v>
      </c>
      <c r="AM84" s="27">
        <f>'MASTER STOCK'!L81</f>
        <v>9750</v>
      </c>
      <c r="AN84" s="27">
        <f t="shared" si="6"/>
        <v>0</v>
      </c>
      <c r="AO84" s="26">
        <f t="shared" si="7"/>
        <v>0</v>
      </c>
      <c r="AP84" s="114">
        <f t="shared" si="8"/>
        <v>0</v>
      </c>
      <c r="AQ84" s="10"/>
    </row>
    <row r="85">
      <c r="A85" s="20" t="str">
        <f>'MASTER STOCK'!F82</f>
        <v>Kabel Ties 4.8x200mm (85 gram) isi 100 pcs</v>
      </c>
      <c r="B85" s="21">
        <f>'OKT 25'!AJ85:AJ468</f>
        <v>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23">
        <f t="shared" si="3"/>
        <v>0</v>
      </c>
      <c r="AI85" s="24">
        <v>0.0</v>
      </c>
      <c r="AJ85" s="23">
        <f t="shared" si="4"/>
        <v>1</v>
      </c>
      <c r="AK85" s="23">
        <f t="shared" si="5"/>
        <v>1</v>
      </c>
      <c r="AL85" s="25">
        <f>'MASTER STOCK'!I82</f>
        <v>11000</v>
      </c>
      <c r="AM85" s="27">
        <f>'MASTER STOCK'!L82</f>
        <v>16500</v>
      </c>
      <c r="AN85" s="27">
        <f t="shared" si="6"/>
        <v>0</v>
      </c>
      <c r="AO85" s="26">
        <f t="shared" si="7"/>
        <v>0</v>
      </c>
      <c r="AP85" s="114">
        <f t="shared" si="8"/>
        <v>0</v>
      </c>
      <c r="AQ85" s="10"/>
    </row>
    <row r="86">
      <c r="A86" s="20" t="str">
        <f>'MASTER STOCK'!F83</f>
        <v>Kabel Ties 3.6x250mm (70 gram) isi 100 pcs</v>
      </c>
      <c r="B86" s="21">
        <f>'OKT 25'!AJ86:AJ469</f>
        <v>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23">
        <f t="shared" si="3"/>
        <v>0</v>
      </c>
      <c r="AI86" s="24">
        <v>0.0</v>
      </c>
      <c r="AJ86" s="23">
        <f t="shared" si="4"/>
        <v>1</v>
      </c>
      <c r="AK86" s="23">
        <f t="shared" si="5"/>
        <v>1</v>
      </c>
      <c r="AL86" s="25">
        <f>'MASTER STOCK'!I83</f>
        <v>10300</v>
      </c>
      <c r="AM86" s="27">
        <f>'MASTER STOCK'!L83</f>
        <v>15450</v>
      </c>
      <c r="AN86" s="27">
        <f t="shared" si="6"/>
        <v>0</v>
      </c>
      <c r="AO86" s="26">
        <f t="shared" si="7"/>
        <v>0</v>
      </c>
      <c r="AP86" s="114">
        <f t="shared" si="8"/>
        <v>0</v>
      </c>
      <c r="AQ86" s="10"/>
    </row>
    <row r="87">
      <c r="A87" s="20" t="str">
        <f>'MASTER STOCK'!F84</f>
        <v>Kabel Transparan 2x30 90M full serabut per roll 2line</v>
      </c>
      <c r="B87" s="21">
        <f>'OKT 25'!AJ87:AJ470</f>
        <v>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23">
        <f t="shared" si="3"/>
        <v>0</v>
      </c>
      <c r="AI87" s="24">
        <v>0.0</v>
      </c>
      <c r="AJ87" s="23">
        <f t="shared" si="4"/>
        <v>1</v>
      </c>
      <c r="AK87" s="23">
        <f t="shared" si="5"/>
        <v>1</v>
      </c>
      <c r="AL87" s="25">
        <f>'MASTER STOCK'!I84</f>
        <v>80000</v>
      </c>
      <c r="AM87" s="27">
        <f>'MASTER STOCK'!L84</f>
        <v>136000</v>
      </c>
      <c r="AN87" s="27">
        <f t="shared" si="6"/>
        <v>0</v>
      </c>
      <c r="AO87" s="26">
        <f t="shared" si="7"/>
        <v>0</v>
      </c>
      <c r="AP87" s="114">
        <f t="shared" si="8"/>
        <v>0</v>
      </c>
      <c r="AQ87" s="10"/>
    </row>
    <row r="88">
      <c r="A88" s="20" t="str">
        <f>'MASTER STOCK'!F85</f>
        <v>Kabel Transparan 2x80 90M full serabut per roll 2line</v>
      </c>
      <c r="B88" s="21">
        <f>'OKT 25'!AJ88:AJ471</f>
        <v>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23">
        <f t="shared" si="3"/>
        <v>0</v>
      </c>
      <c r="AI88" s="24">
        <v>0.0</v>
      </c>
      <c r="AJ88" s="23">
        <f t="shared" si="4"/>
        <v>1</v>
      </c>
      <c r="AK88" s="23">
        <f t="shared" si="5"/>
        <v>1</v>
      </c>
      <c r="AL88" s="25">
        <f>'MASTER STOCK'!I85</f>
        <v>165000</v>
      </c>
      <c r="AM88" s="27">
        <f>'MASTER STOCK'!L85</f>
        <v>280500</v>
      </c>
      <c r="AN88" s="27">
        <f t="shared" si="6"/>
        <v>0</v>
      </c>
      <c r="AO88" s="26">
        <f t="shared" si="7"/>
        <v>0</v>
      </c>
      <c r="AP88" s="114">
        <f t="shared" si="8"/>
        <v>0</v>
      </c>
      <c r="AQ88" s="10"/>
    </row>
    <row r="89">
      <c r="A89" s="20" t="str">
        <f>'MASTER STOCK'!F86</f>
        <v>Kabel Transparan 2x50 90M full serabut per roll 2line</v>
      </c>
      <c r="B89" s="21">
        <f>'OKT 25'!AJ89:AJ472</f>
        <v>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23">
        <f t="shared" si="3"/>
        <v>0</v>
      </c>
      <c r="AI89" s="24">
        <v>0.0</v>
      </c>
      <c r="AJ89" s="23">
        <f t="shared" si="4"/>
        <v>1</v>
      </c>
      <c r="AK89" s="23">
        <f t="shared" si="5"/>
        <v>1</v>
      </c>
      <c r="AL89" s="25">
        <f>'MASTER STOCK'!I86</f>
        <v>140000</v>
      </c>
      <c r="AM89" s="27">
        <f>'MASTER STOCK'!L86</f>
        <v>238000</v>
      </c>
      <c r="AN89" s="27">
        <f t="shared" si="6"/>
        <v>0</v>
      </c>
      <c r="AO89" s="26">
        <f t="shared" si="7"/>
        <v>0</v>
      </c>
      <c r="AP89" s="114">
        <f t="shared" si="8"/>
        <v>0</v>
      </c>
      <c r="AQ89" s="10"/>
    </row>
    <row r="90">
      <c r="A90" s="20" t="str">
        <f>'MASTER STOCK'!F87</f>
        <v>Solder listrik gagang kayu 60watt</v>
      </c>
      <c r="B90" s="21">
        <f>'OKT 25'!AJ90:AJ473</f>
        <v>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22"/>
      <c r="AH90" s="23">
        <f t="shared" si="3"/>
        <v>0</v>
      </c>
      <c r="AI90" s="24">
        <v>0.0</v>
      </c>
      <c r="AJ90" s="23">
        <f t="shared" si="4"/>
        <v>4</v>
      </c>
      <c r="AK90" s="23">
        <f t="shared" si="5"/>
        <v>4</v>
      </c>
      <c r="AL90" s="25">
        <f>'MASTER STOCK'!I87</f>
        <v>13000</v>
      </c>
      <c r="AM90" s="27">
        <f>'MASTER STOCK'!L87</f>
        <v>16900</v>
      </c>
      <c r="AN90" s="27">
        <f t="shared" si="6"/>
        <v>0</v>
      </c>
      <c r="AO90" s="26">
        <f t="shared" si="7"/>
        <v>0</v>
      </c>
      <c r="AP90" s="114">
        <f t="shared" si="8"/>
        <v>0</v>
      </c>
      <c r="AQ90" s="10"/>
    </row>
    <row r="91">
      <c r="A91" s="20" t="str">
        <f>'MASTER STOCK'!F88</f>
        <v>Timah gulung solder tenol elektrik</v>
      </c>
      <c r="B91" s="21">
        <f>'OKT 25'!AJ91:AJ474</f>
        <v>2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22"/>
      <c r="AH91" s="23">
        <f t="shared" si="3"/>
        <v>0</v>
      </c>
      <c r="AI91" s="24">
        <v>0.0</v>
      </c>
      <c r="AJ91" s="23">
        <f t="shared" si="4"/>
        <v>2</v>
      </c>
      <c r="AK91" s="23">
        <f t="shared" si="5"/>
        <v>2</v>
      </c>
      <c r="AL91" s="25">
        <f>'MASTER STOCK'!I88</f>
        <v>10500</v>
      </c>
      <c r="AM91" s="27">
        <f>'MASTER STOCK'!L88</f>
        <v>13650</v>
      </c>
      <c r="AN91" s="27">
        <f t="shared" si="6"/>
        <v>0</v>
      </c>
      <c r="AO91" s="26">
        <f t="shared" si="7"/>
        <v>0</v>
      </c>
      <c r="AP91" s="114">
        <f t="shared" si="8"/>
        <v>0</v>
      </c>
      <c r="AQ91" s="10"/>
    </row>
    <row r="92">
      <c r="A92" s="20" t="str">
        <f>'MASTER STOCK'!F89</f>
        <v>Solasi lakban coklat</v>
      </c>
      <c r="B92" s="21">
        <f>'OKT 25'!AJ92:AJ475</f>
        <v>6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23">
        <f t="shared" si="3"/>
        <v>0</v>
      </c>
      <c r="AI92" s="24">
        <v>0.0</v>
      </c>
      <c r="AJ92" s="23">
        <f t="shared" si="4"/>
        <v>6</v>
      </c>
      <c r="AK92" s="23">
        <f t="shared" si="5"/>
        <v>6</v>
      </c>
      <c r="AL92" s="25">
        <f>'MASTER STOCK'!I89</f>
        <v>3600</v>
      </c>
      <c r="AM92" s="27">
        <f>'MASTER STOCK'!L89</f>
        <v>5400</v>
      </c>
      <c r="AN92" s="27">
        <f t="shared" si="6"/>
        <v>0</v>
      </c>
      <c r="AO92" s="26">
        <f t="shared" si="7"/>
        <v>0</v>
      </c>
      <c r="AP92" s="114">
        <f t="shared" si="8"/>
        <v>0</v>
      </c>
      <c r="AQ92" s="10"/>
    </row>
    <row r="93">
      <c r="A93" s="20" t="str">
        <f>'MASTER STOCK'!F90</f>
        <v>Spidol Kecil snowman Hitam</v>
      </c>
      <c r="B93" s="21">
        <f>'OKT 25'!AJ93:AJ476</f>
        <v>12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23">
        <f t="shared" si="3"/>
        <v>0</v>
      </c>
      <c r="AI93" s="24">
        <v>0.0</v>
      </c>
      <c r="AJ93" s="23">
        <f t="shared" si="4"/>
        <v>12</v>
      </c>
      <c r="AK93" s="23">
        <f t="shared" si="5"/>
        <v>12</v>
      </c>
      <c r="AL93" s="25">
        <f>'MASTER STOCK'!I90</f>
        <v>1700</v>
      </c>
      <c r="AM93" s="27">
        <f>'MASTER STOCK'!L90</f>
        <v>2550</v>
      </c>
      <c r="AN93" s="27">
        <f t="shared" si="6"/>
        <v>0</v>
      </c>
      <c r="AO93" s="26">
        <f t="shared" si="7"/>
        <v>0</v>
      </c>
      <c r="AP93" s="114">
        <f t="shared" si="8"/>
        <v>0</v>
      </c>
      <c r="AQ93" s="10"/>
    </row>
    <row r="94">
      <c r="A94" s="20" t="str">
        <f>'MASTER STOCK'!F91</f>
        <v>Spidol Kecil snowman Merah</v>
      </c>
      <c r="B94" s="21">
        <f>'OKT 25'!AJ94:AJ477</f>
        <v>12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23">
        <f t="shared" si="3"/>
        <v>0</v>
      </c>
      <c r="AI94" s="24">
        <v>0.0</v>
      </c>
      <c r="AJ94" s="23">
        <f t="shared" si="4"/>
        <v>12</v>
      </c>
      <c r="AK94" s="23">
        <f t="shared" si="5"/>
        <v>12</v>
      </c>
      <c r="AL94" s="25">
        <f>'MASTER STOCK'!I91</f>
        <v>1700</v>
      </c>
      <c r="AM94" s="27">
        <f>'MASTER STOCK'!L91</f>
        <v>2550</v>
      </c>
      <c r="AN94" s="27">
        <f t="shared" si="6"/>
        <v>0</v>
      </c>
      <c r="AO94" s="26">
        <f t="shared" si="7"/>
        <v>0</v>
      </c>
      <c r="AP94" s="114">
        <f t="shared" si="8"/>
        <v>0</v>
      </c>
      <c r="AQ94" s="10"/>
    </row>
    <row r="95">
      <c r="A95" s="20" t="str">
        <f>'MASTER STOCK'!F92</f>
        <v>isolasi Lakban Packing bening</v>
      </c>
      <c r="B95" s="21">
        <f>'OKT 25'!AJ95:AJ478</f>
        <v>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23">
        <f t="shared" si="3"/>
        <v>0</v>
      </c>
      <c r="AI95" s="24">
        <v>0.0</v>
      </c>
      <c r="AJ95" s="23">
        <f t="shared" si="4"/>
        <v>6</v>
      </c>
      <c r="AK95" s="23">
        <f t="shared" si="5"/>
        <v>6</v>
      </c>
      <c r="AL95" s="25">
        <f>'MASTER STOCK'!I92</f>
        <v>4500</v>
      </c>
      <c r="AM95" s="27">
        <f>'MASTER STOCK'!L92</f>
        <v>5850</v>
      </c>
      <c r="AN95" s="27">
        <f t="shared" si="6"/>
        <v>0</v>
      </c>
      <c r="AO95" s="26">
        <f t="shared" si="7"/>
        <v>0</v>
      </c>
      <c r="AP95" s="114">
        <f t="shared" si="8"/>
        <v>0</v>
      </c>
      <c r="AQ95" s="10"/>
    </row>
    <row r="96">
      <c r="A96" s="20" t="str">
        <f>'MASTER STOCK'!F93</f>
        <v>Tali tampar/ Tali tukang</v>
      </c>
      <c r="B96" s="21">
        <f>'OKT 25'!AJ96:AJ479</f>
        <v>20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23">
        <f t="shared" si="3"/>
        <v>0</v>
      </c>
      <c r="AI96" s="24">
        <v>0.0</v>
      </c>
      <c r="AJ96" s="23">
        <f t="shared" si="4"/>
        <v>20</v>
      </c>
      <c r="AK96" s="23">
        <f t="shared" si="5"/>
        <v>20</v>
      </c>
      <c r="AL96" s="25">
        <f>'MASTER STOCK'!I93</f>
        <v>1750</v>
      </c>
      <c r="AM96" s="27">
        <f>'MASTER STOCK'!L93</f>
        <v>2275</v>
      </c>
      <c r="AN96" s="27">
        <f t="shared" si="6"/>
        <v>0</v>
      </c>
      <c r="AO96" s="26">
        <f t="shared" si="7"/>
        <v>0</v>
      </c>
      <c r="AP96" s="114">
        <f t="shared" si="8"/>
        <v>0</v>
      </c>
      <c r="AQ96" s="10"/>
    </row>
    <row r="97">
      <c r="A97" s="20" t="str">
        <f>'MASTER STOCK'!F94</f>
        <v>Keranjang serbaguna</v>
      </c>
      <c r="B97" s="21">
        <f>'OKT 25'!AJ97:AJ480</f>
        <v>24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23">
        <f t="shared" si="3"/>
        <v>0</v>
      </c>
      <c r="AI97" s="24">
        <v>0.0</v>
      </c>
      <c r="AJ97" s="23">
        <f t="shared" si="4"/>
        <v>24</v>
      </c>
      <c r="AK97" s="23">
        <f t="shared" si="5"/>
        <v>24</v>
      </c>
      <c r="AL97" s="25">
        <f>'MASTER STOCK'!I94</f>
        <v>4700</v>
      </c>
      <c r="AM97" s="27" t="str">
        <f>'MASTER STOCK'!L94</f>
        <v/>
      </c>
      <c r="AN97" s="27">
        <f t="shared" si="6"/>
        <v>0</v>
      </c>
      <c r="AO97" s="26">
        <f t="shared" si="7"/>
        <v>0</v>
      </c>
      <c r="AP97" s="114">
        <f t="shared" si="8"/>
        <v>0</v>
      </c>
      <c r="AQ97" s="10"/>
    </row>
    <row r="98">
      <c r="A98" s="20" t="str">
        <f>'MASTER STOCK'!F95</f>
        <v>Paku (Nail 2000) 1 1/2"</v>
      </c>
      <c r="B98" s="21">
        <f>'OKT 25'!AJ98:AJ481</f>
        <v>1.3</v>
      </c>
      <c r="C98" s="10"/>
      <c r="D98" s="22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22"/>
      <c r="R98" s="10"/>
      <c r="S98" s="10"/>
      <c r="T98" s="10"/>
      <c r="U98" s="10"/>
      <c r="V98" s="22"/>
      <c r="W98" s="10"/>
      <c r="X98" s="10"/>
      <c r="Y98" s="10"/>
      <c r="Z98" s="22">
        <v>0.2</v>
      </c>
      <c r="AA98" s="22"/>
      <c r="AB98" s="10"/>
      <c r="AC98" s="10"/>
      <c r="AD98" s="10"/>
      <c r="AE98" s="10"/>
      <c r="AF98" s="10"/>
      <c r="AG98" s="10"/>
      <c r="AH98" s="23">
        <f t="shared" si="3"/>
        <v>0.2</v>
      </c>
      <c r="AI98" s="24">
        <v>0.0</v>
      </c>
      <c r="AJ98" s="23">
        <f t="shared" si="4"/>
        <v>1.1</v>
      </c>
      <c r="AK98" s="23">
        <f t="shared" si="5"/>
        <v>1.1</v>
      </c>
      <c r="AL98" s="25">
        <f>'MASTER STOCK'!I95</f>
        <v>14400</v>
      </c>
      <c r="AM98" s="27">
        <f>'MASTER STOCK'!L95</f>
        <v>18720</v>
      </c>
      <c r="AN98" s="27">
        <f t="shared" si="6"/>
        <v>3744</v>
      </c>
      <c r="AO98" s="26">
        <f t="shared" si="7"/>
        <v>864</v>
      </c>
      <c r="AP98" s="114">
        <f t="shared" si="8"/>
        <v>2880</v>
      </c>
      <c r="AQ98" s="10"/>
    </row>
    <row r="99">
      <c r="A99" s="20" t="str">
        <f>'MASTER STOCK'!F96</f>
        <v>Paku (Nail 2000) 2 1/2"</v>
      </c>
      <c r="B99" s="21">
        <f>'OKT 25'!AJ99:AJ482</f>
        <v>19.9</v>
      </c>
      <c r="C99" s="22"/>
      <c r="D99" s="10"/>
      <c r="E99" s="10"/>
      <c r="F99" s="10"/>
      <c r="G99" s="10"/>
      <c r="H99" s="10"/>
      <c r="I99" s="10"/>
      <c r="J99" s="10"/>
      <c r="K99" s="22">
        <v>0.35</v>
      </c>
      <c r="L99" s="22">
        <v>0.5</v>
      </c>
      <c r="M99" s="10"/>
      <c r="N99" s="10"/>
      <c r="O99" s="10"/>
      <c r="P99" s="10"/>
      <c r="Q99" s="10"/>
      <c r="R99" s="10"/>
      <c r="S99" s="22">
        <v>0.7</v>
      </c>
      <c r="T99" s="22">
        <v>0.5</v>
      </c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23">
        <f t="shared" si="3"/>
        <v>2.05</v>
      </c>
      <c r="AI99" s="24">
        <v>0.0</v>
      </c>
      <c r="AJ99" s="23">
        <f t="shared" si="4"/>
        <v>17.85</v>
      </c>
      <c r="AK99" s="23">
        <f t="shared" si="5"/>
        <v>17.85</v>
      </c>
      <c r="AL99" s="25">
        <f>'MASTER STOCK'!I96</f>
        <v>13500</v>
      </c>
      <c r="AM99" s="27">
        <f>'MASTER STOCK'!L96</f>
        <v>17550</v>
      </c>
      <c r="AN99" s="27">
        <f t="shared" si="6"/>
        <v>35977.5</v>
      </c>
      <c r="AO99" s="26">
        <f t="shared" si="7"/>
        <v>8302.5</v>
      </c>
      <c r="AP99" s="114">
        <f t="shared" si="8"/>
        <v>27675</v>
      </c>
      <c r="AQ99" s="10"/>
    </row>
    <row r="100">
      <c r="A100" s="20" t="str">
        <f>'MASTER STOCK'!F97</f>
        <v>Paku (Nail 2000) 3"</v>
      </c>
      <c r="B100" s="21">
        <f>'OKT 25'!AJ100:AJ483</f>
        <v>16.45</v>
      </c>
      <c r="C100" s="22"/>
      <c r="D100" s="10"/>
      <c r="E100" s="10"/>
      <c r="F100" s="22"/>
      <c r="G100" s="10"/>
      <c r="H100" s="22"/>
      <c r="I100" s="10"/>
      <c r="J100" s="22"/>
      <c r="K100" s="22">
        <v>1.0</v>
      </c>
      <c r="L100" s="22">
        <v>0.5</v>
      </c>
      <c r="M100" s="10"/>
      <c r="N100" s="10"/>
      <c r="O100" s="10"/>
      <c r="P100" s="10"/>
      <c r="Q100" s="10"/>
      <c r="R100" s="10"/>
      <c r="S100" s="22">
        <v>0.7</v>
      </c>
      <c r="T100" s="10"/>
      <c r="U100" s="22"/>
      <c r="V100" s="10"/>
      <c r="W100" s="10"/>
      <c r="X100" s="10"/>
      <c r="Y100" s="22"/>
      <c r="Z100" s="10"/>
      <c r="AA100" s="10"/>
      <c r="AB100" s="10"/>
      <c r="AC100" s="10"/>
      <c r="AD100" s="10"/>
      <c r="AE100" s="10"/>
      <c r="AF100" s="10"/>
      <c r="AG100" s="10"/>
      <c r="AH100" s="23">
        <f t="shared" si="3"/>
        <v>2.2</v>
      </c>
      <c r="AI100" s="24">
        <v>0.0</v>
      </c>
      <c r="AJ100" s="23">
        <f t="shared" si="4"/>
        <v>14.25</v>
      </c>
      <c r="AK100" s="23">
        <f t="shared" si="5"/>
        <v>14.25</v>
      </c>
      <c r="AL100" s="25">
        <f>'MASTER STOCK'!I97</f>
        <v>13500</v>
      </c>
      <c r="AM100" s="27">
        <f>'MASTER STOCK'!L97</f>
        <v>17550</v>
      </c>
      <c r="AN100" s="27">
        <f t="shared" si="6"/>
        <v>38610</v>
      </c>
      <c r="AO100" s="26">
        <f t="shared" si="7"/>
        <v>8910</v>
      </c>
      <c r="AP100" s="114">
        <f t="shared" si="8"/>
        <v>29700</v>
      </c>
      <c r="AQ100" s="10"/>
    </row>
    <row r="101">
      <c r="A101" s="20" t="str">
        <f>'MASTER STOCK'!F98</f>
        <v>Paku (Nail 2000) 1"</v>
      </c>
      <c r="B101" s="21">
        <f>'OKT 25'!AJ101:AJ484</f>
        <v>2.85</v>
      </c>
      <c r="C101" s="22"/>
      <c r="D101" s="10"/>
      <c r="E101" s="10"/>
      <c r="F101" s="10"/>
      <c r="G101" s="10"/>
      <c r="H101" s="22">
        <v>0.25</v>
      </c>
      <c r="I101" s="10"/>
      <c r="J101" s="10"/>
      <c r="K101" s="22">
        <v>0.25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22"/>
      <c r="Z101" s="10"/>
      <c r="AA101" s="10"/>
      <c r="AB101" s="10"/>
      <c r="AC101" s="10"/>
      <c r="AD101" s="10"/>
      <c r="AE101" s="10"/>
      <c r="AF101" s="10"/>
      <c r="AG101" s="10"/>
      <c r="AH101" s="23">
        <f t="shared" si="3"/>
        <v>0.5</v>
      </c>
      <c r="AI101" s="24">
        <v>0.0</v>
      </c>
      <c r="AJ101" s="23">
        <f t="shared" si="4"/>
        <v>2.35</v>
      </c>
      <c r="AK101" s="23">
        <f t="shared" si="5"/>
        <v>2.35</v>
      </c>
      <c r="AL101" s="25">
        <f>'MASTER STOCK'!I98</f>
        <v>15200</v>
      </c>
      <c r="AM101" s="27">
        <f>'MASTER STOCK'!L98</f>
        <v>19760</v>
      </c>
      <c r="AN101" s="27">
        <f t="shared" si="6"/>
        <v>9880</v>
      </c>
      <c r="AO101" s="26">
        <f t="shared" si="7"/>
        <v>2280</v>
      </c>
      <c r="AP101" s="114">
        <f t="shared" si="8"/>
        <v>7600</v>
      </c>
      <c r="AQ101" s="10"/>
    </row>
    <row r="102">
      <c r="A102" s="20" t="str">
        <f>'MASTER STOCK'!F99</f>
        <v>Paku (Nail 20000 1 3/4"</v>
      </c>
      <c r="B102" s="21">
        <f>'OKT 25'!AJ102:AJ485</f>
        <v>3.05</v>
      </c>
      <c r="C102" s="22"/>
      <c r="D102" s="10"/>
      <c r="E102" s="10"/>
      <c r="F102" s="22"/>
      <c r="G102" s="10"/>
      <c r="H102" s="22">
        <v>0.25</v>
      </c>
      <c r="I102" s="22"/>
      <c r="J102" s="10"/>
      <c r="K102" s="10"/>
      <c r="L102" s="10"/>
      <c r="M102" s="10"/>
      <c r="N102" s="10"/>
      <c r="O102" s="10"/>
      <c r="P102" s="10"/>
      <c r="Q102" s="10"/>
      <c r="R102" s="10"/>
      <c r="S102" s="22"/>
      <c r="T102" s="10"/>
      <c r="U102" s="10"/>
      <c r="V102" s="10"/>
      <c r="W102" s="10"/>
      <c r="X102" s="10"/>
      <c r="Y102" s="22"/>
      <c r="Z102" s="10"/>
      <c r="AA102" s="10"/>
      <c r="AB102" s="10"/>
      <c r="AC102" s="10"/>
      <c r="AD102" s="10"/>
      <c r="AE102" s="10"/>
      <c r="AF102" s="10"/>
      <c r="AG102" s="10"/>
      <c r="AH102" s="23">
        <f t="shared" si="3"/>
        <v>0.25</v>
      </c>
      <c r="AI102" s="24">
        <v>0.0</v>
      </c>
      <c r="AJ102" s="23">
        <f t="shared" si="4"/>
        <v>2.8</v>
      </c>
      <c r="AK102" s="23">
        <f t="shared" si="5"/>
        <v>2.8</v>
      </c>
      <c r="AL102" s="25">
        <f>'MASTER STOCK'!I99</f>
        <v>14100</v>
      </c>
      <c r="AM102" s="27">
        <f>'MASTER STOCK'!L99</f>
        <v>18330</v>
      </c>
      <c r="AN102" s="27">
        <f t="shared" si="6"/>
        <v>4582.5</v>
      </c>
      <c r="AO102" s="26">
        <f t="shared" si="7"/>
        <v>1057.5</v>
      </c>
      <c r="AP102" s="114">
        <f t="shared" si="8"/>
        <v>3525</v>
      </c>
      <c r="AQ102" s="10"/>
    </row>
    <row r="103">
      <c r="A103" s="20" t="str">
        <f>'MASTER STOCK'!F100</f>
        <v>Paku (Nail 2000) 2"</v>
      </c>
      <c r="B103" s="21">
        <f>'OKT 25'!AJ103:AJ486</f>
        <v>10.5</v>
      </c>
      <c r="C103" s="22"/>
      <c r="D103" s="22"/>
      <c r="E103" s="10"/>
      <c r="F103" s="10"/>
      <c r="G103" s="10"/>
      <c r="H103" s="22"/>
      <c r="I103" s="22"/>
      <c r="J103" s="10"/>
      <c r="K103" s="10"/>
      <c r="L103" s="22">
        <v>0.5</v>
      </c>
      <c r="M103" s="10"/>
      <c r="N103" s="10"/>
      <c r="O103" s="10"/>
      <c r="P103" s="10"/>
      <c r="Q103" s="22"/>
      <c r="R103" s="10"/>
      <c r="S103" s="22">
        <v>0.25</v>
      </c>
      <c r="T103" s="10"/>
      <c r="U103" s="22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23">
        <f t="shared" si="3"/>
        <v>0.75</v>
      </c>
      <c r="AI103" s="24">
        <v>0.0</v>
      </c>
      <c r="AJ103" s="23">
        <f t="shared" si="4"/>
        <v>9.75</v>
      </c>
      <c r="AK103" s="23">
        <f t="shared" si="5"/>
        <v>9.75</v>
      </c>
      <c r="AL103" s="25">
        <f>'MASTER STOCK'!I100</f>
        <v>13500</v>
      </c>
      <c r="AM103" s="27">
        <f>'MASTER STOCK'!L100</f>
        <v>17550</v>
      </c>
      <c r="AN103" s="27">
        <f t="shared" si="6"/>
        <v>13162.5</v>
      </c>
      <c r="AO103" s="26">
        <f t="shared" si="7"/>
        <v>3037.5</v>
      </c>
      <c r="AP103" s="114">
        <f t="shared" si="8"/>
        <v>10125</v>
      </c>
      <c r="AQ103" s="10"/>
    </row>
    <row r="104">
      <c r="A104" s="20" t="str">
        <f>'MASTER STOCK'!F101</f>
        <v>Besi Beton 6mm SNI (U)</v>
      </c>
      <c r="B104" s="21">
        <f>'OKT 25'!AJ104:AJ487</f>
        <v>10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23">
        <f t="shared" si="3"/>
        <v>0</v>
      </c>
      <c r="AI104" s="24">
        <v>0.0</v>
      </c>
      <c r="AJ104" s="23">
        <f t="shared" si="4"/>
        <v>10</v>
      </c>
      <c r="AK104" s="23">
        <f t="shared" si="5"/>
        <v>10</v>
      </c>
      <c r="AL104" s="25">
        <f>'MASTER STOCK'!I101</f>
        <v>22000</v>
      </c>
      <c r="AM104" s="27">
        <f>'MASTER STOCK'!L101</f>
        <v>26000</v>
      </c>
      <c r="AN104" s="27">
        <f t="shared" si="6"/>
        <v>0</v>
      </c>
      <c r="AO104" s="26">
        <f t="shared" si="7"/>
        <v>0</v>
      </c>
      <c r="AP104" s="114">
        <f t="shared" si="8"/>
        <v>0</v>
      </c>
      <c r="AQ104" s="10"/>
    </row>
    <row r="105">
      <c r="A105" s="20" t="str">
        <f>'MASTER STOCK'!F102</f>
        <v>Besi Beton 8mm SNI (U)</v>
      </c>
      <c r="B105" s="21">
        <f>'OKT 25'!AJ105:AJ488</f>
        <v>8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22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23">
        <f t="shared" si="3"/>
        <v>0</v>
      </c>
      <c r="AI105" s="24">
        <v>0.0</v>
      </c>
      <c r="AJ105" s="23">
        <f t="shared" si="4"/>
        <v>8</v>
      </c>
      <c r="AK105" s="23">
        <f t="shared" si="5"/>
        <v>8</v>
      </c>
      <c r="AL105" s="25">
        <f>'MASTER STOCK'!I102</f>
        <v>37000</v>
      </c>
      <c r="AM105" s="27">
        <f>'MASTER STOCK'!L102</f>
        <v>43000</v>
      </c>
      <c r="AN105" s="27">
        <f t="shared" si="6"/>
        <v>0</v>
      </c>
      <c r="AO105" s="26">
        <f t="shared" si="7"/>
        <v>0</v>
      </c>
      <c r="AP105" s="114">
        <f t="shared" si="8"/>
        <v>0</v>
      </c>
      <c r="AQ105" s="10"/>
    </row>
    <row r="106">
      <c r="A106" s="20" t="str">
        <f>'MASTER STOCK'!F103</f>
        <v>Besi Beton 10mm SNI (U)</v>
      </c>
      <c r="B106" s="21">
        <f>'OKT 25'!AJ106:AJ489</f>
        <v>5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23">
        <f t="shared" si="3"/>
        <v>0</v>
      </c>
      <c r="AI106" s="24">
        <v>0.0</v>
      </c>
      <c r="AJ106" s="23">
        <f t="shared" si="4"/>
        <v>5</v>
      </c>
      <c r="AK106" s="23">
        <f t="shared" si="5"/>
        <v>5</v>
      </c>
      <c r="AL106" s="25">
        <f>'MASTER STOCK'!I103</f>
        <v>58000</v>
      </c>
      <c r="AM106" s="27">
        <f>'MASTER STOCK'!L103</f>
        <v>73000</v>
      </c>
      <c r="AN106" s="27">
        <f t="shared" si="6"/>
        <v>0</v>
      </c>
      <c r="AO106" s="26">
        <f t="shared" si="7"/>
        <v>0</v>
      </c>
      <c r="AP106" s="114">
        <f t="shared" si="8"/>
        <v>0</v>
      </c>
      <c r="AQ106" s="10"/>
    </row>
    <row r="107">
      <c r="A107" s="20" t="str">
        <f>'MASTER STOCK'!F104</f>
        <v>Hollow G Tube 20x40x0.4</v>
      </c>
      <c r="B107" s="21">
        <f>'OKT 25'!AJ107:AJ490</f>
        <v>18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23">
        <f t="shared" si="3"/>
        <v>0</v>
      </c>
      <c r="AI107" s="24">
        <v>0.0</v>
      </c>
      <c r="AJ107" s="23">
        <f t="shared" si="4"/>
        <v>18</v>
      </c>
      <c r="AK107" s="23">
        <f t="shared" si="5"/>
        <v>18</v>
      </c>
      <c r="AL107" s="25">
        <f>'MASTER STOCK'!I104</f>
        <v>21500</v>
      </c>
      <c r="AM107" s="27">
        <f>'MASTER STOCK'!L104</f>
        <v>25800</v>
      </c>
      <c r="AN107" s="27">
        <f t="shared" si="6"/>
        <v>0</v>
      </c>
      <c r="AO107" s="26">
        <f t="shared" si="7"/>
        <v>0</v>
      </c>
      <c r="AP107" s="114">
        <f t="shared" si="8"/>
        <v>0</v>
      </c>
      <c r="AQ107" s="10"/>
    </row>
    <row r="108">
      <c r="A108" s="20" t="str">
        <f>'MASTER STOCK'!F105</f>
        <v>Hollow G Tube 40x40x0.4</v>
      </c>
      <c r="B108" s="21">
        <f>'OKT 25'!AJ108:AJ491</f>
        <v>10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23">
        <f t="shared" si="3"/>
        <v>0</v>
      </c>
      <c r="AI108" s="24">
        <v>0.0</v>
      </c>
      <c r="AJ108" s="23">
        <f t="shared" si="4"/>
        <v>10</v>
      </c>
      <c r="AK108" s="23">
        <f t="shared" si="5"/>
        <v>10</v>
      </c>
      <c r="AL108" s="25">
        <f>'MASTER STOCK'!I105</f>
        <v>28500</v>
      </c>
      <c r="AM108" s="27">
        <f>'MASTER STOCK'!L105</f>
        <v>34200</v>
      </c>
      <c r="AN108" s="27">
        <f t="shared" si="6"/>
        <v>0</v>
      </c>
      <c r="AO108" s="26">
        <f t="shared" si="7"/>
        <v>0</v>
      </c>
      <c r="AP108" s="114">
        <f t="shared" si="8"/>
        <v>0</v>
      </c>
      <c r="AQ108" s="10"/>
    </row>
    <row r="109">
      <c r="A109" s="20" t="str">
        <f>'MASTER STOCK'!F106</f>
        <v>Reng Galvalum Kenana 0.45 (M)</v>
      </c>
      <c r="B109" s="21">
        <f>'OKT 25'!AJ109:AJ492</f>
        <v>10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23">
        <f t="shared" si="3"/>
        <v>0</v>
      </c>
      <c r="AI109" s="24">
        <v>0.0</v>
      </c>
      <c r="AJ109" s="23">
        <f t="shared" si="4"/>
        <v>10</v>
      </c>
      <c r="AK109" s="23">
        <f t="shared" si="5"/>
        <v>10</v>
      </c>
      <c r="AL109" s="25">
        <f>'MASTER STOCK'!I106</f>
        <v>39000</v>
      </c>
      <c r="AM109" s="27">
        <f>'MASTER STOCK'!L106</f>
        <v>42900</v>
      </c>
      <c r="AN109" s="27">
        <f t="shared" si="6"/>
        <v>0</v>
      </c>
      <c r="AO109" s="26">
        <f t="shared" si="7"/>
        <v>0</v>
      </c>
      <c r="AP109" s="114">
        <f t="shared" si="8"/>
        <v>0</v>
      </c>
      <c r="AQ109" s="10"/>
    </row>
    <row r="110">
      <c r="A110" s="20" t="str">
        <f>'MASTER STOCK'!F107</f>
        <v>C Truss Kencana 75x0.85 (0.75) MM</v>
      </c>
      <c r="B110" s="21">
        <f>'OKT 25'!AJ110:AJ493</f>
        <v>10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23">
        <f t="shared" si="3"/>
        <v>0</v>
      </c>
      <c r="AI110" s="24">
        <v>0.0</v>
      </c>
      <c r="AJ110" s="23">
        <f t="shared" si="4"/>
        <v>10</v>
      </c>
      <c r="AK110" s="23">
        <f t="shared" si="5"/>
        <v>10</v>
      </c>
      <c r="AL110" s="25">
        <f>'MASTER STOCK'!I107</f>
        <v>85000</v>
      </c>
      <c r="AM110" s="27">
        <f>'MASTER STOCK'!L107</f>
        <v>93500</v>
      </c>
      <c r="AN110" s="27">
        <f t="shared" si="6"/>
        <v>0</v>
      </c>
      <c r="AO110" s="26">
        <f t="shared" si="7"/>
        <v>0</v>
      </c>
      <c r="AP110" s="114">
        <f t="shared" si="8"/>
        <v>0</v>
      </c>
      <c r="AQ110" s="10"/>
    </row>
    <row r="111">
      <c r="A111" s="20" t="str">
        <f>'MASTER STOCK'!F108</f>
        <v>KAYU BALOK 4X6X4</v>
      </c>
      <c r="B111" s="21">
        <f>'OKT 25'!AJ111:AJ494</f>
        <v>12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22"/>
      <c r="AC111" s="10"/>
      <c r="AD111" s="10"/>
      <c r="AE111" s="10"/>
      <c r="AF111" s="10"/>
      <c r="AG111" s="10"/>
      <c r="AH111" s="23">
        <f t="shared" si="3"/>
        <v>0</v>
      </c>
      <c r="AI111" s="24">
        <v>0.0</v>
      </c>
      <c r="AJ111" s="23">
        <f t="shared" si="4"/>
        <v>12</v>
      </c>
      <c r="AK111" s="23">
        <f t="shared" si="5"/>
        <v>12</v>
      </c>
      <c r="AL111" s="25">
        <f>'MASTER STOCK'!I108</f>
        <v>39000</v>
      </c>
      <c r="AM111" s="27">
        <f>'MASTER STOCK'!L108</f>
        <v>42900</v>
      </c>
      <c r="AN111" s="27">
        <f t="shared" si="6"/>
        <v>0</v>
      </c>
      <c r="AO111" s="26">
        <f t="shared" si="7"/>
        <v>0</v>
      </c>
      <c r="AP111" s="114">
        <f t="shared" si="8"/>
        <v>0</v>
      </c>
      <c r="AQ111" s="10"/>
    </row>
    <row r="112">
      <c r="A112" s="20" t="str">
        <f>'MASTER STOCK'!F109</f>
        <v>KAYU BALOK 3X5X4</v>
      </c>
      <c r="B112" s="21">
        <f>'OKT 25'!AJ112:AJ495</f>
        <v>10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22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23">
        <f t="shared" si="3"/>
        <v>0</v>
      </c>
      <c r="AI112" s="24">
        <v>0.0</v>
      </c>
      <c r="AJ112" s="23">
        <f t="shared" si="4"/>
        <v>10</v>
      </c>
      <c r="AK112" s="23">
        <f t="shared" si="5"/>
        <v>10</v>
      </c>
      <c r="AL112" s="25">
        <f>'MASTER STOCK'!I109</f>
        <v>24000</v>
      </c>
      <c r="AM112" s="27">
        <f>'MASTER STOCK'!L109</f>
        <v>26400</v>
      </c>
      <c r="AN112" s="27">
        <f t="shared" si="6"/>
        <v>0</v>
      </c>
      <c r="AO112" s="26">
        <f t="shared" si="7"/>
        <v>0</v>
      </c>
      <c r="AP112" s="114">
        <f t="shared" si="8"/>
        <v>0</v>
      </c>
      <c r="AQ112" s="10"/>
    </row>
    <row r="113">
      <c r="A113" s="20" t="str">
        <f>'MASTER STOCK'!F110</f>
        <v>KAYU BALOK 2X3X4</v>
      </c>
      <c r="B113" s="21">
        <f>'OKT 25'!AJ113:AJ496</f>
        <v>25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22">
        <v>5.0</v>
      </c>
      <c r="O113" s="10"/>
      <c r="P113" s="22">
        <v>2.0</v>
      </c>
      <c r="Q113" s="10"/>
      <c r="R113" s="10"/>
      <c r="S113" s="22">
        <v>1.0</v>
      </c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23">
        <f t="shared" si="3"/>
        <v>8</v>
      </c>
      <c r="AI113" s="24">
        <v>0.0</v>
      </c>
      <c r="AJ113" s="23">
        <f t="shared" si="4"/>
        <v>17</v>
      </c>
      <c r="AK113" s="23">
        <f t="shared" si="5"/>
        <v>17</v>
      </c>
      <c r="AL113" s="25">
        <f>'MASTER STOCK'!I110</f>
        <v>9600</v>
      </c>
      <c r="AM113" s="27">
        <f>'MASTER STOCK'!L110</f>
        <v>10560</v>
      </c>
      <c r="AN113" s="27">
        <f t="shared" si="6"/>
        <v>84480</v>
      </c>
      <c r="AO113" s="26">
        <f t="shared" si="7"/>
        <v>7680</v>
      </c>
      <c r="AP113" s="114">
        <f t="shared" si="8"/>
        <v>76800</v>
      </c>
      <c r="AQ113" s="10"/>
    </row>
    <row r="114">
      <c r="A114" s="20" t="str">
        <f>'MASTER STOCK'!F111</f>
        <v>CANGKUL </v>
      </c>
      <c r="B114" s="21">
        <f>'OKT 25'!AJ114:AJ497</f>
        <v>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23">
        <f t="shared" si="3"/>
        <v>0</v>
      </c>
      <c r="AI114" s="24">
        <v>0.0</v>
      </c>
      <c r="AJ114" s="23">
        <f t="shared" si="4"/>
        <v>1</v>
      </c>
      <c r="AK114" s="23">
        <f t="shared" si="5"/>
        <v>1</v>
      </c>
      <c r="AL114" s="25">
        <f>'MASTER STOCK'!I111</f>
        <v>33580</v>
      </c>
      <c r="AM114" s="27">
        <f>'MASTER STOCK'!L111</f>
        <v>57086</v>
      </c>
      <c r="AN114" s="27">
        <f t="shared" si="6"/>
        <v>0</v>
      </c>
      <c r="AO114" s="26">
        <f t="shared" si="7"/>
        <v>0</v>
      </c>
      <c r="AP114" s="114">
        <f t="shared" si="8"/>
        <v>0</v>
      </c>
      <c r="AQ114" s="10"/>
    </row>
    <row r="115">
      <c r="A115" s="20" t="str">
        <f>'MASTER STOCK'!F112</f>
        <v>SEKOP PASIR</v>
      </c>
      <c r="B115" s="21">
        <f>'OKT 25'!AJ115:AJ498</f>
        <v>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23">
        <f t="shared" si="3"/>
        <v>0</v>
      </c>
      <c r="AI115" s="24">
        <v>0.0</v>
      </c>
      <c r="AJ115" s="23">
        <f t="shared" si="4"/>
        <v>2</v>
      </c>
      <c r="AK115" s="23">
        <f t="shared" si="5"/>
        <v>2</v>
      </c>
      <c r="AL115" s="25">
        <f>'MASTER STOCK'!I112</f>
        <v>20000</v>
      </c>
      <c r="AM115" s="27">
        <f>'MASTER STOCK'!L112</f>
        <v>34000</v>
      </c>
      <c r="AN115" s="27">
        <f t="shared" si="6"/>
        <v>0</v>
      </c>
      <c r="AO115" s="26">
        <f t="shared" si="7"/>
        <v>0</v>
      </c>
      <c r="AP115" s="114">
        <f t="shared" si="8"/>
        <v>0</v>
      </c>
      <c r="AQ115" s="10"/>
    </row>
    <row r="116">
      <c r="A116" s="20" t="str">
        <f>'MASTER STOCK'!F113</f>
        <v>Baut Drilling Galvalum Baja Ringan 100
Pcs Per Plastik - WL 12x50 100Pcs</v>
      </c>
      <c r="B116" s="21">
        <f>'OKT 25'!AJ116:AJ499</f>
        <v>100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23">
        <f t="shared" si="3"/>
        <v>0</v>
      </c>
      <c r="AI116" s="24">
        <v>0.0</v>
      </c>
      <c r="AJ116" s="23">
        <f t="shared" si="4"/>
        <v>100</v>
      </c>
      <c r="AK116" s="23">
        <f t="shared" si="5"/>
        <v>100</v>
      </c>
      <c r="AL116" s="25">
        <f>'MASTER STOCK'!I113</f>
        <v>250</v>
      </c>
      <c r="AM116" s="27">
        <f>'MASTER STOCK'!L113</f>
        <v>500</v>
      </c>
      <c r="AN116" s="27">
        <f t="shared" si="6"/>
        <v>0</v>
      </c>
      <c r="AO116" s="26">
        <f t="shared" si="7"/>
        <v>0</v>
      </c>
      <c r="AP116" s="114">
        <f t="shared" si="8"/>
        <v>0</v>
      </c>
      <c r="AQ116" s="10"/>
    </row>
    <row r="117">
      <c r="A117" s="20" t="str">
        <f>'MASTER STOCK'!F114</f>
        <v>Baut Drilling Galvalum Baja Ringan 100
Pcs Per Plastik - WL 12x60 100Pcs</v>
      </c>
      <c r="B117" s="21">
        <f>'OKT 25'!AJ117:AJ500</f>
        <v>100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23">
        <f t="shared" si="3"/>
        <v>0</v>
      </c>
      <c r="AI117" s="24">
        <v>0.0</v>
      </c>
      <c r="AJ117" s="23">
        <f t="shared" si="4"/>
        <v>100</v>
      </c>
      <c r="AK117" s="23">
        <f t="shared" si="5"/>
        <v>100</v>
      </c>
      <c r="AL117" s="25">
        <f>'MASTER STOCK'!I114</f>
        <v>300</v>
      </c>
      <c r="AM117" s="27">
        <f>'MASTER STOCK'!L114</f>
        <v>600</v>
      </c>
      <c r="AN117" s="27">
        <f t="shared" si="6"/>
        <v>0</v>
      </c>
      <c r="AO117" s="26">
        <f t="shared" si="7"/>
        <v>0</v>
      </c>
      <c r="AP117" s="114">
        <f t="shared" si="8"/>
        <v>0</v>
      </c>
      <c r="AQ117" s="10"/>
    </row>
    <row r="118">
      <c r="A118" s="20" t="str">
        <f>'MASTER STOCK'!F115</f>
        <v>Baut Drilling Galvalum Baja Ringan 100
Pcs Per Plastik - WL 12x30 100Pcs</v>
      </c>
      <c r="B118" s="21">
        <f>'OKT 25'!AJ118:AJ501</f>
        <v>100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23">
        <f t="shared" si="3"/>
        <v>0</v>
      </c>
      <c r="AI118" s="24">
        <v>0.0</v>
      </c>
      <c r="AJ118" s="23">
        <f t="shared" si="4"/>
        <v>100</v>
      </c>
      <c r="AK118" s="23">
        <f t="shared" si="5"/>
        <v>100</v>
      </c>
      <c r="AL118" s="25">
        <f>'MASTER STOCK'!I115</f>
        <v>170</v>
      </c>
      <c r="AM118" s="27">
        <f>'MASTER STOCK'!L115</f>
        <v>340</v>
      </c>
      <c r="AN118" s="27">
        <f t="shared" si="6"/>
        <v>0</v>
      </c>
      <c r="AO118" s="26">
        <f t="shared" si="7"/>
        <v>0</v>
      </c>
      <c r="AP118" s="114">
        <f t="shared" si="8"/>
        <v>0</v>
      </c>
      <c r="AQ118" s="10"/>
    </row>
    <row r="119">
      <c r="A119" s="20" t="str">
        <f>'MASTER STOCK'!F116</f>
        <v>Baut Drilling Galvalum Baja Ringan 100
Pcs Per Plastik - WL 12x40 100Pcs</v>
      </c>
      <c r="B119" s="21">
        <f>'OKT 25'!AJ119:AJ502</f>
        <v>100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23">
        <f t="shared" si="3"/>
        <v>0</v>
      </c>
      <c r="AI119" s="24">
        <v>0.0</v>
      </c>
      <c r="AJ119" s="23">
        <f t="shared" si="4"/>
        <v>100</v>
      </c>
      <c r="AK119" s="23">
        <f t="shared" si="5"/>
        <v>100</v>
      </c>
      <c r="AL119" s="25">
        <f>'MASTER STOCK'!I116</f>
        <v>220</v>
      </c>
      <c r="AM119" s="27">
        <f>'MASTER STOCK'!L116</f>
        <v>440</v>
      </c>
      <c r="AN119" s="27">
        <f t="shared" si="6"/>
        <v>0</v>
      </c>
      <c r="AO119" s="26">
        <f t="shared" si="7"/>
        <v>0</v>
      </c>
      <c r="AP119" s="114">
        <f t="shared" si="8"/>
        <v>0</v>
      </c>
      <c r="AQ119" s="10"/>
    </row>
    <row r="120">
      <c r="A120" s="20" t="str">
        <f>'MASTER STOCK'!F117</f>
        <v>Baut Drilling Galvalum Baja Ringan 100
Pcs Per Plastik - WL 12x20 100Pcs</v>
      </c>
      <c r="B120" s="21">
        <f>'OKT 25'!AJ120:AJ503</f>
        <v>100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23">
        <f t="shared" si="3"/>
        <v>0</v>
      </c>
      <c r="AI120" s="24">
        <v>0.0</v>
      </c>
      <c r="AJ120" s="23">
        <f t="shared" si="4"/>
        <v>100</v>
      </c>
      <c r="AK120" s="23">
        <f t="shared" si="5"/>
        <v>100</v>
      </c>
      <c r="AL120" s="25">
        <f>'MASTER STOCK'!I117</f>
        <v>150</v>
      </c>
      <c r="AM120" s="27">
        <f>'MASTER STOCK'!L117</f>
        <v>300</v>
      </c>
      <c r="AN120" s="27">
        <f t="shared" si="6"/>
        <v>0</v>
      </c>
      <c r="AO120" s="26">
        <f t="shared" si="7"/>
        <v>0</v>
      </c>
      <c r="AP120" s="114">
        <f t="shared" si="8"/>
        <v>0</v>
      </c>
      <c r="AQ120" s="10"/>
    </row>
    <row r="121">
      <c r="A121" s="20" t="str">
        <f>'MASTER STOCK'!F118</f>
        <v>Batu Kumbung</v>
      </c>
      <c r="B121" s="21">
        <f>'OKT 25'!AJ121:AJ504</f>
        <v>498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22"/>
      <c r="T121" s="10"/>
      <c r="U121" s="10"/>
      <c r="V121" s="10"/>
      <c r="W121" s="10"/>
      <c r="X121" s="10"/>
      <c r="Y121" s="22"/>
      <c r="Z121" s="10"/>
      <c r="AA121" s="10"/>
      <c r="AB121" s="10"/>
      <c r="AC121" s="10"/>
      <c r="AD121" s="10"/>
      <c r="AE121" s="10"/>
      <c r="AF121" s="10"/>
      <c r="AG121" s="10"/>
      <c r="AH121" s="23">
        <f t="shared" si="3"/>
        <v>0</v>
      </c>
      <c r="AI121" s="24">
        <v>0.0</v>
      </c>
      <c r="AJ121" s="23">
        <f t="shared" si="4"/>
        <v>498</v>
      </c>
      <c r="AK121" s="23">
        <f t="shared" si="5"/>
        <v>498</v>
      </c>
      <c r="AL121" s="25">
        <f>'MASTER STOCK'!I118</f>
        <v>8000</v>
      </c>
      <c r="AM121" s="27">
        <f>'MASTER STOCK'!L118</f>
        <v>12000</v>
      </c>
      <c r="AN121" s="27">
        <f t="shared" si="6"/>
        <v>0</v>
      </c>
      <c r="AO121" s="26">
        <f t="shared" si="7"/>
        <v>0</v>
      </c>
      <c r="AP121" s="114">
        <f t="shared" si="8"/>
        <v>0</v>
      </c>
      <c r="AQ121" s="10"/>
    </row>
    <row r="122">
      <c r="A122" s="20" t="str">
        <f>'MASTER STOCK'!F119</f>
        <v>Triplek 8m sengon</v>
      </c>
      <c r="B122" s="21">
        <f>'OKT 25'!AJ122:AJ505</f>
        <v>5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23">
        <f t="shared" si="3"/>
        <v>0</v>
      </c>
      <c r="AI122" s="24">
        <v>0.0</v>
      </c>
      <c r="AJ122" s="23">
        <f t="shared" si="4"/>
        <v>5</v>
      </c>
      <c r="AK122" s="23">
        <f t="shared" si="5"/>
        <v>5</v>
      </c>
      <c r="AL122" s="25">
        <f>'MASTER STOCK'!I119</f>
        <v>67000</v>
      </c>
      <c r="AM122" s="27">
        <f>'MASTER STOCK'!L119</f>
        <v>70350</v>
      </c>
      <c r="AN122" s="27">
        <f t="shared" si="6"/>
        <v>0</v>
      </c>
      <c r="AO122" s="26">
        <f t="shared" si="7"/>
        <v>0</v>
      </c>
      <c r="AP122" s="114">
        <f t="shared" si="8"/>
        <v>0</v>
      </c>
      <c r="AQ122" s="10"/>
    </row>
    <row r="123">
      <c r="A123" s="20" t="str">
        <f>'MASTER STOCK'!F120</f>
        <v>Triplek 6m sengon</v>
      </c>
      <c r="B123" s="21">
        <f>'OKT 25'!AJ123:AJ506</f>
        <v>10</v>
      </c>
      <c r="C123" s="10"/>
      <c r="D123" s="10"/>
      <c r="E123" s="10"/>
      <c r="F123" s="10"/>
      <c r="G123" s="10"/>
      <c r="H123" s="22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23">
        <f t="shared" si="3"/>
        <v>0</v>
      </c>
      <c r="AI123" s="24">
        <v>0.0</v>
      </c>
      <c r="AJ123" s="23">
        <f t="shared" si="4"/>
        <v>10</v>
      </c>
      <c r="AK123" s="23">
        <f t="shared" si="5"/>
        <v>10</v>
      </c>
      <c r="AL123" s="25">
        <f>'MASTER STOCK'!I120</f>
        <v>56500</v>
      </c>
      <c r="AM123" s="27">
        <f>'MASTER STOCK'!L120</f>
        <v>59325</v>
      </c>
      <c r="AN123" s="27">
        <f t="shared" si="6"/>
        <v>0</v>
      </c>
      <c r="AO123" s="26">
        <f t="shared" si="7"/>
        <v>0</v>
      </c>
      <c r="AP123" s="114">
        <f t="shared" si="8"/>
        <v>0</v>
      </c>
      <c r="AQ123" s="10"/>
    </row>
    <row r="124">
      <c r="A124" s="20" t="str">
        <f>'MASTER STOCK'!F121</f>
        <v>Triplek 3m sengon</v>
      </c>
      <c r="B124" s="21">
        <f>'OKT 25'!AJ124:AJ507</f>
        <v>10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23">
        <f t="shared" si="3"/>
        <v>0</v>
      </c>
      <c r="AI124" s="24">
        <v>0.0</v>
      </c>
      <c r="AJ124" s="23">
        <f t="shared" si="4"/>
        <v>10</v>
      </c>
      <c r="AK124" s="23">
        <f t="shared" si="5"/>
        <v>10</v>
      </c>
      <c r="AL124" s="25">
        <f>'MASTER STOCK'!I121</f>
        <v>38500</v>
      </c>
      <c r="AM124" s="27">
        <f>'MASTER STOCK'!L121</f>
        <v>40425</v>
      </c>
      <c r="AN124" s="27">
        <f t="shared" si="6"/>
        <v>0</v>
      </c>
      <c r="AO124" s="26">
        <f t="shared" si="7"/>
        <v>0</v>
      </c>
      <c r="AP124" s="114">
        <f t="shared" si="8"/>
        <v>0</v>
      </c>
      <c r="AQ124" s="10"/>
    </row>
    <row r="125">
      <c r="A125" s="20" t="str">
        <f>'MASTER STOCK'!F122</f>
        <v>Semen Gresik</v>
      </c>
      <c r="B125" s="21">
        <f>'OKT 25'!AJ125:AJ508</f>
        <v>68</v>
      </c>
      <c r="C125" s="22"/>
      <c r="D125" s="22"/>
      <c r="E125" s="22"/>
      <c r="F125" s="10"/>
      <c r="G125" s="10"/>
      <c r="H125" s="10"/>
      <c r="I125" s="10"/>
      <c r="J125" s="10"/>
      <c r="K125" s="10"/>
      <c r="L125" s="10"/>
      <c r="M125" s="22">
        <v>2.0</v>
      </c>
      <c r="N125" s="22">
        <v>1.0</v>
      </c>
      <c r="O125" s="22">
        <v>1.0</v>
      </c>
      <c r="P125" s="10"/>
      <c r="Q125" s="22"/>
      <c r="R125" s="22"/>
      <c r="S125" s="10"/>
      <c r="T125" s="22">
        <v>1.0</v>
      </c>
      <c r="U125" s="22"/>
      <c r="V125" s="22"/>
      <c r="W125" s="22">
        <v>1.0</v>
      </c>
      <c r="X125" s="10"/>
      <c r="Y125" s="10"/>
      <c r="Z125" s="10"/>
      <c r="AA125" s="10"/>
      <c r="AB125" s="10"/>
      <c r="AC125" s="10"/>
      <c r="AD125" s="22">
        <v>6.0</v>
      </c>
      <c r="AE125" s="10"/>
      <c r="AF125" s="22"/>
      <c r="AG125" s="22"/>
      <c r="AH125" s="23">
        <f t="shared" si="3"/>
        <v>12</v>
      </c>
      <c r="AI125" s="24">
        <v>0.0</v>
      </c>
      <c r="AJ125" s="23">
        <f t="shared" si="4"/>
        <v>56</v>
      </c>
      <c r="AK125" s="23">
        <f t="shared" si="5"/>
        <v>56</v>
      </c>
      <c r="AL125" s="25">
        <f>'MASTER STOCK'!I122</f>
        <v>55000</v>
      </c>
      <c r="AM125" s="27">
        <f>'MASTER STOCK'!L122</f>
        <v>56485</v>
      </c>
      <c r="AN125" s="27">
        <f t="shared" si="6"/>
        <v>677820</v>
      </c>
      <c r="AO125" s="26">
        <f t="shared" si="7"/>
        <v>17820</v>
      </c>
      <c r="AP125" s="114">
        <f t="shared" si="8"/>
        <v>660000</v>
      </c>
      <c r="AQ125" s="10"/>
    </row>
    <row r="126">
      <c r="A126" s="20" t="str">
        <f>'MASTER STOCK'!F123</f>
        <v>Kapur</v>
      </c>
      <c r="B126" s="21">
        <f>'OKT 25'!AJ126:AJ509</f>
        <v>99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22">
        <v>1.0</v>
      </c>
      <c r="Q126" s="10"/>
      <c r="R126" s="10"/>
      <c r="S126" s="10"/>
      <c r="T126" s="10"/>
      <c r="U126" s="10"/>
      <c r="V126" s="22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23">
        <f t="shared" si="3"/>
        <v>1</v>
      </c>
      <c r="AI126" s="24">
        <v>0.0</v>
      </c>
      <c r="AJ126" s="23">
        <f t="shared" si="4"/>
        <v>98</v>
      </c>
      <c r="AK126" s="23">
        <f t="shared" si="5"/>
        <v>98</v>
      </c>
      <c r="AL126" s="25">
        <f>'MASTER STOCK'!I123</f>
        <v>17000</v>
      </c>
      <c r="AM126" s="27">
        <f>'MASTER STOCK'!L123</f>
        <v>18700</v>
      </c>
      <c r="AN126" s="27">
        <f t="shared" si="6"/>
        <v>18700</v>
      </c>
      <c r="AO126" s="26">
        <f t="shared" si="7"/>
        <v>1700</v>
      </c>
      <c r="AP126" s="114">
        <f t="shared" si="8"/>
        <v>17000</v>
      </c>
      <c r="AQ126" s="10"/>
    </row>
    <row r="127">
      <c r="A127" s="20" t="str">
        <f>'MASTER STOCK'!F124</f>
        <v>Pasir</v>
      </c>
      <c r="B127" s="21">
        <f>'OKT 25'!AJ127:AJ510</f>
        <v>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23">
        <f t="shared" si="3"/>
        <v>0</v>
      </c>
      <c r="AI127" s="24">
        <v>0.0</v>
      </c>
      <c r="AJ127" s="23">
        <f t="shared" si="4"/>
        <v>1</v>
      </c>
      <c r="AK127" s="23">
        <f t="shared" si="5"/>
        <v>1</v>
      </c>
      <c r="AL127" s="25">
        <f>'MASTER STOCK'!I124</f>
        <v>1000000</v>
      </c>
      <c r="AM127" s="27">
        <f>'MASTER STOCK'!L124</f>
        <v>1100000</v>
      </c>
      <c r="AN127" s="27">
        <f t="shared" si="6"/>
        <v>0</v>
      </c>
      <c r="AO127" s="26">
        <f t="shared" si="7"/>
        <v>0</v>
      </c>
      <c r="AP127" s="114">
        <f t="shared" si="8"/>
        <v>0</v>
      </c>
      <c r="AQ127" s="10"/>
    </row>
    <row r="128">
      <c r="A128" s="20" t="str">
        <f>'MASTER STOCK'!F125</f>
        <v>Stop kontak 1 lubang</v>
      </c>
      <c r="B128" s="21">
        <f>'OKT 25'!AJ128:AJ511</f>
        <v>5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23">
        <f t="shared" si="3"/>
        <v>0</v>
      </c>
      <c r="AI128" s="24">
        <v>0.0</v>
      </c>
      <c r="AJ128" s="23">
        <f t="shared" si="4"/>
        <v>5</v>
      </c>
      <c r="AK128" s="23">
        <f t="shared" si="5"/>
        <v>5</v>
      </c>
      <c r="AL128" s="25">
        <f>'MASTER STOCK'!I125</f>
        <v>4125</v>
      </c>
      <c r="AM128" s="27">
        <f>'MASTER STOCK'!L125</f>
        <v>416625</v>
      </c>
      <c r="AN128" s="27">
        <f t="shared" si="6"/>
        <v>0</v>
      </c>
      <c r="AO128" s="26">
        <f t="shared" si="7"/>
        <v>0</v>
      </c>
      <c r="AP128" s="114">
        <f t="shared" si="8"/>
        <v>0</v>
      </c>
      <c r="AQ128" s="10"/>
    </row>
    <row r="129">
      <c r="A129" s="20" t="str">
        <f>'MASTER STOCK'!F126</f>
        <v>Stop kontak 2 lubang</v>
      </c>
      <c r="B129" s="21">
        <f>'OKT 25'!AJ129:AJ512</f>
        <v>4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22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23">
        <f t="shared" si="3"/>
        <v>0</v>
      </c>
      <c r="AI129" s="24">
        <v>0.0</v>
      </c>
      <c r="AJ129" s="23">
        <f t="shared" si="4"/>
        <v>4</v>
      </c>
      <c r="AK129" s="23">
        <f t="shared" si="5"/>
        <v>4</v>
      </c>
      <c r="AL129" s="25">
        <f>'MASTER STOCK'!I126</f>
        <v>5250</v>
      </c>
      <c r="AM129" s="27">
        <f>'MASTER STOCK'!L126</f>
        <v>8925</v>
      </c>
      <c r="AN129" s="27">
        <f t="shared" si="6"/>
        <v>0</v>
      </c>
      <c r="AO129" s="26">
        <f t="shared" si="7"/>
        <v>0</v>
      </c>
      <c r="AP129" s="114">
        <f t="shared" si="8"/>
        <v>0</v>
      </c>
      <c r="AQ129" s="10"/>
    </row>
    <row r="130">
      <c r="A130" s="20" t="str">
        <f>'MASTER STOCK'!F127</f>
        <v>Stop kontak 3 lubang</v>
      </c>
      <c r="B130" s="21">
        <f>'OKT 25'!AJ130:AJ513</f>
        <v>5</v>
      </c>
      <c r="C130" s="10"/>
      <c r="D130" s="10"/>
      <c r="E130" s="10"/>
      <c r="F130" s="10"/>
      <c r="G130" s="10"/>
      <c r="H130" s="10"/>
      <c r="I130" s="10"/>
      <c r="J130" s="10"/>
      <c r="K130" s="22">
        <v>1.0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23">
        <f t="shared" si="3"/>
        <v>1</v>
      </c>
      <c r="AI130" s="24">
        <v>0.0</v>
      </c>
      <c r="AJ130" s="23">
        <f t="shared" si="4"/>
        <v>4</v>
      </c>
      <c r="AK130" s="23">
        <f t="shared" si="5"/>
        <v>4</v>
      </c>
      <c r="AL130" s="25">
        <f>'MASTER STOCK'!I127</f>
        <v>6750</v>
      </c>
      <c r="AM130" s="27">
        <f>'MASTER STOCK'!L127</f>
        <v>14000</v>
      </c>
      <c r="AN130" s="27">
        <f t="shared" si="6"/>
        <v>14000</v>
      </c>
      <c r="AO130" s="26">
        <f t="shared" si="7"/>
        <v>7250</v>
      </c>
      <c r="AP130" s="114">
        <f t="shared" si="8"/>
        <v>6750</v>
      </c>
      <c r="AQ130" s="10"/>
    </row>
    <row r="131">
      <c r="A131" s="20" t="str">
        <f>'MASTER STOCK'!F128</f>
        <v>Stop kontak 4 lubang</v>
      </c>
      <c r="B131" s="21">
        <f>'OKT 25'!AJ131:AJ514</f>
        <v>5</v>
      </c>
      <c r="C131" s="10"/>
      <c r="D131" s="10"/>
      <c r="E131" s="10"/>
      <c r="F131" s="22">
        <v>1.0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22">
        <v>1.0</v>
      </c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23">
        <f t="shared" si="3"/>
        <v>2</v>
      </c>
      <c r="AI131" s="24">
        <v>0.0</v>
      </c>
      <c r="AJ131" s="23">
        <f t="shared" si="4"/>
        <v>3</v>
      </c>
      <c r="AK131" s="23">
        <f t="shared" si="5"/>
        <v>3</v>
      </c>
      <c r="AL131" s="25">
        <f>'MASTER STOCK'!I128</f>
        <v>8100</v>
      </c>
      <c r="AM131" s="27">
        <f>'MASTER STOCK'!L128</f>
        <v>16000</v>
      </c>
      <c r="AN131" s="27">
        <f t="shared" si="6"/>
        <v>32000</v>
      </c>
      <c r="AO131" s="26">
        <f t="shared" si="7"/>
        <v>15800</v>
      </c>
      <c r="AP131" s="114">
        <f t="shared" si="8"/>
        <v>16200</v>
      </c>
      <c r="AQ131" s="10"/>
    </row>
    <row r="132">
      <c r="A132" s="20" t="str">
        <f>'MASTER STOCK'!F129</f>
        <v>Stop kontak 5 lubang</v>
      </c>
      <c r="B132" s="21">
        <f>'OKT 25'!AJ132:AJ515</f>
        <v>5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23">
        <f t="shared" si="3"/>
        <v>0</v>
      </c>
      <c r="AI132" s="24">
        <v>0.0</v>
      </c>
      <c r="AJ132" s="23">
        <f t="shared" si="4"/>
        <v>5</v>
      </c>
      <c r="AK132" s="23">
        <f t="shared" si="5"/>
        <v>5</v>
      </c>
      <c r="AL132" s="25">
        <f>'MASTER STOCK'!I129</f>
        <v>9750</v>
      </c>
      <c r="AM132" s="27">
        <f>'MASTER STOCK'!L129</f>
        <v>16575</v>
      </c>
      <c r="AN132" s="27">
        <f t="shared" si="6"/>
        <v>0</v>
      </c>
      <c r="AO132" s="26">
        <f t="shared" si="7"/>
        <v>0</v>
      </c>
      <c r="AP132" s="114">
        <f t="shared" si="8"/>
        <v>0</v>
      </c>
      <c r="AQ132" s="10"/>
    </row>
    <row r="133">
      <c r="A133" s="20" t="str">
        <f>'MASTER STOCK'!F130</f>
        <v>Baterai ABC</v>
      </c>
      <c r="B133" s="21">
        <f>'OKT 25'!AJ133:AJ516</f>
        <v>24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23">
        <f t="shared" si="3"/>
        <v>0</v>
      </c>
      <c r="AI133" s="24">
        <v>0.0</v>
      </c>
      <c r="AJ133" s="23">
        <f t="shared" si="4"/>
        <v>24</v>
      </c>
      <c r="AK133" s="23">
        <f t="shared" si="5"/>
        <v>24</v>
      </c>
      <c r="AL133" s="25">
        <f>'MASTER STOCK'!I130</f>
        <v>2600</v>
      </c>
      <c r="AM133" s="27">
        <f>'MASTER STOCK'!L130</f>
        <v>3900</v>
      </c>
      <c r="AN133" s="27">
        <f t="shared" si="6"/>
        <v>0</v>
      </c>
      <c r="AO133" s="26">
        <f t="shared" si="7"/>
        <v>0</v>
      </c>
      <c r="AP133" s="114">
        <f t="shared" si="8"/>
        <v>0</v>
      </c>
      <c r="AQ133" s="10"/>
    </row>
    <row r="134">
      <c r="A134" s="20" t="str">
        <f>'MASTER STOCK'!F131</f>
        <v>NAIL  PAKU PAYUNG 2"</v>
      </c>
      <c r="B134" s="21">
        <f>'OKT 25'!AJ134:AJ517</f>
        <v>5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23">
        <f t="shared" si="3"/>
        <v>0</v>
      </c>
      <c r="AI134" s="24">
        <v>0.0</v>
      </c>
      <c r="AJ134" s="23">
        <f t="shared" si="4"/>
        <v>5</v>
      </c>
      <c r="AK134" s="23">
        <f t="shared" si="5"/>
        <v>5</v>
      </c>
      <c r="AL134" s="25">
        <f>'MASTER STOCK'!I131</f>
        <v>17500</v>
      </c>
      <c r="AM134" s="27">
        <f>'MASTER STOCK'!L131</f>
        <v>26250</v>
      </c>
      <c r="AN134" s="27">
        <f t="shared" si="6"/>
        <v>0</v>
      </c>
      <c r="AO134" s="26">
        <f t="shared" si="7"/>
        <v>0</v>
      </c>
      <c r="AP134" s="114">
        <f t="shared" si="8"/>
        <v>0</v>
      </c>
      <c r="AQ134" s="10"/>
    </row>
    <row r="135">
      <c r="A135" s="20" t="str">
        <f>'MASTER STOCK'!F132</f>
        <v>NAIL PAKU PAYUNG ULIR 3"</v>
      </c>
      <c r="B135" s="21">
        <f>'OKT 25'!AJ135:AJ518</f>
        <v>5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23">
        <f t="shared" si="3"/>
        <v>0</v>
      </c>
      <c r="AI135" s="24">
        <v>0.0</v>
      </c>
      <c r="AJ135" s="23">
        <f t="shared" si="4"/>
        <v>5</v>
      </c>
      <c r="AK135" s="23">
        <f t="shared" si="5"/>
        <v>5</v>
      </c>
      <c r="AL135" s="25">
        <f>'MASTER STOCK'!I132</f>
        <v>18500</v>
      </c>
      <c r="AM135" s="27">
        <f>'MASTER STOCK'!L132</f>
        <v>27750</v>
      </c>
      <c r="AN135" s="27">
        <f t="shared" si="6"/>
        <v>0</v>
      </c>
      <c r="AO135" s="26">
        <f t="shared" si="7"/>
        <v>0</v>
      </c>
      <c r="AP135" s="114">
        <f t="shared" si="8"/>
        <v>0</v>
      </c>
      <c r="AQ135" s="10"/>
    </row>
    <row r="136">
      <c r="A136" s="20" t="str">
        <f>'MASTER STOCK'!F133</f>
        <v>NAIL PAKU PAYUNG ULIR 4"</v>
      </c>
      <c r="B136" s="21">
        <f>'OKT 25'!AJ136:AJ519</f>
        <v>5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23">
        <f t="shared" si="3"/>
        <v>0</v>
      </c>
      <c r="AI136" s="24">
        <v>0.0</v>
      </c>
      <c r="AJ136" s="23">
        <f t="shared" si="4"/>
        <v>5</v>
      </c>
      <c r="AK136" s="23">
        <f t="shared" si="5"/>
        <v>5</v>
      </c>
      <c r="AL136" s="25">
        <f>'MASTER STOCK'!I133</f>
        <v>16500</v>
      </c>
      <c r="AM136" s="27">
        <f>'MASTER STOCK'!L133</f>
        <v>24750</v>
      </c>
      <c r="AN136" s="27">
        <f t="shared" si="6"/>
        <v>0</v>
      </c>
      <c r="AO136" s="26">
        <f t="shared" si="7"/>
        <v>0</v>
      </c>
      <c r="AP136" s="114">
        <f t="shared" si="8"/>
        <v>0</v>
      </c>
      <c r="AQ136" s="10"/>
    </row>
    <row r="137">
      <c r="A137" s="20" t="str">
        <f>'MASTER STOCK'!F134</f>
        <v>PAKU PINES </v>
      </c>
      <c r="B137" s="21">
        <f>'OKT 25'!AJ137:AJ520</f>
        <v>7</v>
      </c>
      <c r="C137" s="10"/>
      <c r="D137" s="10"/>
      <c r="E137" s="22"/>
      <c r="F137" s="22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23">
        <f t="shared" si="3"/>
        <v>0</v>
      </c>
      <c r="AI137" s="24">
        <v>0.0</v>
      </c>
      <c r="AJ137" s="23">
        <f t="shared" si="4"/>
        <v>7</v>
      </c>
      <c r="AK137" s="23">
        <f t="shared" si="5"/>
        <v>7</v>
      </c>
      <c r="AL137" s="25">
        <f>'MASTER STOCK'!I134</f>
        <v>1200</v>
      </c>
      <c r="AM137" s="27">
        <f>'MASTER STOCK'!L134</f>
        <v>2040</v>
      </c>
      <c r="AN137" s="27">
        <f t="shared" si="6"/>
        <v>0</v>
      </c>
      <c r="AO137" s="26">
        <f t="shared" si="7"/>
        <v>0</v>
      </c>
      <c r="AP137" s="114">
        <f t="shared" si="8"/>
        <v>0</v>
      </c>
      <c r="AQ137" s="10"/>
    </row>
    <row r="138">
      <c r="A138" s="20" t="str">
        <f>'MASTER STOCK'!F135</f>
        <v>KIKIR 3 INC</v>
      </c>
      <c r="B138" s="21">
        <f>'OKT 25'!AJ138:AJ521</f>
        <v>5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23">
        <f t="shared" si="3"/>
        <v>0</v>
      </c>
      <c r="AI138" s="24">
        <v>0.0</v>
      </c>
      <c r="AJ138" s="23">
        <f t="shared" si="4"/>
        <v>5</v>
      </c>
      <c r="AK138" s="23">
        <f t="shared" si="5"/>
        <v>5</v>
      </c>
      <c r="AL138" s="25">
        <f>'MASTER STOCK'!I135</f>
        <v>8000</v>
      </c>
      <c r="AM138" s="27">
        <f>'MASTER STOCK'!L135</f>
        <v>17200</v>
      </c>
      <c r="AN138" s="27">
        <f t="shared" si="6"/>
        <v>0</v>
      </c>
      <c r="AO138" s="26">
        <f t="shared" si="7"/>
        <v>0</v>
      </c>
      <c r="AP138" s="114">
        <f t="shared" si="8"/>
        <v>0</v>
      </c>
      <c r="AQ138" s="10"/>
    </row>
    <row r="139">
      <c r="A139" s="20" t="str">
        <f>'MASTER STOCK'!F136</f>
        <v>KIKIR 3.5 INC</v>
      </c>
      <c r="B139" s="21">
        <f>'OKT 25'!AJ139:AJ522</f>
        <v>2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23">
        <f t="shared" si="3"/>
        <v>0</v>
      </c>
      <c r="AI139" s="24">
        <v>0.0</v>
      </c>
      <c r="AJ139" s="23">
        <f t="shared" si="4"/>
        <v>2</v>
      </c>
      <c r="AK139" s="23">
        <f t="shared" si="5"/>
        <v>2</v>
      </c>
      <c r="AL139" s="25">
        <f>'MASTER STOCK'!I136</f>
        <v>7500</v>
      </c>
      <c r="AM139" s="27">
        <f>'MASTER STOCK'!L136</f>
        <v>19125</v>
      </c>
      <c r="AN139" s="27">
        <f t="shared" si="6"/>
        <v>0</v>
      </c>
      <c r="AO139" s="26">
        <f t="shared" si="7"/>
        <v>0</v>
      </c>
      <c r="AP139" s="114">
        <f t="shared" si="8"/>
        <v>0</v>
      </c>
      <c r="AQ139" s="10"/>
    </row>
    <row r="140">
      <c r="A140" s="20" t="str">
        <f>'MASTER STOCK'!F137</f>
        <v>KIKIR 4 INC</v>
      </c>
      <c r="B140" s="21">
        <f>'OKT 25'!AJ140:AJ523</f>
        <v>2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23">
        <f t="shared" si="3"/>
        <v>0</v>
      </c>
      <c r="AI140" s="24">
        <v>0.0</v>
      </c>
      <c r="AJ140" s="23">
        <f t="shared" si="4"/>
        <v>2</v>
      </c>
      <c r="AK140" s="23">
        <f t="shared" si="5"/>
        <v>2</v>
      </c>
      <c r="AL140" s="25">
        <f>'MASTER STOCK'!I137</f>
        <v>9000</v>
      </c>
      <c r="AM140" s="27">
        <f>'MASTER STOCK'!L137</f>
        <v>20700</v>
      </c>
      <c r="AN140" s="27">
        <f t="shared" si="6"/>
        <v>0</v>
      </c>
      <c r="AO140" s="26">
        <f t="shared" si="7"/>
        <v>0</v>
      </c>
      <c r="AP140" s="114">
        <f t="shared" si="8"/>
        <v>0</v>
      </c>
      <c r="AQ140" s="10"/>
    </row>
    <row r="141">
      <c r="A141" s="20" t="str">
        <f>'MASTER STOCK'!F138</f>
        <v>AVIAN 192 VERMILLION 25CC</v>
      </c>
      <c r="B141" s="21">
        <f>'OKT 25'!AJ141:AJ524</f>
        <v>5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22">
        <v>2.0</v>
      </c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23">
        <f t="shared" si="3"/>
        <v>2</v>
      </c>
      <c r="AI141" s="24">
        <v>0.0</v>
      </c>
      <c r="AJ141" s="23">
        <f t="shared" si="4"/>
        <v>3</v>
      </c>
      <c r="AK141" s="23">
        <f t="shared" si="5"/>
        <v>3</v>
      </c>
      <c r="AL141" s="25">
        <f>'MASTER STOCK'!I138</f>
        <v>4500</v>
      </c>
      <c r="AM141" s="27">
        <f>'MASTER STOCK'!L138</f>
        <v>5580</v>
      </c>
      <c r="AN141" s="27">
        <f t="shared" si="6"/>
        <v>11160</v>
      </c>
      <c r="AO141" s="26">
        <f t="shared" si="7"/>
        <v>2160</v>
      </c>
      <c r="AP141" s="114">
        <f t="shared" si="8"/>
        <v>9000</v>
      </c>
      <c r="AQ141" s="10"/>
    </row>
    <row r="142">
      <c r="A142" s="20" t="str">
        <f>'MASTER STOCK'!F139</f>
        <v>AVIAN SB 25CC</v>
      </c>
      <c r="B142" s="21">
        <f>'OKT 25'!AJ142:AJ525</f>
        <v>5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23">
        <f t="shared" si="3"/>
        <v>0</v>
      </c>
      <c r="AI142" s="24">
        <v>0.0</v>
      </c>
      <c r="AJ142" s="23">
        <f t="shared" si="4"/>
        <v>5</v>
      </c>
      <c r="AK142" s="23">
        <f t="shared" si="5"/>
        <v>5</v>
      </c>
      <c r="AL142" s="25">
        <f>'MASTER STOCK'!I139</f>
        <v>4500</v>
      </c>
      <c r="AM142" s="27">
        <f>'MASTER STOCK'!L139</f>
        <v>5580</v>
      </c>
      <c r="AN142" s="27">
        <f t="shared" si="6"/>
        <v>0</v>
      </c>
      <c r="AO142" s="26">
        <f t="shared" si="7"/>
        <v>0</v>
      </c>
      <c r="AP142" s="114">
        <f t="shared" si="8"/>
        <v>0</v>
      </c>
      <c r="AQ142" s="10"/>
    </row>
    <row r="143">
      <c r="A143" s="20" t="str">
        <f>'MASTER STOCK'!F140</f>
        <v>AVIAN 465 MEDIUM YELLOW 25CC</v>
      </c>
      <c r="B143" s="21">
        <f>'OKT 25'!AJ143:AJ526</f>
        <v>5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23">
        <f t="shared" si="3"/>
        <v>0</v>
      </c>
      <c r="AI143" s="24">
        <v>0.0</v>
      </c>
      <c r="AJ143" s="23">
        <f t="shared" si="4"/>
        <v>5</v>
      </c>
      <c r="AK143" s="23">
        <f t="shared" si="5"/>
        <v>5</v>
      </c>
      <c r="AL143" s="25">
        <f>'MASTER STOCK'!I140</f>
        <v>4500</v>
      </c>
      <c r="AM143" s="27">
        <f>'MASTER STOCK'!L140</f>
        <v>5580</v>
      </c>
      <c r="AN143" s="27">
        <f t="shared" si="6"/>
        <v>0</v>
      </c>
      <c r="AO143" s="26">
        <f t="shared" si="7"/>
        <v>0</v>
      </c>
      <c r="AP143" s="114">
        <f t="shared" si="8"/>
        <v>0</v>
      </c>
      <c r="AQ143" s="10"/>
    </row>
    <row r="144">
      <c r="A144" s="20" t="str">
        <f>'MASTER STOCK'!F141</f>
        <v>AVIAN 733 OCEAN BLUE 25CC</v>
      </c>
      <c r="B144" s="21">
        <f>'OKT 25'!AJ144:AJ527</f>
        <v>5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23">
        <f t="shared" si="3"/>
        <v>0</v>
      </c>
      <c r="AI144" s="24">
        <v>0.0</v>
      </c>
      <c r="AJ144" s="23">
        <f t="shared" si="4"/>
        <v>5</v>
      </c>
      <c r="AK144" s="23">
        <f t="shared" si="5"/>
        <v>5</v>
      </c>
      <c r="AL144" s="25">
        <f>'MASTER STOCK'!I141</f>
        <v>4500</v>
      </c>
      <c r="AM144" s="27">
        <f>'MASTER STOCK'!L141</f>
        <v>5580</v>
      </c>
      <c r="AN144" s="27">
        <f t="shared" si="6"/>
        <v>0</v>
      </c>
      <c r="AO144" s="26">
        <f t="shared" si="7"/>
        <v>0</v>
      </c>
      <c r="AP144" s="114">
        <f t="shared" si="8"/>
        <v>0</v>
      </c>
      <c r="AQ144" s="10"/>
    </row>
    <row r="145">
      <c r="A145" s="20" t="str">
        <f>'MASTER STOCK'!F142</f>
        <v>AVIAN SW 25CC</v>
      </c>
      <c r="B145" s="21">
        <f>'OKT 25'!AJ145:AJ528</f>
        <v>5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23">
        <f t="shared" si="3"/>
        <v>0</v>
      </c>
      <c r="AI145" s="24">
        <v>0.0</v>
      </c>
      <c r="AJ145" s="23">
        <f t="shared" si="4"/>
        <v>5</v>
      </c>
      <c r="AK145" s="23">
        <f t="shared" si="5"/>
        <v>5</v>
      </c>
      <c r="AL145" s="25">
        <f>'MASTER STOCK'!I142</f>
        <v>4500</v>
      </c>
      <c r="AM145" s="27">
        <f>'MASTER STOCK'!L142</f>
        <v>5580</v>
      </c>
      <c r="AN145" s="27">
        <f t="shared" si="6"/>
        <v>0</v>
      </c>
      <c r="AO145" s="26">
        <f t="shared" si="7"/>
        <v>0</v>
      </c>
      <c r="AP145" s="114">
        <f t="shared" si="8"/>
        <v>0</v>
      </c>
      <c r="AQ145" s="10"/>
    </row>
    <row r="146">
      <c r="A146" s="20" t="str">
        <f>'MASTER STOCK'!F143</f>
        <v>AVIAN KAYU BESI SB</v>
      </c>
      <c r="B146" s="21">
        <f>'OKT 25'!AJ146:AJ529</f>
        <v>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23">
        <f t="shared" si="3"/>
        <v>0</v>
      </c>
      <c r="AI146" s="24">
        <v>0.0</v>
      </c>
      <c r="AJ146" s="23">
        <f t="shared" si="4"/>
        <v>1</v>
      </c>
      <c r="AK146" s="23">
        <f t="shared" si="5"/>
        <v>1</v>
      </c>
      <c r="AL146" s="25">
        <f>'MASTER STOCK'!I143</f>
        <v>73000</v>
      </c>
      <c r="AM146" s="27">
        <f>'MASTER STOCK'!L143</f>
        <v>76650</v>
      </c>
      <c r="AN146" s="27">
        <f t="shared" si="6"/>
        <v>0</v>
      </c>
      <c r="AO146" s="26">
        <f t="shared" si="7"/>
        <v>0</v>
      </c>
      <c r="AP146" s="114">
        <f t="shared" si="8"/>
        <v>0</v>
      </c>
      <c r="AQ146" s="10"/>
    </row>
    <row r="147">
      <c r="A147" s="20" t="str">
        <f>'MASTER STOCK'!F144</f>
        <v>AVIAN KAYU BESI 192</v>
      </c>
      <c r="B147" s="21">
        <f>'OKT 25'!AJ147:AJ530</f>
        <v>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23">
        <f t="shared" si="3"/>
        <v>0</v>
      </c>
      <c r="AI147" s="24">
        <v>0.0</v>
      </c>
      <c r="AJ147" s="23">
        <f t="shared" si="4"/>
        <v>1</v>
      </c>
      <c r="AK147" s="23">
        <f t="shared" si="5"/>
        <v>1</v>
      </c>
      <c r="AL147" s="25">
        <f>'MASTER STOCK'!I144</f>
        <v>73000</v>
      </c>
      <c r="AM147" s="27">
        <f>'MASTER STOCK'!L144</f>
        <v>76650</v>
      </c>
      <c r="AN147" s="27">
        <f t="shared" si="6"/>
        <v>0</v>
      </c>
      <c r="AO147" s="26">
        <f t="shared" si="7"/>
        <v>0</v>
      </c>
      <c r="AP147" s="114">
        <f t="shared" si="8"/>
        <v>0</v>
      </c>
      <c r="AQ147" s="10"/>
    </row>
    <row r="148">
      <c r="A148" s="20" t="str">
        <f>'MASTER STOCK'!F145</f>
        <v>AVIAN KAYU BESI 480</v>
      </c>
      <c r="B148" s="21">
        <f>'OKT 25'!AJ148:AJ531</f>
        <v>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23">
        <f t="shared" si="3"/>
        <v>0</v>
      </c>
      <c r="AI148" s="24">
        <v>0.0</v>
      </c>
      <c r="AJ148" s="23">
        <f t="shared" si="4"/>
        <v>1</v>
      </c>
      <c r="AK148" s="23">
        <f t="shared" si="5"/>
        <v>1</v>
      </c>
      <c r="AL148" s="25">
        <f>'MASTER STOCK'!I145</f>
        <v>73000</v>
      </c>
      <c r="AM148" s="27">
        <f>'MASTER STOCK'!L145</f>
        <v>76650</v>
      </c>
      <c r="AN148" s="27">
        <f t="shared" si="6"/>
        <v>0</v>
      </c>
      <c r="AO148" s="26">
        <f t="shared" si="7"/>
        <v>0</v>
      </c>
      <c r="AP148" s="114">
        <f t="shared" si="8"/>
        <v>0</v>
      </c>
      <c r="AQ148" s="10"/>
    </row>
    <row r="149">
      <c r="A149" s="20" t="str">
        <f>'MASTER STOCK'!F146</f>
        <v>AVIAN KAYU BESI SW</v>
      </c>
      <c r="B149" s="21">
        <f>'OKT 25'!AJ149:AJ532</f>
        <v>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23">
        <f t="shared" si="3"/>
        <v>0</v>
      </c>
      <c r="AI149" s="24">
        <v>0.0</v>
      </c>
      <c r="AJ149" s="23">
        <f t="shared" si="4"/>
        <v>1</v>
      </c>
      <c r="AK149" s="23">
        <f t="shared" si="5"/>
        <v>1</v>
      </c>
      <c r="AL149" s="25">
        <f>'MASTER STOCK'!I146</f>
        <v>73000</v>
      </c>
      <c r="AM149" s="27">
        <f>'MASTER STOCK'!L146</f>
        <v>76650</v>
      </c>
      <c r="AN149" s="27">
        <f t="shared" si="6"/>
        <v>0</v>
      </c>
      <c r="AO149" s="26">
        <f t="shared" si="7"/>
        <v>0</v>
      </c>
      <c r="AP149" s="114">
        <f t="shared" si="8"/>
        <v>0</v>
      </c>
      <c r="AQ149" s="10"/>
    </row>
    <row r="150">
      <c r="A150" s="20" t="str">
        <f>'MASTER STOCK'!F147</f>
        <v>BEE BRAND KAYU BESI 126 GREEN</v>
      </c>
      <c r="B150" s="21">
        <f>'OKT 25'!AJ150:AJ533</f>
        <v>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23">
        <f t="shared" si="3"/>
        <v>0</v>
      </c>
      <c r="AI150" s="24">
        <v>0.0</v>
      </c>
      <c r="AJ150" s="23">
        <f t="shared" si="4"/>
        <v>1</v>
      </c>
      <c r="AK150" s="23">
        <f t="shared" si="5"/>
        <v>1</v>
      </c>
      <c r="AL150" s="25">
        <f>'MASTER STOCK'!I147</f>
        <v>68000</v>
      </c>
      <c r="AM150" s="27">
        <f>'MASTER STOCK'!L147</f>
        <v>72760</v>
      </c>
      <c r="AN150" s="27">
        <f t="shared" si="6"/>
        <v>0</v>
      </c>
      <c r="AO150" s="26">
        <f t="shared" si="7"/>
        <v>0</v>
      </c>
      <c r="AP150" s="114">
        <f t="shared" si="8"/>
        <v>0</v>
      </c>
      <c r="AQ150" s="10"/>
    </row>
    <row r="151">
      <c r="A151" s="20" t="str">
        <f>'MASTER STOCK'!F148</f>
        <v>BEE BRAND KAYU BESI 1019 DEL FOGLIO</v>
      </c>
      <c r="B151" s="21">
        <f>'OKT 25'!AJ151:AJ534</f>
        <v>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23">
        <f t="shared" si="3"/>
        <v>0</v>
      </c>
      <c r="AI151" s="24">
        <v>0.0</v>
      </c>
      <c r="AJ151" s="23">
        <f t="shared" si="4"/>
        <v>1</v>
      </c>
      <c r="AK151" s="23">
        <f t="shared" si="5"/>
        <v>1</v>
      </c>
      <c r="AL151" s="25">
        <f>'MASTER STOCK'!I148</f>
        <v>68000</v>
      </c>
      <c r="AM151" s="27">
        <f>'MASTER STOCK'!L148</f>
        <v>72760</v>
      </c>
      <c r="AN151" s="27">
        <f t="shared" si="6"/>
        <v>0</v>
      </c>
      <c r="AO151" s="26">
        <f t="shared" si="7"/>
        <v>0</v>
      </c>
      <c r="AP151" s="114">
        <f t="shared" si="8"/>
        <v>0</v>
      </c>
      <c r="AQ151" s="10"/>
    </row>
    <row r="152">
      <c r="A152" s="20" t="str">
        <f>'MASTER STOCK'!F149</f>
        <v>BEE BRAND KAYU BESI 115 SILVER</v>
      </c>
      <c r="B152" s="21">
        <f>'OKT 25'!AJ152:AJ535</f>
        <v>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23">
        <f t="shared" si="3"/>
        <v>0</v>
      </c>
      <c r="AI152" s="24">
        <v>0.0</v>
      </c>
      <c r="AJ152" s="23">
        <f t="shared" si="4"/>
        <v>1</v>
      </c>
      <c r="AK152" s="23">
        <f t="shared" si="5"/>
        <v>1</v>
      </c>
      <c r="AL152" s="25">
        <f>'MASTER STOCK'!I149</f>
        <v>68000</v>
      </c>
      <c r="AM152" s="27">
        <f>'MASTER STOCK'!L149</f>
        <v>72760</v>
      </c>
      <c r="AN152" s="27">
        <f t="shared" si="6"/>
        <v>0</v>
      </c>
      <c r="AO152" s="26">
        <f t="shared" si="7"/>
        <v>0</v>
      </c>
      <c r="AP152" s="114">
        <f t="shared" si="8"/>
        <v>0</v>
      </c>
      <c r="AQ152" s="10"/>
    </row>
    <row r="153">
      <c r="A153" s="20" t="str">
        <f>'MASTER STOCK'!F150</f>
        <v>PARAGON TEMBOK SW 5KG</v>
      </c>
      <c r="B153" s="21">
        <f>'OKT 25'!AJ153:AJ536</f>
        <v>2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23">
        <f t="shared" si="3"/>
        <v>0</v>
      </c>
      <c r="AI153" s="24">
        <v>0.0</v>
      </c>
      <c r="AJ153" s="23">
        <f t="shared" si="4"/>
        <v>2</v>
      </c>
      <c r="AK153" s="23">
        <f t="shared" si="5"/>
        <v>2</v>
      </c>
      <c r="AL153" s="25">
        <f>'MASTER STOCK'!I150</f>
        <v>122500</v>
      </c>
      <c r="AM153" s="27">
        <f>'MASTER STOCK'!L150</f>
        <v>134750</v>
      </c>
      <c r="AN153" s="27">
        <f t="shared" si="6"/>
        <v>0</v>
      </c>
      <c r="AO153" s="26">
        <f t="shared" si="7"/>
        <v>0</v>
      </c>
      <c r="AP153" s="114">
        <f t="shared" si="8"/>
        <v>0</v>
      </c>
      <c r="AQ153" s="10"/>
    </row>
    <row r="154">
      <c r="A154" s="20" t="str">
        <f>'MASTER STOCK'!F151</f>
        <v>PARAGON TEMBOK SW 1KG</v>
      </c>
      <c r="B154" s="21">
        <f>'OKT 25'!AJ154:AJ537</f>
        <v>4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23">
        <f t="shared" si="3"/>
        <v>0</v>
      </c>
      <c r="AI154" s="24">
        <v>0.0</v>
      </c>
      <c r="AJ154" s="23">
        <f t="shared" si="4"/>
        <v>4</v>
      </c>
      <c r="AK154" s="23">
        <f t="shared" si="5"/>
        <v>4</v>
      </c>
      <c r="AL154" s="25">
        <f>'MASTER STOCK'!I151</f>
        <v>32500</v>
      </c>
      <c r="AM154" s="27">
        <f>'MASTER STOCK'!L151</f>
        <v>35750</v>
      </c>
      <c r="AN154" s="27">
        <f t="shared" si="6"/>
        <v>0</v>
      </c>
      <c r="AO154" s="26">
        <f t="shared" si="7"/>
        <v>0</v>
      </c>
      <c r="AP154" s="114">
        <f t="shared" si="8"/>
        <v>0</v>
      </c>
      <c r="AQ154" s="10"/>
    </row>
    <row r="155">
      <c r="A155" s="20" t="str">
        <f>'MASTER STOCK'!F152</f>
        <v>NODROP TEMBOK ABU-ABU 602 1KG</v>
      </c>
      <c r="B155" s="21">
        <f>'OKT 25'!AJ155:AJ538</f>
        <v>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23">
        <f t="shared" si="3"/>
        <v>0</v>
      </c>
      <c r="AI155" s="24">
        <v>0.0</v>
      </c>
      <c r="AJ155" s="23">
        <f t="shared" si="4"/>
        <v>4</v>
      </c>
      <c r="AK155" s="23">
        <f t="shared" si="5"/>
        <v>4</v>
      </c>
      <c r="AL155" s="25">
        <f>'MASTER STOCK'!I152</f>
        <v>53500</v>
      </c>
      <c r="AM155" s="27">
        <f>'MASTER STOCK'!L152</f>
        <v>58850</v>
      </c>
      <c r="AN155" s="27">
        <f t="shared" si="6"/>
        <v>0</v>
      </c>
      <c r="AO155" s="26">
        <f t="shared" si="7"/>
        <v>0</v>
      </c>
      <c r="AP155" s="114">
        <f t="shared" si="8"/>
        <v>0</v>
      </c>
      <c r="AQ155" s="10"/>
    </row>
    <row r="156">
      <c r="A156" s="20" t="str">
        <f>'MASTER STOCK'!F153</f>
        <v>AVITEX TEMBOK 710 BLUE</v>
      </c>
      <c r="B156" s="21">
        <f>'OKT 25'!AJ156:AJ539</f>
        <v>2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23">
        <f t="shared" si="3"/>
        <v>0</v>
      </c>
      <c r="AI156" s="24">
        <v>0.0</v>
      </c>
      <c r="AJ156" s="23">
        <f t="shared" si="4"/>
        <v>2</v>
      </c>
      <c r="AK156" s="23">
        <f t="shared" si="5"/>
        <v>2</v>
      </c>
      <c r="AL156" s="25">
        <f>'MASTER STOCK'!I153</f>
        <v>35500</v>
      </c>
      <c r="AM156" s="27">
        <f>'MASTER STOCK'!L153</f>
        <v>39050</v>
      </c>
      <c r="AN156" s="27">
        <f t="shared" si="6"/>
        <v>0</v>
      </c>
      <c r="AO156" s="26">
        <f t="shared" si="7"/>
        <v>0</v>
      </c>
      <c r="AP156" s="114">
        <f t="shared" si="8"/>
        <v>0</v>
      </c>
      <c r="AQ156" s="10"/>
    </row>
    <row r="157">
      <c r="A157" s="20" t="str">
        <f>'MASTER STOCK'!F154</f>
        <v>AVITEX TEMBOK 770 GREEN</v>
      </c>
      <c r="B157" s="21">
        <f>'OKT 25'!AJ157:AJ540</f>
        <v>2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23">
        <f t="shared" si="3"/>
        <v>0</v>
      </c>
      <c r="AI157" s="24">
        <v>0.0</v>
      </c>
      <c r="AJ157" s="23">
        <f t="shared" si="4"/>
        <v>2</v>
      </c>
      <c r="AK157" s="23">
        <f t="shared" si="5"/>
        <v>2</v>
      </c>
      <c r="AL157" s="25">
        <f>'MASTER STOCK'!I154</f>
        <v>35500</v>
      </c>
      <c r="AM157" s="27">
        <f>'MASTER STOCK'!L154</f>
        <v>39050</v>
      </c>
      <c r="AN157" s="27">
        <f t="shared" si="6"/>
        <v>0</v>
      </c>
      <c r="AO157" s="26">
        <f t="shared" si="7"/>
        <v>0</v>
      </c>
      <c r="AP157" s="114">
        <f t="shared" si="8"/>
        <v>0</v>
      </c>
      <c r="AQ157" s="10"/>
    </row>
    <row r="158">
      <c r="A158" s="20" t="str">
        <f>'MASTER STOCK'!F155</f>
        <v>AVITEX TEMBOK 750 YELLOW</v>
      </c>
      <c r="B158" s="21">
        <f>'OKT 25'!AJ158:AJ541</f>
        <v>2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23">
        <f t="shared" si="3"/>
        <v>0</v>
      </c>
      <c r="AI158" s="24">
        <v>0.0</v>
      </c>
      <c r="AJ158" s="23">
        <f t="shared" si="4"/>
        <v>2</v>
      </c>
      <c r="AK158" s="23">
        <f t="shared" si="5"/>
        <v>2</v>
      </c>
      <c r="AL158" s="25">
        <f>'MASTER STOCK'!I155</f>
        <v>35500</v>
      </c>
      <c r="AM158" s="27">
        <f>'MASTER STOCK'!L155</f>
        <v>39050</v>
      </c>
      <c r="AN158" s="27">
        <f t="shared" si="6"/>
        <v>0</v>
      </c>
      <c r="AO158" s="26">
        <f t="shared" si="7"/>
        <v>0</v>
      </c>
      <c r="AP158" s="114">
        <f t="shared" si="8"/>
        <v>0</v>
      </c>
      <c r="AQ158" s="10"/>
    </row>
    <row r="159">
      <c r="A159" s="20" t="str">
        <f>'MASTER STOCK'!F156</f>
        <v>AVITEX TEMBOK 831 CREAM</v>
      </c>
      <c r="B159" s="21">
        <f>'OKT 25'!AJ159:AJ542</f>
        <v>2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23">
        <f t="shared" si="3"/>
        <v>0</v>
      </c>
      <c r="AI159" s="24">
        <v>0.0</v>
      </c>
      <c r="AJ159" s="23">
        <f t="shared" si="4"/>
        <v>2</v>
      </c>
      <c r="AK159" s="23">
        <f t="shared" si="5"/>
        <v>2</v>
      </c>
      <c r="AL159" s="25">
        <f>'MASTER STOCK'!I156</f>
        <v>35500</v>
      </c>
      <c r="AM159" s="27">
        <f>'MASTER STOCK'!L156</f>
        <v>39050</v>
      </c>
      <c r="AN159" s="27">
        <f t="shared" si="6"/>
        <v>0</v>
      </c>
      <c r="AO159" s="26">
        <f t="shared" si="7"/>
        <v>0</v>
      </c>
      <c r="AP159" s="114">
        <f t="shared" si="8"/>
        <v>0</v>
      </c>
      <c r="AQ159" s="10"/>
    </row>
    <row r="160">
      <c r="A160" s="20" t="str">
        <f>'MASTER STOCK'!F157</f>
        <v>AVITEX TEMBOK SB</v>
      </c>
      <c r="B160" s="21">
        <f>'OKT 25'!AJ160:AJ543</f>
        <v>2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23">
        <f t="shared" si="3"/>
        <v>0</v>
      </c>
      <c r="AI160" s="24">
        <v>0.0</v>
      </c>
      <c r="AJ160" s="23">
        <f t="shared" si="4"/>
        <v>2</v>
      </c>
      <c r="AK160" s="23">
        <f t="shared" si="5"/>
        <v>2</v>
      </c>
      <c r="AL160" s="25">
        <f>'MASTER STOCK'!I157</f>
        <v>35500</v>
      </c>
      <c r="AM160" s="27">
        <f>'MASTER STOCK'!L157</f>
        <v>39050</v>
      </c>
      <c r="AN160" s="27">
        <f t="shared" si="6"/>
        <v>0</v>
      </c>
      <c r="AO160" s="26">
        <f t="shared" si="7"/>
        <v>0</v>
      </c>
      <c r="AP160" s="114">
        <f t="shared" si="8"/>
        <v>0</v>
      </c>
      <c r="AQ160" s="10"/>
    </row>
    <row r="161">
      <c r="A161" s="29" t="str">
        <f>'MASTER STOCK'!F158</f>
        <v>knee 1/2 dim</v>
      </c>
      <c r="B161" s="30">
        <f>'OKT 25'!AJ161:AJ544</f>
        <v>46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22">
        <v>1.0</v>
      </c>
      <c r="AE161" s="10"/>
      <c r="AF161" s="10"/>
      <c r="AG161" s="10"/>
      <c r="AH161" s="23">
        <f t="shared" si="3"/>
        <v>1</v>
      </c>
      <c r="AI161" s="24">
        <v>0.0</v>
      </c>
      <c r="AJ161" s="32">
        <f t="shared" si="4"/>
        <v>45</v>
      </c>
      <c r="AK161" s="32">
        <f t="shared" si="5"/>
        <v>45</v>
      </c>
      <c r="AL161" s="25">
        <f>'MASTER STOCK'!I158</f>
        <v>2500</v>
      </c>
      <c r="AM161" s="27">
        <f>'MASTER STOCK'!L158</f>
        <v>2500</v>
      </c>
      <c r="AN161" s="27">
        <f t="shared" si="6"/>
        <v>2500</v>
      </c>
      <c r="AO161" s="26">
        <f t="shared" si="7"/>
        <v>0</v>
      </c>
      <c r="AP161" s="114">
        <f t="shared" si="8"/>
        <v>2500</v>
      </c>
      <c r="AQ161" s="10"/>
    </row>
    <row r="162">
      <c r="A162" s="29" t="str">
        <f>'MASTER STOCK'!F159</f>
        <v>knee 3/4 dim</v>
      </c>
      <c r="B162" s="30">
        <f>'OKT 25'!AJ162:AJ545</f>
        <v>36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22"/>
      <c r="M162" s="10"/>
      <c r="N162" s="22">
        <v>3.0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23">
        <f t="shared" si="3"/>
        <v>3</v>
      </c>
      <c r="AI162" s="24">
        <v>0.0</v>
      </c>
      <c r="AJ162" s="32">
        <f t="shared" si="4"/>
        <v>33</v>
      </c>
      <c r="AK162" s="32">
        <f t="shared" si="5"/>
        <v>33</v>
      </c>
      <c r="AL162" s="25">
        <f>'MASTER STOCK'!I159</f>
        <v>3500</v>
      </c>
      <c r="AM162" s="27">
        <f>'MASTER STOCK'!L159</f>
        <v>3500</v>
      </c>
      <c r="AN162" s="27">
        <f t="shared" si="6"/>
        <v>10500</v>
      </c>
      <c r="AO162" s="26">
        <f t="shared" si="7"/>
        <v>0</v>
      </c>
      <c r="AP162" s="114">
        <f t="shared" si="8"/>
        <v>10500</v>
      </c>
      <c r="AQ162" s="10"/>
    </row>
    <row r="163">
      <c r="A163" s="29" t="str">
        <f>'MASTER STOCK'!F160</f>
        <v>knee drat dalam 3/4 dim</v>
      </c>
      <c r="B163" s="30">
        <f>'OKT 25'!AJ163:AJ546</f>
        <v>8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23">
        <f t="shared" si="3"/>
        <v>0</v>
      </c>
      <c r="AI163" s="24">
        <v>0.0</v>
      </c>
      <c r="AJ163" s="32">
        <f t="shared" si="4"/>
        <v>8</v>
      </c>
      <c r="AK163" s="32">
        <f t="shared" si="5"/>
        <v>8</v>
      </c>
      <c r="AL163" s="25">
        <f>'MASTER STOCK'!I160</f>
        <v>4500</v>
      </c>
      <c r="AM163" s="27">
        <f>'MASTER STOCK'!L160</f>
        <v>4500</v>
      </c>
      <c r="AN163" s="27">
        <f t="shared" si="6"/>
        <v>0</v>
      </c>
      <c r="AO163" s="26">
        <f t="shared" si="7"/>
        <v>0</v>
      </c>
      <c r="AP163" s="114">
        <f t="shared" si="8"/>
        <v>0</v>
      </c>
      <c r="AQ163" s="10"/>
    </row>
    <row r="164">
      <c r="A164" s="29" t="str">
        <f>'MASTER STOCK'!F161</f>
        <v>paku 1 1/2</v>
      </c>
      <c r="B164" s="30">
        <f>'OKT 25'!AJ164:AJ547</f>
        <v>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23">
        <f t="shared" si="3"/>
        <v>0</v>
      </c>
      <c r="AI164" s="24">
        <v>0.0</v>
      </c>
      <c r="AJ164" s="32">
        <f t="shared" si="4"/>
        <v>1</v>
      </c>
      <c r="AK164" s="32">
        <f t="shared" si="5"/>
        <v>1</v>
      </c>
      <c r="AL164" s="25">
        <f>'MASTER STOCK'!I161</f>
        <v>25000</v>
      </c>
      <c r="AM164" s="27">
        <f>'MASTER STOCK'!L161</f>
        <v>25000</v>
      </c>
      <c r="AN164" s="27">
        <f t="shared" si="6"/>
        <v>0</v>
      </c>
      <c r="AO164" s="26">
        <f t="shared" si="7"/>
        <v>0</v>
      </c>
      <c r="AP164" s="114">
        <f t="shared" si="8"/>
        <v>0</v>
      </c>
      <c r="AQ164" s="10"/>
    </row>
    <row r="165">
      <c r="A165" s="29" t="str">
        <f>'MASTER STOCK'!F162</f>
        <v>paku 3/4</v>
      </c>
      <c r="B165" s="30">
        <f>'OKT 25'!AJ165:AJ548</f>
        <v>1</v>
      </c>
      <c r="C165" s="10"/>
      <c r="D165" s="22"/>
      <c r="E165" s="10"/>
      <c r="F165" s="10"/>
      <c r="G165" s="10"/>
      <c r="H165" s="22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23">
        <f t="shared" si="3"/>
        <v>0</v>
      </c>
      <c r="AI165" s="24">
        <v>0.0</v>
      </c>
      <c r="AJ165" s="32">
        <f t="shared" si="4"/>
        <v>1</v>
      </c>
      <c r="AK165" s="32">
        <f t="shared" si="5"/>
        <v>1</v>
      </c>
      <c r="AL165" s="25">
        <f>'MASTER STOCK'!I162</f>
        <v>25000</v>
      </c>
      <c r="AM165" s="27">
        <f>'MASTER STOCK'!L162</f>
        <v>25000</v>
      </c>
      <c r="AN165" s="27">
        <f t="shared" si="6"/>
        <v>0</v>
      </c>
      <c r="AO165" s="26">
        <f t="shared" si="7"/>
        <v>0</v>
      </c>
      <c r="AP165" s="114">
        <f t="shared" si="8"/>
        <v>0</v>
      </c>
      <c r="AQ165" s="10"/>
    </row>
    <row r="166">
      <c r="A166" s="29" t="str">
        <f>'MASTER STOCK'!F163</f>
        <v>t  1/2 dim</v>
      </c>
      <c r="B166" s="30">
        <f>'OKT 25'!AJ166:AJ549</f>
        <v>9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23">
        <f t="shared" si="3"/>
        <v>0</v>
      </c>
      <c r="AI166" s="24">
        <v>0.0</v>
      </c>
      <c r="AJ166" s="32">
        <f t="shared" si="4"/>
        <v>9</v>
      </c>
      <c r="AK166" s="32">
        <f t="shared" si="5"/>
        <v>9</v>
      </c>
      <c r="AL166" s="25">
        <f>'MASTER STOCK'!I163</f>
        <v>2500</v>
      </c>
      <c r="AM166" s="27">
        <f>'MASTER STOCK'!L163</f>
        <v>2500</v>
      </c>
      <c r="AN166" s="27">
        <f t="shared" si="6"/>
        <v>0</v>
      </c>
      <c r="AO166" s="26">
        <f t="shared" si="7"/>
        <v>0</v>
      </c>
      <c r="AP166" s="114">
        <f t="shared" si="8"/>
        <v>0</v>
      </c>
      <c r="AQ166" s="10"/>
    </row>
    <row r="167">
      <c r="A167" s="29" t="str">
        <f>'MASTER STOCK'!F164</f>
        <v>knee 1 dim</v>
      </c>
      <c r="B167" s="30">
        <f>'OKT 25'!AJ167:AJ550</f>
        <v>18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23">
        <f t="shared" si="3"/>
        <v>0</v>
      </c>
      <c r="AI167" s="24">
        <v>0.0</v>
      </c>
      <c r="AJ167" s="32">
        <f t="shared" si="4"/>
        <v>18</v>
      </c>
      <c r="AK167" s="32">
        <f t="shared" si="5"/>
        <v>18</v>
      </c>
      <c r="AL167" s="25">
        <f>'MASTER STOCK'!I164</f>
        <v>4000</v>
      </c>
      <c r="AM167" s="27">
        <f>'MASTER STOCK'!L164</f>
        <v>4000</v>
      </c>
      <c r="AN167" s="27">
        <f t="shared" si="6"/>
        <v>0</v>
      </c>
      <c r="AO167" s="26">
        <f t="shared" si="7"/>
        <v>0</v>
      </c>
      <c r="AP167" s="114">
        <f t="shared" si="8"/>
        <v>0</v>
      </c>
      <c r="AQ167" s="10"/>
    </row>
    <row r="168">
      <c r="A168" s="29" t="str">
        <f>'MASTER STOCK'!F165</f>
        <v>t 1/2 dim</v>
      </c>
      <c r="B168" s="30">
        <f>'OKT 25'!AJ168:AJ551</f>
        <v>15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23">
        <f t="shared" si="3"/>
        <v>0</v>
      </c>
      <c r="AI168" s="24">
        <v>0.0</v>
      </c>
      <c r="AJ168" s="32">
        <f t="shared" si="4"/>
        <v>15</v>
      </c>
      <c r="AK168" s="32">
        <f t="shared" si="5"/>
        <v>15</v>
      </c>
      <c r="AL168" s="25">
        <f>'MASTER STOCK'!I165</f>
        <v>2500</v>
      </c>
      <c r="AM168" s="27">
        <f>'MASTER STOCK'!L165</f>
        <v>2500</v>
      </c>
      <c r="AN168" s="27">
        <f t="shared" si="6"/>
        <v>0</v>
      </c>
      <c r="AO168" s="26">
        <f t="shared" si="7"/>
        <v>0</v>
      </c>
      <c r="AP168" s="114">
        <f t="shared" si="8"/>
        <v>0</v>
      </c>
      <c r="AQ168" s="10"/>
    </row>
    <row r="169">
      <c r="A169" s="29" t="str">
        <f>'MASTER STOCK'!F166</f>
        <v>t 1/4 dim</v>
      </c>
      <c r="B169" s="30">
        <f>'OKT 25'!AJ169:AJ552</f>
        <v>5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23">
        <f t="shared" si="3"/>
        <v>0</v>
      </c>
      <c r="AI169" s="24">
        <v>0.0</v>
      </c>
      <c r="AJ169" s="32">
        <f t="shared" si="4"/>
        <v>5</v>
      </c>
      <c r="AK169" s="32">
        <f t="shared" si="5"/>
        <v>5</v>
      </c>
      <c r="AL169" s="25">
        <f>'MASTER STOCK'!I166</f>
        <v>2500</v>
      </c>
      <c r="AM169" s="27">
        <f>'MASTER STOCK'!L166</f>
        <v>2500</v>
      </c>
      <c r="AN169" s="27">
        <f t="shared" si="6"/>
        <v>0</v>
      </c>
      <c r="AO169" s="26">
        <f t="shared" si="7"/>
        <v>0</v>
      </c>
      <c r="AP169" s="114">
        <f t="shared" si="8"/>
        <v>0</v>
      </c>
      <c r="AQ169" s="10"/>
    </row>
    <row r="170">
      <c r="A170" s="29" t="str">
        <f>'MASTER STOCK'!F167</f>
        <v>t 2 dim</v>
      </c>
      <c r="B170" s="30">
        <f>'OKT 25'!AJ170:AJ553</f>
        <v>24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23">
        <f t="shared" si="3"/>
        <v>0</v>
      </c>
      <c r="AI170" s="24">
        <v>0.0</v>
      </c>
      <c r="AJ170" s="32">
        <f t="shared" si="4"/>
        <v>24</v>
      </c>
      <c r="AK170" s="32">
        <f t="shared" si="5"/>
        <v>24</v>
      </c>
      <c r="AL170" s="25">
        <f>'MASTER STOCK'!I167</f>
        <v>5000</v>
      </c>
      <c r="AM170" s="27">
        <f>'MASTER STOCK'!L167</f>
        <v>5000</v>
      </c>
      <c r="AN170" s="27">
        <f t="shared" si="6"/>
        <v>0</v>
      </c>
      <c r="AO170" s="26">
        <f t="shared" si="7"/>
        <v>0</v>
      </c>
      <c r="AP170" s="114">
        <f t="shared" si="8"/>
        <v>0</v>
      </c>
      <c r="AQ170" s="10"/>
    </row>
    <row r="171">
      <c r="A171" s="29" t="str">
        <f>'MASTER STOCK'!F168</f>
        <v>t 3/4 dim</v>
      </c>
      <c r="B171" s="30">
        <f>'OKT 25'!AJ171:AJ554</f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23">
        <f t="shared" si="3"/>
        <v>0</v>
      </c>
      <c r="AI171" s="24">
        <v>0.0</v>
      </c>
      <c r="AJ171" s="32">
        <f t="shared" si="4"/>
        <v>11</v>
      </c>
      <c r="AK171" s="32">
        <f t="shared" si="5"/>
        <v>11</v>
      </c>
      <c r="AL171" s="25">
        <f>'MASTER STOCK'!I168</f>
        <v>3500</v>
      </c>
      <c r="AM171" s="27">
        <f>'MASTER STOCK'!L168</f>
        <v>3500</v>
      </c>
      <c r="AN171" s="27">
        <f t="shared" si="6"/>
        <v>0</v>
      </c>
      <c r="AO171" s="26">
        <f t="shared" si="7"/>
        <v>0</v>
      </c>
      <c r="AP171" s="114">
        <f t="shared" si="8"/>
        <v>0</v>
      </c>
      <c r="AQ171" s="10"/>
    </row>
    <row r="172">
      <c r="A172" s="29" t="str">
        <f>'MASTER STOCK'!F169</f>
        <v>knee 1 1/2</v>
      </c>
      <c r="B172" s="30">
        <f>'OKT 25'!AJ172:AJ555</f>
        <v>10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23">
        <f t="shared" si="3"/>
        <v>0</v>
      </c>
      <c r="AI172" s="24">
        <v>0.0</v>
      </c>
      <c r="AJ172" s="32">
        <f t="shared" si="4"/>
        <v>10</v>
      </c>
      <c r="AK172" s="32">
        <f t="shared" si="5"/>
        <v>10</v>
      </c>
      <c r="AL172" s="25">
        <f>'MASTER STOCK'!I169</f>
        <v>4500</v>
      </c>
      <c r="AM172" s="27">
        <f>'MASTER STOCK'!L169</f>
        <v>4500</v>
      </c>
      <c r="AN172" s="27">
        <f t="shared" si="6"/>
        <v>0</v>
      </c>
      <c r="AO172" s="26">
        <f t="shared" si="7"/>
        <v>0</v>
      </c>
      <c r="AP172" s="114">
        <f t="shared" si="8"/>
        <v>0</v>
      </c>
      <c r="AQ172" s="10"/>
    </row>
    <row r="173">
      <c r="A173" s="29" t="str">
        <f>'MASTER STOCK'!F170</f>
        <v>t drat dalam 1/2 dim</v>
      </c>
      <c r="B173" s="30">
        <f>'OKT 25'!AJ173:AJ556</f>
        <v>10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23">
        <f t="shared" si="3"/>
        <v>0</v>
      </c>
      <c r="AI173" s="24">
        <v>0.0</v>
      </c>
      <c r="AJ173" s="32">
        <f t="shared" si="4"/>
        <v>10</v>
      </c>
      <c r="AK173" s="32">
        <f t="shared" si="5"/>
        <v>10</v>
      </c>
      <c r="AL173" s="25">
        <f>'MASTER STOCK'!I170</f>
        <v>3000</v>
      </c>
      <c r="AM173" s="27">
        <f>'MASTER STOCK'!L170</f>
        <v>3000</v>
      </c>
      <c r="AN173" s="27">
        <f t="shared" si="6"/>
        <v>0</v>
      </c>
      <c r="AO173" s="26">
        <f t="shared" si="7"/>
        <v>0</v>
      </c>
      <c r="AP173" s="114">
        <f t="shared" si="8"/>
        <v>0</v>
      </c>
      <c r="AQ173" s="10"/>
    </row>
    <row r="174">
      <c r="A174" s="29" t="str">
        <f>'MASTER STOCK'!F171</f>
        <v>t drat dalam 3/4</v>
      </c>
      <c r="B174" s="30">
        <f>'OKT 25'!AJ174:AJ557</f>
        <v>7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23">
        <f t="shared" si="3"/>
        <v>0</v>
      </c>
      <c r="AI174" s="24">
        <v>0.0</v>
      </c>
      <c r="AJ174" s="32">
        <f t="shared" si="4"/>
        <v>7</v>
      </c>
      <c r="AK174" s="32">
        <f t="shared" si="5"/>
        <v>7</v>
      </c>
      <c r="AL174" s="25">
        <f>'MASTER STOCK'!I171</f>
        <v>4000</v>
      </c>
      <c r="AM174" s="27">
        <f>'MASTER STOCK'!L171</f>
        <v>4000</v>
      </c>
      <c r="AN174" s="27">
        <f t="shared" si="6"/>
        <v>0</v>
      </c>
      <c r="AO174" s="26">
        <f t="shared" si="7"/>
        <v>0</v>
      </c>
      <c r="AP174" s="114">
        <f t="shared" si="8"/>
        <v>0</v>
      </c>
      <c r="AQ174" s="10"/>
    </row>
    <row r="175">
      <c r="A175" s="29" t="str">
        <f>'MASTER STOCK'!F172</f>
        <v>sok darat luar 1/2</v>
      </c>
      <c r="B175" s="30">
        <f>'OKT 25'!AJ175:AJ558</f>
        <v>12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23">
        <f t="shared" si="3"/>
        <v>0</v>
      </c>
      <c r="AI175" s="24">
        <v>0.0</v>
      </c>
      <c r="AJ175" s="32">
        <f t="shared" si="4"/>
        <v>12</v>
      </c>
      <c r="AK175" s="32">
        <f t="shared" si="5"/>
        <v>12</v>
      </c>
      <c r="AL175" s="25">
        <f>'MASTER STOCK'!I172</f>
        <v>2500</v>
      </c>
      <c r="AM175" s="27">
        <f>'MASTER STOCK'!L172</f>
        <v>2500</v>
      </c>
      <c r="AN175" s="27">
        <f t="shared" si="6"/>
        <v>0</v>
      </c>
      <c r="AO175" s="26">
        <f t="shared" si="7"/>
        <v>0</v>
      </c>
      <c r="AP175" s="114">
        <f t="shared" si="8"/>
        <v>0</v>
      </c>
      <c r="AQ175" s="10"/>
    </row>
    <row r="176">
      <c r="A176" s="29" t="str">
        <f>'MASTER STOCK'!F173</f>
        <v>knee 1 1/4</v>
      </c>
      <c r="B176" s="30">
        <f>'OKT 25'!AJ176:AJ559</f>
        <v>13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23">
        <f t="shared" si="3"/>
        <v>0</v>
      </c>
      <c r="AI176" s="24">
        <v>0.0</v>
      </c>
      <c r="AJ176" s="32">
        <f t="shared" si="4"/>
        <v>13</v>
      </c>
      <c r="AK176" s="32">
        <f t="shared" si="5"/>
        <v>13</v>
      </c>
      <c r="AL176" s="25">
        <f>'MASTER STOCK'!I173</f>
        <v>3500</v>
      </c>
      <c r="AM176" s="27">
        <f>'MASTER STOCK'!L173</f>
        <v>3500</v>
      </c>
      <c r="AN176" s="27">
        <f t="shared" si="6"/>
        <v>0</v>
      </c>
      <c r="AO176" s="26">
        <f t="shared" si="7"/>
        <v>0</v>
      </c>
      <c r="AP176" s="114">
        <f t="shared" si="8"/>
        <v>0</v>
      </c>
      <c r="AQ176" s="10"/>
    </row>
    <row r="177">
      <c r="A177" s="29" t="str">
        <f>'MASTER STOCK'!F174</f>
        <v>sok drat dalam 1/2</v>
      </c>
      <c r="B177" s="30">
        <f>'OKT 25'!AJ177:AJ560</f>
        <v>320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23">
        <f t="shared" si="3"/>
        <v>0</v>
      </c>
      <c r="AI177" s="24">
        <v>0.0</v>
      </c>
      <c r="AJ177" s="32">
        <f t="shared" si="4"/>
        <v>320</v>
      </c>
      <c r="AK177" s="32">
        <f t="shared" si="5"/>
        <v>320</v>
      </c>
      <c r="AL177" s="25">
        <f>'MASTER STOCK'!I174</f>
        <v>930</v>
      </c>
      <c r="AM177" s="27">
        <f>'MASTER STOCK'!L174</f>
        <v>2500</v>
      </c>
      <c r="AN177" s="27">
        <f t="shared" si="6"/>
        <v>0</v>
      </c>
      <c r="AO177" s="26">
        <f t="shared" si="7"/>
        <v>0</v>
      </c>
      <c r="AP177" s="114">
        <f t="shared" si="8"/>
        <v>0</v>
      </c>
      <c r="AQ177" s="10"/>
    </row>
    <row r="178">
      <c r="A178" s="29" t="str">
        <f>'MASTER STOCK'!F175</f>
        <v>sok 1/2</v>
      </c>
      <c r="B178" s="30">
        <f>'OKT 25'!AJ178:AJ561</f>
        <v>350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23">
        <f t="shared" si="3"/>
        <v>0</v>
      </c>
      <c r="AI178" s="24">
        <v>0.0</v>
      </c>
      <c r="AJ178" s="32">
        <f t="shared" si="4"/>
        <v>350</v>
      </c>
      <c r="AK178" s="32">
        <f t="shared" si="5"/>
        <v>350</v>
      </c>
      <c r="AL178" s="25">
        <f>'MASTER STOCK'!I175</f>
        <v>622</v>
      </c>
      <c r="AM178" s="27">
        <f>'MASTER STOCK'!L175</f>
        <v>2000</v>
      </c>
      <c r="AN178" s="27">
        <f t="shared" si="6"/>
        <v>0</v>
      </c>
      <c r="AO178" s="26">
        <f t="shared" si="7"/>
        <v>0</v>
      </c>
      <c r="AP178" s="114">
        <f t="shared" si="8"/>
        <v>0</v>
      </c>
      <c r="AQ178" s="10"/>
    </row>
    <row r="179">
      <c r="A179" s="29" t="str">
        <f>'MASTER STOCK'!F176</f>
        <v>sok 3/4</v>
      </c>
      <c r="B179" s="30">
        <f>'OKT 25'!AJ179:AJ562</f>
        <v>342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22"/>
      <c r="M179" s="10"/>
      <c r="N179" s="22">
        <v>2.0</v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22">
        <v>1.0</v>
      </c>
      <c r="AA179" s="10"/>
      <c r="AB179" s="10"/>
      <c r="AC179" s="10"/>
      <c r="AD179" s="10"/>
      <c r="AE179" s="10"/>
      <c r="AF179" s="22"/>
      <c r="AG179" s="22"/>
      <c r="AH179" s="23">
        <f t="shared" si="3"/>
        <v>3</v>
      </c>
      <c r="AI179" s="24">
        <v>0.0</v>
      </c>
      <c r="AJ179" s="32">
        <f t="shared" si="4"/>
        <v>339</v>
      </c>
      <c r="AK179" s="32">
        <f t="shared" si="5"/>
        <v>339</v>
      </c>
      <c r="AL179" s="25">
        <f>'MASTER STOCK'!I176</f>
        <v>835</v>
      </c>
      <c r="AM179" s="27">
        <f>'MASTER STOCK'!L176</f>
        <v>3000</v>
      </c>
      <c r="AN179" s="27">
        <f t="shared" si="6"/>
        <v>9000</v>
      </c>
      <c r="AO179" s="26">
        <f t="shared" si="7"/>
        <v>6495</v>
      </c>
      <c r="AP179" s="114">
        <f t="shared" si="8"/>
        <v>2505</v>
      </c>
      <c r="AQ179" s="10"/>
    </row>
    <row r="180">
      <c r="A180" s="29" t="str">
        <f>'MASTER STOCK'!F177</f>
        <v>sok 1 1/2</v>
      </c>
      <c r="B180" s="30">
        <f>'OKT 25'!AJ180:AJ563</f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23">
        <f t="shared" si="3"/>
        <v>0</v>
      </c>
      <c r="AI180" s="24">
        <v>0.0</v>
      </c>
      <c r="AJ180" s="32">
        <f t="shared" si="4"/>
        <v>11</v>
      </c>
      <c r="AK180" s="32">
        <f t="shared" si="5"/>
        <v>11</v>
      </c>
      <c r="AL180" s="25">
        <f>'MASTER STOCK'!I177</f>
        <v>3500</v>
      </c>
      <c r="AM180" s="27">
        <f>'MASTER STOCK'!L177</f>
        <v>3500</v>
      </c>
      <c r="AN180" s="27">
        <f t="shared" si="6"/>
        <v>0</v>
      </c>
      <c r="AO180" s="26">
        <f t="shared" si="7"/>
        <v>0</v>
      </c>
      <c r="AP180" s="114">
        <f t="shared" si="8"/>
        <v>0</v>
      </c>
      <c r="AQ180" s="10"/>
    </row>
    <row r="181">
      <c r="A181" s="29" t="str">
        <f>'MASTER STOCK'!F178</f>
        <v>sok 2</v>
      </c>
      <c r="B181" s="30">
        <f>'OKT 25'!AJ181:AJ564</f>
        <v>8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22">
        <v>2.0</v>
      </c>
      <c r="AE181" s="10"/>
      <c r="AF181" s="10"/>
      <c r="AG181" s="10"/>
      <c r="AH181" s="23">
        <f t="shared" si="3"/>
        <v>2</v>
      </c>
      <c r="AI181" s="24">
        <v>0.0</v>
      </c>
      <c r="AJ181" s="32">
        <f t="shared" si="4"/>
        <v>6</v>
      </c>
      <c r="AK181" s="32">
        <f t="shared" si="5"/>
        <v>6</v>
      </c>
      <c r="AL181" s="25">
        <f>'MASTER STOCK'!I178</f>
        <v>2000</v>
      </c>
      <c r="AM181" s="27">
        <f>'MASTER STOCK'!L178</f>
        <v>2000</v>
      </c>
      <c r="AN181" s="27">
        <f t="shared" si="6"/>
        <v>4000</v>
      </c>
      <c r="AO181" s="26">
        <f t="shared" si="7"/>
        <v>0</v>
      </c>
      <c r="AP181" s="114">
        <f t="shared" si="8"/>
        <v>4000</v>
      </c>
      <c r="AQ181" s="10"/>
    </row>
    <row r="182">
      <c r="A182" s="29" t="str">
        <f>'MASTER STOCK'!F179</f>
        <v>sok 1 1/4</v>
      </c>
      <c r="B182" s="30">
        <f>'OKT 25'!AJ182:AJ565</f>
        <v>17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23">
        <f t="shared" si="3"/>
        <v>0</v>
      </c>
      <c r="AI182" s="24">
        <v>0.0</v>
      </c>
      <c r="AJ182" s="32">
        <f t="shared" si="4"/>
        <v>17</v>
      </c>
      <c r="AK182" s="32">
        <f t="shared" si="5"/>
        <v>17</v>
      </c>
      <c r="AL182" s="25">
        <f>'MASTER STOCK'!I179</f>
        <v>3500</v>
      </c>
      <c r="AM182" s="27">
        <f>'MASTER STOCK'!L179</f>
        <v>3500</v>
      </c>
      <c r="AN182" s="27">
        <f t="shared" si="6"/>
        <v>0</v>
      </c>
      <c r="AO182" s="26">
        <f t="shared" si="7"/>
        <v>0</v>
      </c>
      <c r="AP182" s="114">
        <f t="shared" si="8"/>
        <v>0</v>
      </c>
      <c r="AQ182" s="10"/>
    </row>
    <row r="183">
      <c r="A183" s="29" t="str">
        <f>'MASTER STOCK'!F180</f>
        <v>sok 3</v>
      </c>
      <c r="B183" s="30">
        <f>'OKT 25'!AJ183:AJ566</f>
        <v>8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23">
        <f t="shared" si="3"/>
        <v>0</v>
      </c>
      <c r="AI183" s="24">
        <v>0.0</v>
      </c>
      <c r="AJ183" s="32">
        <f t="shared" si="4"/>
        <v>8</v>
      </c>
      <c r="AK183" s="32">
        <f t="shared" si="5"/>
        <v>8</v>
      </c>
      <c r="AL183" s="25">
        <f>'MASTER STOCK'!I180</f>
        <v>7500</v>
      </c>
      <c r="AM183" s="27">
        <f>'MASTER STOCK'!L180</f>
        <v>7500</v>
      </c>
      <c r="AN183" s="27">
        <f t="shared" si="6"/>
        <v>0</v>
      </c>
      <c r="AO183" s="26">
        <f t="shared" si="7"/>
        <v>0</v>
      </c>
      <c r="AP183" s="114">
        <f t="shared" si="8"/>
        <v>0</v>
      </c>
      <c r="AQ183" s="10"/>
    </row>
    <row r="184">
      <c r="A184" s="29" t="str">
        <f>'MASTER STOCK'!F181</f>
        <v>sok drat dalam 1</v>
      </c>
      <c r="B184" s="30">
        <f>'OKT 25'!AJ184:AJ567</f>
        <v>9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23">
        <f t="shared" si="3"/>
        <v>0</v>
      </c>
      <c r="AI184" s="24">
        <v>0.0</v>
      </c>
      <c r="AJ184" s="32">
        <f t="shared" si="4"/>
        <v>9</v>
      </c>
      <c r="AK184" s="32">
        <f t="shared" si="5"/>
        <v>9</v>
      </c>
      <c r="AL184" s="25">
        <f>'MASTER STOCK'!I181</f>
        <v>3500</v>
      </c>
      <c r="AM184" s="27">
        <f>'MASTER STOCK'!L181</f>
        <v>3500</v>
      </c>
      <c r="AN184" s="27">
        <f t="shared" si="6"/>
        <v>0</v>
      </c>
      <c r="AO184" s="26">
        <f t="shared" si="7"/>
        <v>0</v>
      </c>
      <c r="AP184" s="114">
        <f t="shared" si="8"/>
        <v>0</v>
      </c>
      <c r="AQ184" s="10"/>
    </row>
    <row r="185">
      <c r="A185" s="29" t="str">
        <f>'MASTER STOCK'!F182</f>
        <v>sok drat dalam 3/4</v>
      </c>
      <c r="B185" s="30">
        <f>'OKT 25'!AJ185:AJ568</f>
        <v>5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23">
        <f t="shared" si="3"/>
        <v>0</v>
      </c>
      <c r="AI185" s="24">
        <v>0.0</v>
      </c>
      <c r="AJ185" s="32">
        <f t="shared" si="4"/>
        <v>5</v>
      </c>
      <c r="AK185" s="32">
        <f t="shared" si="5"/>
        <v>5</v>
      </c>
      <c r="AL185" s="25">
        <f>'MASTER STOCK'!I182</f>
        <v>4000</v>
      </c>
      <c r="AM185" s="27">
        <f>'MASTER STOCK'!L182</f>
        <v>4000</v>
      </c>
      <c r="AN185" s="27">
        <f t="shared" si="6"/>
        <v>0</v>
      </c>
      <c r="AO185" s="26">
        <f t="shared" si="7"/>
        <v>0</v>
      </c>
      <c r="AP185" s="114">
        <f t="shared" si="8"/>
        <v>0</v>
      </c>
      <c r="AQ185" s="10"/>
    </row>
    <row r="186">
      <c r="A186" s="29" t="str">
        <f>'MASTER STOCK'!F183</f>
        <v>sok drat luar 3/4</v>
      </c>
      <c r="B186" s="30">
        <f>'OKT 25'!AJ186:AJ569</f>
        <v>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22">
        <v>1.0</v>
      </c>
      <c r="AA186" s="10"/>
      <c r="AB186" s="10"/>
      <c r="AC186" s="10"/>
      <c r="AD186" s="10"/>
      <c r="AE186" s="10"/>
      <c r="AF186" s="10"/>
      <c r="AG186" s="10"/>
      <c r="AH186" s="23">
        <f t="shared" si="3"/>
        <v>1</v>
      </c>
      <c r="AI186" s="24">
        <v>0.0</v>
      </c>
      <c r="AJ186" s="32">
        <f t="shared" si="4"/>
        <v>6</v>
      </c>
      <c r="AK186" s="32">
        <f t="shared" si="5"/>
        <v>6</v>
      </c>
      <c r="AL186" s="25">
        <f>'MASTER STOCK'!I183</f>
        <v>3000</v>
      </c>
      <c r="AM186" s="27">
        <f>'MASTER STOCK'!L183</f>
        <v>3000</v>
      </c>
      <c r="AN186" s="27">
        <f t="shared" si="6"/>
        <v>3000</v>
      </c>
      <c r="AO186" s="26">
        <f t="shared" si="7"/>
        <v>0</v>
      </c>
      <c r="AP186" s="114">
        <f t="shared" si="8"/>
        <v>3000</v>
      </c>
      <c r="AQ186" s="10"/>
    </row>
    <row r="187">
      <c r="A187" s="29" t="str">
        <f>'MASTER STOCK'!F184</f>
        <v>overlup 1 x 3/4</v>
      </c>
      <c r="B187" s="30">
        <f>'OKT 25'!AJ187:AJ570</f>
        <v>26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23">
        <f t="shared" si="3"/>
        <v>0</v>
      </c>
      <c r="AI187" s="24">
        <v>0.0</v>
      </c>
      <c r="AJ187" s="32">
        <f t="shared" si="4"/>
        <v>26</v>
      </c>
      <c r="AK187" s="32">
        <f t="shared" si="5"/>
        <v>26</v>
      </c>
      <c r="AL187" s="25">
        <f>'MASTER STOCK'!I184</f>
        <v>2500</v>
      </c>
      <c r="AM187" s="27">
        <f>'MASTER STOCK'!L184</f>
        <v>2500</v>
      </c>
      <c r="AN187" s="27">
        <f t="shared" si="6"/>
        <v>0</v>
      </c>
      <c r="AO187" s="26">
        <f t="shared" si="7"/>
        <v>0</v>
      </c>
      <c r="AP187" s="114">
        <f t="shared" si="8"/>
        <v>0</v>
      </c>
      <c r="AQ187" s="10"/>
    </row>
    <row r="188">
      <c r="A188" s="29" t="str">
        <f>'MASTER STOCK'!F185</f>
        <v>sok drat dalam 3/4 x 1/2</v>
      </c>
      <c r="B188" s="30">
        <f>'OKT 25'!AJ188:AJ571</f>
        <v>6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23">
        <f t="shared" si="3"/>
        <v>0</v>
      </c>
      <c r="AI188" s="24">
        <v>0.0</v>
      </c>
      <c r="AJ188" s="32">
        <f t="shared" si="4"/>
        <v>6</v>
      </c>
      <c r="AK188" s="32">
        <f t="shared" si="5"/>
        <v>6</v>
      </c>
      <c r="AL188" s="25">
        <f>'MASTER STOCK'!I185</f>
        <v>3000</v>
      </c>
      <c r="AM188" s="27">
        <f>'MASTER STOCK'!L185</f>
        <v>3000</v>
      </c>
      <c r="AN188" s="27">
        <f t="shared" si="6"/>
        <v>0</v>
      </c>
      <c r="AO188" s="26">
        <f t="shared" si="7"/>
        <v>0</v>
      </c>
      <c r="AP188" s="114">
        <f t="shared" si="8"/>
        <v>0</v>
      </c>
      <c r="AQ188" s="10"/>
    </row>
    <row r="189">
      <c r="A189" s="29" t="str">
        <f>'MASTER STOCK'!F186</f>
        <v>overlup 2 x 1</v>
      </c>
      <c r="B189" s="30">
        <f>'OKT 25'!AJ189:AJ572</f>
        <v>13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23">
        <f t="shared" si="3"/>
        <v>0</v>
      </c>
      <c r="AI189" s="24">
        <v>0.0</v>
      </c>
      <c r="AJ189" s="32">
        <f t="shared" si="4"/>
        <v>13</v>
      </c>
      <c r="AK189" s="32">
        <f t="shared" si="5"/>
        <v>13</v>
      </c>
      <c r="AL189" s="25">
        <f>'MASTER STOCK'!I186</f>
        <v>7500</v>
      </c>
      <c r="AM189" s="27">
        <f>'MASTER STOCK'!L186</f>
        <v>7500</v>
      </c>
      <c r="AN189" s="27">
        <f t="shared" si="6"/>
        <v>0</v>
      </c>
      <c r="AO189" s="26">
        <f t="shared" si="7"/>
        <v>0</v>
      </c>
      <c r="AP189" s="114">
        <f t="shared" si="8"/>
        <v>0</v>
      </c>
      <c r="AQ189" s="10"/>
    </row>
    <row r="190">
      <c r="A190" s="29" t="str">
        <f>'MASTER STOCK'!F187</f>
        <v>overlup 2 x 1 1/2</v>
      </c>
      <c r="B190" s="30">
        <f>'OKT 25'!AJ190:AJ573</f>
        <v>5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23">
        <f t="shared" si="3"/>
        <v>0</v>
      </c>
      <c r="AI190" s="24">
        <v>0.0</v>
      </c>
      <c r="AJ190" s="32">
        <f t="shared" si="4"/>
        <v>5</v>
      </c>
      <c r="AK190" s="32">
        <f t="shared" si="5"/>
        <v>5</v>
      </c>
      <c r="AL190" s="25">
        <f>'MASTER STOCK'!I187</f>
        <v>5500</v>
      </c>
      <c r="AM190" s="27">
        <f>'MASTER STOCK'!L187</f>
        <v>5500</v>
      </c>
      <c r="AN190" s="27">
        <f t="shared" si="6"/>
        <v>0</v>
      </c>
      <c r="AO190" s="26">
        <f t="shared" si="7"/>
        <v>0</v>
      </c>
      <c r="AP190" s="114">
        <f t="shared" si="8"/>
        <v>0</v>
      </c>
      <c r="AQ190" s="10"/>
    </row>
    <row r="191">
      <c r="A191" s="29" t="str">
        <f>'MASTER STOCK'!F188</f>
        <v>overlup 1 x 1 1/2</v>
      </c>
      <c r="B191" s="30">
        <f>'OKT 25'!AJ191:AJ574</f>
        <v>5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23">
        <f t="shared" si="3"/>
        <v>0</v>
      </c>
      <c r="AI191" s="24">
        <v>0.0</v>
      </c>
      <c r="AJ191" s="32">
        <f t="shared" si="4"/>
        <v>5</v>
      </c>
      <c r="AK191" s="32">
        <f t="shared" si="5"/>
        <v>5</v>
      </c>
      <c r="AL191" s="25">
        <f>'MASTER STOCK'!I188</f>
        <v>6500</v>
      </c>
      <c r="AM191" s="27">
        <f>'MASTER STOCK'!L188</f>
        <v>6500</v>
      </c>
      <c r="AN191" s="27">
        <f t="shared" si="6"/>
        <v>0</v>
      </c>
      <c r="AO191" s="26">
        <f t="shared" si="7"/>
        <v>0</v>
      </c>
      <c r="AP191" s="114">
        <f t="shared" si="8"/>
        <v>0</v>
      </c>
      <c r="AQ191" s="10"/>
    </row>
    <row r="192">
      <c r="A192" s="29" t="str">
        <f>'MASTER STOCK'!F189</f>
        <v>overlup 2 x 2 1/2</v>
      </c>
      <c r="B192" s="30">
        <f>'OKT 25'!AJ192:AJ575</f>
        <v>3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23">
        <f t="shared" si="3"/>
        <v>0</v>
      </c>
      <c r="AI192" s="24">
        <v>0.0</v>
      </c>
      <c r="AJ192" s="32">
        <f t="shared" si="4"/>
        <v>3</v>
      </c>
      <c r="AK192" s="32">
        <f t="shared" si="5"/>
        <v>3</v>
      </c>
      <c r="AL192" s="25">
        <f>'MASTER STOCK'!I189</f>
        <v>8000</v>
      </c>
      <c r="AM192" s="27">
        <f>'MASTER STOCK'!L189</f>
        <v>8000</v>
      </c>
      <c r="AN192" s="27">
        <f t="shared" si="6"/>
        <v>0</v>
      </c>
      <c r="AO192" s="26">
        <f t="shared" si="7"/>
        <v>0</v>
      </c>
      <c r="AP192" s="114">
        <f t="shared" si="8"/>
        <v>0</v>
      </c>
      <c r="AQ192" s="10"/>
    </row>
    <row r="193">
      <c r="A193" s="29" t="str">
        <f>'MASTER STOCK'!F190</f>
        <v>t  3/4 x 1</v>
      </c>
      <c r="B193" s="30">
        <f>'OKT 25'!AJ193:AJ576</f>
        <v>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23">
        <f t="shared" si="3"/>
        <v>0</v>
      </c>
      <c r="AI193" s="24">
        <v>0.0</v>
      </c>
      <c r="AJ193" s="32">
        <f t="shared" si="4"/>
        <v>1</v>
      </c>
      <c r="AK193" s="32">
        <f t="shared" si="5"/>
        <v>1</v>
      </c>
      <c r="AL193" s="25">
        <f>'MASTER STOCK'!I190</f>
        <v>3500</v>
      </c>
      <c r="AM193" s="27">
        <f>'MASTER STOCK'!L190</f>
        <v>3500</v>
      </c>
      <c r="AN193" s="27">
        <f t="shared" si="6"/>
        <v>0</v>
      </c>
      <c r="AO193" s="26">
        <f t="shared" si="7"/>
        <v>0</v>
      </c>
      <c r="AP193" s="114">
        <f t="shared" si="8"/>
        <v>0</v>
      </c>
      <c r="AQ193" s="10"/>
    </row>
    <row r="194">
      <c r="A194" s="29" t="str">
        <f>'MASTER STOCK'!F191</f>
        <v>knee 2 1/2</v>
      </c>
      <c r="B194" s="30">
        <f>'OKT 25'!AJ194:AJ577</f>
        <v>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23">
        <f t="shared" si="3"/>
        <v>0</v>
      </c>
      <c r="AI194" s="24">
        <v>0.0</v>
      </c>
      <c r="AJ194" s="32">
        <f t="shared" si="4"/>
        <v>8</v>
      </c>
      <c r="AK194" s="32">
        <f t="shared" si="5"/>
        <v>8</v>
      </c>
      <c r="AL194" s="25">
        <f>'MASTER STOCK'!I191</f>
        <v>7500</v>
      </c>
      <c r="AM194" s="27">
        <f>'MASTER STOCK'!L191</f>
        <v>7500</v>
      </c>
      <c r="AN194" s="27">
        <f t="shared" si="6"/>
        <v>0</v>
      </c>
      <c r="AO194" s="26">
        <f t="shared" si="7"/>
        <v>0</v>
      </c>
      <c r="AP194" s="114">
        <f t="shared" si="8"/>
        <v>0</v>
      </c>
      <c r="AQ194" s="10"/>
    </row>
    <row r="195">
      <c r="A195" s="29" t="str">
        <f>'MASTER STOCK'!F192</f>
        <v>sok 4</v>
      </c>
      <c r="B195" s="30">
        <f>'OKT 25'!AJ195:AJ578</f>
        <v>22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23">
        <f t="shared" si="3"/>
        <v>0</v>
      </c>
      <c r="AI195" s="24">
        <v>0.0</v>
      </c>
      <c r="AJ195" s="32">
        <f t="shared" si="4"/>
        <v>22</v>
      </c>
      <c r="AK195" s="32">
        <f t="shared" si="5"/>
        <v>22</v>
      </c>
      <c r="AL195" s="25">
        <f>'MASTER STOCK'!I192</f>
        <v>9000</v>
      </c>
      <c r="AM195" s="27">
        <f>'MASTER STOCK'!L192</f>
        <v>9000</v>
      </c>
      <c r="AN195" s="27">
        <f t="shared" si="6"/>
        <v>0</v>
      </c>
      <c r="AO195" s="26">
        <f t="shared" si="7"/>
        <v>0</v>
      </c>
      <c r="AP195" s="114">
        <f t="shared" si="8"/>
        <v>0</v>
      </c>
      <c r="AQ195" s="10"/>
    </row>
    <row r="196">
      <c r="A196" s="29" t="str">
        <f>'MASTER STOCK'!F193</f>
        <v>sok 2 1/2</v>
      </c>
      <c r="B196" s="30">
        <f>'OKT 25'!AJ196:AJ579</f>
        <v>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23">
        <f t="shared" si="3"/>
        <v>0</v>
      </c>
      <c r="AI196" s="24">
        <v>0.0</v>
      </c>
      <c r="AJ196" s="32">
        <f t="shared" si="4"/>
        <v>2</v>
      </c>
      <c r="AK196" s="32">
        <f t="shared" si="5"/>
        <v>2</v>
      </c>
      <c r="AL196" s="25">
        <f>'MASTER STOCK'!I193</f>
        <v>5500</v>
      </c>
      <c r="AM196" s="27">
        <f>'MASTER STOCK'!L193</f>
        <v>5500</v>
      </c>
      <c r="AN196" s="27">
        <f t="shared" si="6"/>
        <v>0</v>
      </c>
      <c r="AO196" s="26">
        <f t="shared" si="7"/>
        <v>0</v>
      </c>
      <c r="AP196" s="114">
        <f t="shared" si="8"/>
        <v>0</v>
      </c>
      <c r="AQ196" s="10"/>
    </row>
    <row r="197">
      <c r="A197" s="29" t="str">
        <f>'MASTER STOCK'!F194</f>
        <v>sok drat luar 2</v>
      </c>
      <c r="B197" s="30">
        <f>'OKT 25'!AJ197:AJ580</f>
        <v>5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23">
        <f t="shared" si="3"/>
        <v>0</v>
      </c>
      <c r="AI197" s="24">
        <v>0.0</v>
      </c>
      <c r="AJ197" s="32">
        <f t="shared" si="4"/>
        <v>5</v>
      </c>
      <c r="AK197" s="32">
        <f t="shared" si="5"/>
        <v>5</v>
      </c>
      <c r="AL197" s="25">
        <f>'MASTER STOCK'!I194</f>
        <v>7500</v>
      </c>
      <c r="AM197" s="27">
        <f>'MASTER STOCK'!L194</f>
        <v>7500</v>
      </c>
      <c r="AN197" s="27">
        <f t="shared" si="6"/>
        <v>0</v>
      </c>
      <c r="AO197" s="26">
        <f t="shared" si="7"/>
        <v>0</v>
      </c>
      <c r="AP197" s="114">
        <f t="shared" si="8"/>
        <v>0</v>
      </c>
      <c r="AQ197" s="10"/>
    </row>
    <row r="198">
      <c r="A198" s="29" t="str">
        <f>'MASTER STOCK'!F195</f>
        <v>t 4</v>
      </c>
      <c r="B198" s="30">
        <f>'OKT 25'!AJ198:AJ581</f>
        <v>10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23">
        <f t="shared" si="3"/>
        <v>0</v>
      </c>
      <c r="AI198" s="24">
        <v>0.0</v>
      </c>
      <c r="AJ198" s="32">
        <f t="shared" si="4"/>
        <v>10</v>
      </c>
      <c r="AK198" s="32">
        <f t="shared" si="5"/>
        <v>10</v>
      </c>
      <c r="AL198" s="25">
        <f>'MASTER STOCK'!I195</f>
        <v>16500</v>
      </c>
      <c r="AM198" s="27">
        <f>'MASTER STOCK'!L195</f>
        <v>16500</v>
      </c>
      <c r="AN198" s="27">
        <f t="shared" si="6"/>
        <v>0</v>
      </c>
      <c r="AO198" s="26">
        <f t="shared" si="7"/>
        <v>0</v>
      </c>
      <c r="AP198" s="114">
        <f t="shared" si="8"/>
        <v>0</v>
      </c>
      <c r="AQ198" s="10"/>
    </row>
    <row r="199">
      <c r="A199" s="29" t="str">
        <f>'MASTER STOCK'!F196</f>
        <v>t 3</v>
      </c>
      <c r="B199" s="30">
        <f>'OKT 25'!AJ199:AJ582</f>
        <v>7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23">
        <f t="shared" si="3"/>
        <v>0</v>
      </c>
      <c r="AI199" s="24">
        <v>0.0</v>
      </c>
      <c r="AJ199" s="32">
        <f t="shared" si="4"/>
        <v>7</v>
      </c>
      <c r="AK199" s="32">
        <f t="shared" si="5"/>
        <v>7</v>
      </c>
      <c r="AL199" s="25">
        <f>'MASTER STOCK'!I196</f>
        <v>10000</v>
      </c>
      <c r="AM199" s="27">
        <f>'MASTER STOCK'!L196</f>
        <v>10000</v>
      </c>
      <c r="AN199" s="27">
        <f t="shared" si="6"/>
        <v>0</v>
      </c>
      <c r="AO199" s="26">
        <f t="shared" si="7"/>
        <v>0</v>
      </c>
      <c r="AP199" s="114">
        <f t="shared" si="8"/>
        <v>0</v>
      </c>
      <c r="AQ199" s="10"/>
    </row>
    <row r="200">
      <c r="A200" s="29" t="str">
        <f>'MASTER STOCK'!F197</f>
        <v>knee 4</v>
      </c>
      <c r="B200" s="30">
        <f>'OKT 25'!AJ200:AJ583</f>
        <v>13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23">
        <f t="shared" si="3"/>
        <v>0</v>
      </c>
      <c r="AI200" s="24">
        <v>0.0</v>
      </c>
      <c r="AJ200" s="32">
        <f t="shared" si="4"/>
        <v>13</v>
      </c>
      <c r="AK200" s="32">
        <f t="shared" si="5"/>
        <v>13</v>
      </c>
      <c r="AL200" s="25">
        <f>'MASTER STOCK'!I197</f>
        <v>14000</v>
      </c>
      <c r="AM200" s="27">
        <f>'MASTER STOCK'!L197</f>
        <v>14000</v>
      </c>
      <c r="AN200" s="27">
        <f t="shared" si="6"/>
        <v>0</v>
      </c>
      <c r="AO200" s="26">
        <f t="shared" si="7"/>
        <v>0</v>
      </c>
      <c r="AP200" s="114">
        <f t="shared" si="8"/>
        <v>0</v>
      </c>
      <c r="AQ200" s="10"/>
    </row>
    <row r="201">
      <c r="A201" s="29" t="str">
        <f>'MASTER STOCK'!F198</f>
        <v>overlup 4 x 2 1/2</v>
      </c>
      <c r="B201" s="30">
        <f>'OKT 25'!AJ201:AJ584</f>
        <v>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23">
        <f t="shared" si="3"/>
        <v>0</v>
      </c>
      <c r="AI201" s="24">
        <v>0.0</v>
      </c>
      <c r="AJ201" s="32">
        <f t="shared" si="4"/>
        <v>1</v>
      </c>
      <c r="AK201" s="32">
        <f t="shared" si="5"/>
        <v>1</v>
      </c>
      <c r="AL201" s="25">
        <f>'MASTER STOCK'!I198</f>
        <v>12000</v>
      </c>
      <c r="AM201" s="27">
        <f>'MASTER STOCK'!L198</f>
        <v>12000</v>
      </c>
      <c r="AN201" s="27">
        <f t="shared" si="6"/>
        <v>0</v>
      </c>
      <c r="AO201" s="26">
        <f t="shared" si="7"/>
        <v>0</v>
      </c>
      <c r="AP201" s="114">
        <f t="shared" si="8"/>
        <v>0</v>
      </c>
      <c r="AQ201" s="10"/>
    </row>
    <row r="202">
      <c r="A202" s="29" t="str">
        <f>'MASTER STOCK'!F199</f>
        <v>overlup 4 x 3</v>
      </c>
      <c r="B202" s="30">
        <f>'OKT 25'!AJ202:AJ585</f>
        <v>2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23">
        <f t="shared" si="3"/>
        <v>0</v>
      </c>
      <c r="AI202" s="24">
        <v>0.0</v>
      </c>
      <c r="AJ202" s="32">
        <f t="shared" si="4"/>
        <v>2</v>
      </c>
      <c r="AK202" s="32">
        <f t="shared" si="5"/>
        <v>2</v>
      </c>
      <c r="AL202" s="25">
        <f>'MASTER STOCK'!I199</f>
        <v>12500</v>
      </c>
      <c r="AM202" s="27">
        <f>'MASTER STOCK'!L199</f>
        <v>12500</v>
      </c>
      <c r="AN202" s="27">
        <f t="shared" si="6"/>
        <v>0</v>
      </c>
      <c r="AO202" s="26">
        <f t="shared" si="7"/>
        <v>0</v>
      </c>
      <c r="AP202" s="114">
        <f t="shared" si="8"/>
        <v>0</v>
      </c>
      <c r="AQ202" s="10"/>
    </row>
    <row r="203">
      <c r="A203" s="29" t="str">
        <f>'MASTER STOCK'!F200</f>
        <v>knee 3</v>
      </c>
      <c r="B203" s="30">
        <f>'OKT 25'!AJ203:AJ586</f>
        <v>6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23">
        <f t="shared" si="3"/>
        <v>0</v>
      </c>
      <c r="AI203" s="24">
        <v>0.0</v>
      </c>
      <c r="AJ203" s="32">
        <f t="shared" si="4"/>
        <v>6</v>
      </c>
      <c r="AK203" s="32">
        <f t="shared" si="5"/>
        <v>6</v>
      </c>
      <c r="AL203" s="25">
        <f>'MASTER STOCK'!I200</f>
        <v>10000</v>
      </c>
      <c r="AM203" s="27">
        <f>'MASTER STOCK'!L200</f>
        <v>10000</v>
      </c>
      <c r="AN203" s="27">
        <f t="shared" si="6"/>
        <v>0</v>
      </c>
      <c r="AO203" s="26">
        <f t="shared" si="7"/>
        <v>0</v>
      </c>
      <c r="AP203" s="114">
        <f t="shared" si="8"/>
        <v>0</v>
      </c>
      <c r="AQ203" s="10"/>
    </row>
    <row r="204">
      <c r="A204" s="29" t="str">
        <f>'MASTER STOCK'!F201</f>
        <v>tutup pipa 3</v>
      </c>
      <c r="B204" s="30">
        <f>'OKT 25'!AJ204:AJ587</f>
        <v>4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23">
        <f t="shared" si="3"/>
        <v>0</v>
      </c>
      <c r="AI204" s="24">
        <v>0.0</v>
      </c>
      <c r="AJ204" s="32">
        <f t="shared" si="4"/>
        <v>4</v>
      </c>
      <c r="AK204" s="32">
        <f t="shared" si="5"/>
        <v>4</v>
      </c>
      <c r="AL204" s="25">
        <f>'MASTER STOCK'!I201</f>
        <v>8500</v>
      </c>
      <c r="AM204" s="27">
        <f>'MASTER STOCK'!L201</f>
        <v>8500</v>
      </c>
      <c r="AN204" s="27">
        <f t="shared" si="6"/>
        <v>0</v>
      </c>
      <c r="AO204" s="26">
        <f t="shared" si="7"/>
        <v>0</v>
      </c>
      <c r="AP204" s="114">
        <f t="shared" si="8"/>
        <v>0</v>
      </c>
      <c r="AQ204" s="10"/>
    </row>
    <row r="205">
      <c r="A205" s="29" t="str">
        <f>'MASTER STOCK'!F202</f>
        <v>tutup pipa 4</v>
      </c>
      <c r="B205" s="30">
        <f>'OKT 25'!AJ205:AJ588</f>
        <v>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23">
        <f t="shared" si="3"/>
        <v>0</v>
      </c>
      <c r="AI205" s="24">
        <v>0.0</v>
      </c>
      <c r="AJ205" s="32">
        <f t="shared" si="4"/>
        <v>1</v>
      </c>
      <c r="AK205" s="32">
        <f t="shared" si="5"/>
        <v>1</v>
      </c>
      <c r="AL205" s="25">
        <f>'MASTER STOCK'!I202</f>
        <v>9500</v>
      </c>
      <c r="AM205" s="27">
        <f>'MASTER STOCK'!L202</f>
        <v>9500</v>
      </c>
      <c r="AN205" s="27">
        <f t="shared" si="6"/>
        <v>0</v>
      </c>
      <c r="AO205" s="26">
        <f t="shared" si="7"/>
        <v>0</v>
      </c>
      <c r="AP205" s="114">
        <f t="shared" si="8"/>
        <v>0</v>
      </c>
      <c r="AQ205" s="10"/>
    </row>
    <row r="206">
      <c r="A206" s="29" t="str">
        <f>'MASTER STOCK'!F203</f>
        <v>tutup pipa 2 1/2</v>
      </c>
      <c r="B206" s="30">
        <f>'OKT 25'!AJ206:AJ589</f>
        <v>2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23">
        <f t="shared" si="3"/>
        <v>0</v>
      </c>
      <c r="AI206" s="24">
        <v>0.0</v>
      </c>
      <c r="AJ206" s="32">
        <f t="shared" si="4"/>
        <v>2</v>
      </c>
      <c r="AK206" s="32">
        <f t="shared" si="5"/>
        <v>2</v>
      </c>
      <c r="AL206" s="25">
        <f>'MASTER STOCK'!I203</f>
        <v>6500</v>
      </c>
      <c r="AM206" s="27">
        <f>'MASTER STOCK'!L203</f>
        <v>6500</v>
      </c>
      <c r="AN206" s="27">
        <f t="shared" si="6"/>
        <v>0</v>
      </c>
      <c r="AO206" s="26">
        <f t="shared" si="7"/>
        <v>0</v>
      </c>
      <c r="AP206" s="114">
        <f t="shared" si="8"/>
        <v>0</v>
      </c>
      <c r="AQ206" s="10"/>
    </row>
    <row r="207">
      <c r="A207" s="29" t="str">
        <f>'MASTER STOCK'!F204</f>
        <v>tutup pipa 2</v>
      </c>
      <c r="B207" s="30">
        <f>'OKT 25'!AJ207:AJ590</f>
        <v>2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23">
        <f t="shared" si="3"/>
        <v>0</v>
      </c>
      <c r="AI207" s="24">
        <v>0.0</v>
      </c>
      <c r="AJ207" s="32">
        <f t="shared" si="4"/>
        <v>2</v>
      </c>
      <c r="AK207" s="32">
        <f t="shared" si="5"/>
        <v>2</v>
      </c>
      <c r="AL207" s="25">
        <f>'MASTER STOCK'!I204</f>
        <v>6000</v>
      </c>
      <c r="AM207" s="27">
        <f>'MASTER STOCK'!L204</f>
        <v>6000</v>
      </c>
      <c r="AN207" s="27">
        <f t="shared" si="6"/>
        <v>0</v>
      </c>
      <c r="AO207" s="26">
        <f t="shared" si="7"/>
        <v>0</v>
      </c>
      <c r="AP207" s="114">
        <f t="shared" si="8"/>
        <v>0</v>
      </c>
      <c r="AQ207" s="10"/>
    </row>
    <row r="208">
      <c r="A208" s="29" t="str">
        <f>'MASTER STOCK'!F205</f>
        <v>pipa 1/2</v>
      </c>
      <c r="B208" s="30">
        <f>'OKT 25'!AJ208:AJ591</f>
        <v>3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23">
        <f t="shared" si="3"/>
        <v>0</v>
      </c>
      <c r="AI208" s="24">
        <v>0.0</v>
      </c>
      <c r="AJ208" s="32">
        <f t="shared" si="4"/>
        <v>3</v>
      </c>
      <c r="AK208" s="32">
        <f t="shared" si="5"/>
        <v>3</v>
      </c>
      <c r="AL208" s="25">
        <f>'MASTER STOCK'!I205</f>
        <v>2500</v>
      </c>
      <c r="AM208" s="27">
        <f>'MASTER STOCK'!L205</f>
        <v>2500</v>
      </c>
      <c r="AN208" s="27">
        <f t="shared" si="6"/>
        <v>0</v>
      </c>
      <c r="AO208" s="26">
        <f t="shared" si="7"/>
        <v>0</v>
      </c>
      <c r="AP208" s="114">
        <f t="shared" si="8"/>
        <v>0</v>
      </c>
      <c r="AQ208" s="10"/>
    </row>
    <row r="209">
      <c r="A209" s="29" t="str">
        <f>'MASTER STOCK'!F206</f>
        <v>pipa 3/4</v>
      </c>
      <c r="B209" s="30">
        <f>'OKT 25'!AJ209:AJ592</f>
        <v>5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22"/>
      <c r="AE209" s="10"/>
      <c r="AF209" s="10"/>
      <c r="AG209" s="10"/>
      <c r="AH209" s="23">
        <f t="shared" si="3"/>
        <v>0</v>
      </c>
      <c r="AI209" s="24">
        <v>0.0</v>
      </c>
      <c r="AJ209" s="32">
        <f t="shared" si="4"/>
        <v>5</v>
      </c>
      <c r="AK209" s="32">
        <f t="shared" si="5"/>
        <v>5</v>
      </c>
      <c r="AL209" s="25">
        <f>'MASTER STOCK'!I206</f>
        <v>27500</v>
      </c>
      <c r="AM209" s="27">
        <f>'MASTER STOCK'!L206</f>
        <v>27500</v>
      </c>
      <c r="AN209" s="27">
        <f t="shared" si="6"/>
        <v>0</v>
      </c>
      <c r="AO209" s="26">
        <f t="shared" si="7"/>
        <v>0</v>
      </c>
      <c r="AP209" s="114">
        <f t="shared" si="8"/>
        <v>0</v>
      </c>
      <c r="AQ209" s="10"/>
    </row>
    <row r="210">
      <c r="A210" s="29" t="str">
        <f>'MASTER STOCK'!F207</f>
        <v>pipa 5/8</v>
      </c>
      <c r="B210" s="30">
        <f>'OKT 25'!AJ210:AJ593</f>
        <v>4</v>
      </c>
      <c r="C210" s="10"/>
      <c r="D210" s="10"/>
      <c r="E210" s="10"/>
      <c r="F210" s="10"/>
      <c r="G210" s="10"/>
      <c r="H210" s="22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23">
        <f t="shared" si="3"/>
        <v>0</v>
      </c>
      <c r="AI210" s="24">
        <v>0.0</v>
      </c>
      <c r="AJ210" s="32">
        <f t="shared" si="4"/>
        <v>4</v>
      </c>
      <c r="AK210" s="32">
        <f t="shared" si="5"/>
        <v>4</v>
      </c>
      <c r="AL210" s="25">
        <f>'MASTER STOCK'!I207</f>
        <v>0</v>
      </c>
      <c r="AM210" s="27">
        <f>'MASTER STOCK'!L207</f>
        <v>0</v>
      </c>
      <c r="AN210" s="27">
        <f t="shared" si="6"/>
        <v>0</v>
      </c>
      <c r="AO210" s="26">
        <f t="shared" si="7"/>
        <v>0</v>
      </c>
      <c r="AP210" s="114">
        <f t="shared" si="8"/>
        <v>0</v>
      </c>
      <c r="AQ210" s="10"/>
    </row>
    <row r="211">
      <c r="A211" s="29" t="str">
        <f>'MASTER STOCK'!F208</f>
        <v>pipa 1 aw</v>
      </c>
      <c r="B211" s="30">
        <f>'OKT 25'!AJ211:AJ594</f>
        <v>3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23">
        <f t="shared" si="3"/>
        <v>0</v>
      </c>
      <c r="AI211" s="24">
        <v>0.0</v>
      </c>
      <c r="AJ211" s="32">
        <f t="shared" si="4"/>
        <v>3</v>
      </c>
      <c r="AK211" s="32">
        <f t="shared" si="5"/>
        <v>3</v>
      </c>
      <c r="AL211" s="25">
        <f>'MASTER STOCK'!I208</f>
        <v>38000</v>
      </c>
      <c r="AM211" s="27">
        <f>'MASTER STOCK'!L208</f>
        <v>38000</v>
      </c>
      <c r="AN211" s="27">
        <f t="shared" si="6"/>
        <v>0</v>
      </c>
      <c r="AO211" s="26">
        <f t="shared" si="7"/>
        <v>0</v>
      </c>
      <c r="AP211" s="114">
        <f t="shared" si="8"/>
        <v>0</v>
      </c>
      <c r="AQ211" s="10"/>
    </row>
    <row r="212">
      <c r="A212" s="29" t="str">
        <f>'MASTER STOCK'!F209</f>
        <v>pipa bluefin 1 1/2</v>
      </c>
      <c r="B212" s="30">
        <f>'OKT 25'!AJ212:AJ595</f>
        <v>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23">
        <f t="shared" si="3"/>
        <v>0</v>
      </c>
      <c r="AI212" s="24">
        <v>0.0</v>
      </c>
      <c r="AJ212" s="32">
        <f t="shared" si="4"/>
        <v>1</v>
      </c>
      <c r="AK212" s="32">
        <f t="shared" si="5"/>
        <v>1</v>
      </c>
      <c r="AL212" s="25">
        <f>'MASTER STOCK'!I209</f>
        <v>35000</v>
      </c>
      <c r="AM212" s="27">
        <f>'MASTER STOCK'!L209</f>
        <v>35000</v>
      </c>
      <c r="AN212" s="27">
        <f t="shared" si="6"/>
        <v>0</v>
      </c>
      <c r="AO212" s="26">
        <f t="shared" si="7"/>
        <v>0</v>
      </c>
      <c r="AP212" s="114">
        <f t="shared" si="8"/>
        <v>0</v>
      </c>
      <c r="AQ212" s="10"/>
    </row>
    <row r="213">
      <c r="A213" s="29" t="str">
        <f>'MASTER STOCK'!F210</f>
        <v>pipa quinlon 1 1/2</v>
      </c>
      <c r="B213" s="30">
        <f>'OKT 25'!AJ213:AJ596</f>
        <v>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23">
        <f t="shared" si="3"/>
        <v>0</v>
      </c>
      <c r="AI213" s="24">
        <v>0.0</v>
      </c>
      <c r="AJ213" s="32">
        <f t="shared" si="4"/>
        <v>1</v>
      </c>
      <c r="AK213" s="32">
        <f t="shared" si="5"/>
        <v>1</v>
      </c>
      <c r="AL213" s="25">
        <f>'MASTER STOCK'!I210</f>
        <v>32000</v>
      </c>
      <c r="AM213" s="27">
        <f>'MASTER STOCK'!L210</f>
        <v>32000</v>
      </c>
      <c r="AN213" s="27">
        <f t="shared" si="6"/>
        <v>0</v>
      </c>
      <c r="AO213" s="26">
        <f t="shared" si="7"/>
        <v>0</v>
      </c>
      <c r="AP213" s="114">
        <f t="shared" si="8"/>
        <v>0</v>
      </c>
      <c r="AQ213" s="10"/>
    </row>
    <row r="214">
      <c r="A214" s="29" t="str">
        <f>'MASTER STOCK'!F211</f>
        <v>pipa bluefin 2 dim c</v>
      </c>
      <c r="B214" s="30">
        <f>'OKT 25'!AJ214:AJ597</f>
        <v>6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23">
        <f t="shared" si="3"/>
        <v>0</v>
      </c>
      <c r="AI214" s="24">
        <v>0.0</v>
      </c>
      <c r="AJ214" s="32">
        <f t="shared" si="4"/>
        <v>6</v>
      </c>
      <c r="AK214" s="32">
        <f t="shared" si="5"/>
        <v>6</v>
      </c>
      <c r="AL214" s="25">
        <f>'MASTER STOCK'!I211</f>
        <v>41000</v>
      </c>
      <c r="AM214" s="27">
        <f>'MASTER STOCK'!L211</f>
        <v>41000</v>
      </c>
      <c r="AN214" s="27">
        <f t="shared" si="6"/>
        <v>0</v>
      </c>
      <c r="AO214" s="26">
        <f t="shared" si="7"/>
        <v>0</v>
      </c>
      <c r="AP214" s="114">
        <f t="shared" si="8"/>
        <v>0</v>
      </c>
      <c r="AQ214" s="10"/>
    </row>
    <row r="215">
      <c r="A215" s="29" t="str">
        <f>'MASTER STOCK'!F212</f>
        <v>pipa bluefin 2 dim d</v>
      </c>
      <c r="B215" s="30">
        <f>'OKT 25'!AJ215:AJ598</f>
        <v>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23">
        <f t="shared" si="3"/>
        <v>0</v>
      </c>
      <c r="AI215" s="24">
        <v>0.0</v>
      </c>
      <c r="AJ215" s="32">
        <f t="shared" si="4"/>
        <v>1</v>
      </c>
      <c r="AK215" s="32">
        <f t="shared" si="5"/>
        <v>1</v>
      </c>
      <c r="AL215" s="25">
        <f>'MASTER STOCK'!I212</f>
        <v>46000</v>
      </c>
      <c r="AM215" s="27">
        <f>'MASTER STOCK'!L212</f>
        <v>46000</v>
      </c>
      <c r="AN215" s="27">
        <f t="shared" si="6"/>
        <v>0</v>
      </c>
      <c r="AO215" s="26">
        <f t="shared" si="7"/>
        <v>0</v>
      </c>
      <c r="AP215" s="114">
        <f t="shared" si="8"/>
        <v>0</v>
      </c>
      <c r="AQ215" s="10"/>
    </row>
    <row r="216">
      <c r="A216" s="29" t="str">
        <f>'MASTER STOCK'!F213</f>
        <v>pipa interniti 2 dim</v>
      </c>
      <c r="B216" s="30">
        <f>'OKT 25'!AJ216:AJ599</f>
        <v>7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23">
        <f t="shared" si="3"/>
        <v>0</v>
      </c>
      <c r="AI216" s="24">
        <v>0.0</v>
      </c>
      <c r="AJ216" s="32">
        <f t="shared" si="4"/>
        <v>7</v>
      </c>
      <c r="AK216" s="32">
        <f t="shared" si="5"/>
        <v>7</v>
      </c>
      <c r="AL216" s="25">
        <f>'MASTER STOCK'!I213</f>
        <v>42000</v>
      </c>
      <c r="AM216" s="27">
        <f>'MASTER STOCK'!L213</f>
        <v>42000</v>
      </c>
      <c r="AN216" s="27">
        <f t="shared" si="6"/>
        <v>0</v>
      </c>
      <c r="AO216" s="26">
        <f t="shared" si="7"/>
        <v>0</v>
      </c>
      <c r="AP216" s="114">
        <f t="shared" si="8"/>
        <v>0</v>
      </c>
      <c r="AQ216" s="10"/>
    </row>
    <row r="217">
      <c r="A217" s="29" t="str">
        <f>'MASTER STOCK'!F214</f>
        <v>pipa bluefin 2 1/2 dim c</v>
      </c>
      <c r="B217" s="30">
        <f>'OKT 25'!AJ217:AJ600</f>
        <v>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22"/>
      <c r="Z217" s="10"/>
      <c r="AA217" s="10"/>
      <c r="AB217" s="10"/>
      <c r="AC217" s="10"/>
      <c r="AD217" s="10"/>
      <c r="AE217" s="10"/>
      <c r="AF217" s="10"/>
      <c r="AG217" s="10"/>
      <c r="AH217" s="23">
        <f t="shared" si="3"/>
        <v>0</v>
      </c>
      <c r="AI217" s="24">
        <v>0.0</v>
      </c>
      <c r="AJ217" s="32">
        <f t="shared" si="4"/>
        <v>1</v>
      </c>
      <c r="AK217" s="32">
        <f t="shared" si="5"/>
        <v>1</v>
      </c>
      <c r="AL217" s="25">
        <f>'MASTER STOCK'!I214</f>
        <v>57500</v>
      </c>
      <c r="AM217" s="27">
        <f>'MASTER STOCK'!L214</f>
        <v>57500</v>
      </c>
      <c r="AN217" s="27">
        <f t="shared" si="6"/>
        <v>0</v>
      </c>
      <c r="AO217" s="26">
        <f t="shared" si="7"/>
        <v>0</v>
      </c>
      <c r="AP217" s="114">
        <f t="shared" si="8"/>
        <v>0</v>
      </c>
      <c r="AQ217" s="10"/>
    </row>
    <row r="218">
      <c r="A218" s="29" t="str">
        <f>'MASTER STOCK'!F215</f>
        <v>pipa quinlon 3 dim c</v>
      </c>
      <c r="B218" s="30">
        <f>'OKT 25'!AJ218:AJ601</f>
        <v>3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23">
        <f t="shared" si="3"/>
        <v>0</v>
      </c>
      <c r="AI218" s="24">
        <v>0.0</v>
      </c>
      <c r="AJ218" s="32">
        <f t="shared" si="4"/>
        <v>3</v>
      </c>
      <c r="AK218" s="32">
        <f t="shared" si="5"/>
        <v>3</v>
      </c>
      <c r="AL218" s="25">
        <f>'MASTER STOCK'!I215</f>
        <v>53000</v>
      </c>
      <c r="AM218" s="27">
        <f>'MASTER STOCK'!L215</f>
        <v>53000</v>
      </c>
      <c r="AN218" s="27">
        <f t="shared" si="6"/>
        <v>0</v>
      </c>
      <c r="AO218" s="26">
        <f t="shared" si="7"/>
        <v>0</v>
      </c>
      <c r="AP218" s="114">
        <f t="shared" si="8"/>
        <v>0</v>
      </c>
      <c r="AQ218" s="10"/>
    </row>
    <row r="219">
      <c r="A219" s="29" t="str">
        <f>'MASTER STOCK'!F216</f>
        <v>pipa quinlon 3 dim d</v>
      </c>
      <c r="B219" s="30">
        <f>'OKT 25'!AJ219:AJ602</f>
        <v>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23">
        <f t="shared" si="3"/>
        <v>0</v>
      </c>
      <c r="AI219" s="24">
        <v>0.0</v>
      </c>
      <c r="AJ219" s="32">
        <f t="shared" si="4"/>
        <v>1</v>
      </c>
      <c r="AK219" s="32">
        <f t="shared" si="5"/>
        <v>1</v>
      </c>
      <c r="AL219" s="25">
        <f>'MASTER STOCK'!I216</f>
        <v>78000</v>
      </c>
      <c r="AM219" s="27">
        <f>'MASTER STOCK'!L216</f>
        <v>78000</v>
      </c>
      <c r="AN219" s="27">
        <f t="shared" si="6"/>
        <v>0</v>
      </c>
      <c r="AO219" s="26">
        <f t="shared" si="7"/>
        <v>0</v>
      </c>
      <c r="AP219" s="114">
        <f t="shared" si="8"/>
        <v>0</v>
      </c>
      <c r="AQ219" s="10"/>
    </row>
    <row r="220">
      <c r="A220" s="29" t="str">
        <f>'MASTER STOCK'!F217</f>
        <v>asbes 180 x 1 m</v>
      </c>
      <c r="B220" s="30">
        <f>'OKT 25'!AJ220:AJ603</f>
        <v>2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23">
        <f t="shared" si="3"/>
        <v>0</v>
      </c>
      <c r="AI220" s="24">
        <v>0.0</v>
      </c>
      <c r="AJ220" s="32">
        <f t="shared" si="4"/>
        <v>2</v>
      </c>
      <c r="AK220" s="32">
        <f t="shared" si="5"/>
        <v>2</v>
      </c>
      <c r="AL220" s="25">
        <f>'MASTER STOCK'!I217</f>
        <v>59000</v>
      </c>
      <c r="AM220" s="27">
        <f>'MASTER STOCK'!L217</f>
        <v>59000</v>
      </c>
      <c r="AN220" s="27">
        <f t="shared" si="6"/>
        <v>0</v>
      </c>
      <c r="AO220" s="26">
        <f t="shared" si="7"/>
        <v>0</v>
      </c>
      <c r="AP220" s="114">
        <f t="shared" si="8"/>
        <v>0</v>
      </c>
      <c r="AQ220" s="10"/>
    </row>
    <row r="221">
      <c r="A221" s="29" t="str">
        <f>'MASTER STOCK'!F218</f>
        <v>asbes 240 x 1 m</v>
      </c>
      <c r="B221" s="30">
        <f>'OKT 25'!AJ221:AJ604</f>
        <v>0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22"/>
      <c r="Y221" s="10"/>
      <c r="Z221" s="10"/>
      <c r="AA221" s="10"/>
      <c r="AB221" s="10"/>
      <c r="AC221" s="10"/>
      <c r="AD221" s="10"/>
      <c r="AE221" s="10"/>
      <c r="AF221" s="10"/>
      <c r="AG221" s="10"/>
      <c r="AH221" s="23">
        <f t="shared" si="3"/>
        <v>0</v>
      </c>
      <c r="AI221" s="24">
        <v>0.0</v>
      </c>
      <c r="AJ221" s="32">
        <f t="shared" si="4"/>
        <v>0</v>
      </c>
      <c r="AK221" s="32">
        <f t="shared" si="5"/>
        <v>0</v>
      </c>
      <c r="AL221" s="25">
        <f>'MASTER STOCK'!I218</f>
        <v>72000</v>
      </c>
      <c r="AM221" s="27">
        <f>'MASTER STOCK'!L218</f>
        <v>72000</v>
      </c>
      <c r="AN221" s="27">
        <f t="shared" si="6"/>
        <v>0</v>
      </c>
      <c r="AO221" s="26">
        <f t="shared" si="7"/>
        <v>0</v>
      </c>
      <c r="AP221" s="114">
        <f t="shared" si="8"/>
        <v>0</v>
      </c>
      <c r="AQ221" s="10"/>
    </row>
    <row r="222">
      <c r="A222" s="29" t="str">
        <f>'MASTER STOCK'!F219</f>
        <v>fiber glass</v>
      </c>
      <c r="B222" s="30">
        <f>'OKT 25'!AJ222:AJ605</f>
        <v>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23">
        <f t="shared" si="3"/>
        <v>0</v>
      </c>
      <c r="AI222" s="24">
        <v>0.0</v>
      </c>
      <c r="AJ222" s="32">
        <f t="shared" si="4"/>
        <v>1</v>
      </c>
      <c r="AK222" s="32">
        <f t="shared" si="5"/>
        <v>1</v>
      </c>
      <c r="AL222" s="25">
        <f>'MASTER STOCK'!I219</f>
        <v>150000</v>
      </c>
      <c r="AM222" s="27">
        <f>'MASTER STOCK'!L219</f>
        <v>150000</v>
      </c>
      <c r="AN222" s="27">
        <f t="shared" si="6"/>
        <v>0</v>
      </c>
      <c r="AO222" s="26">
        <f t="shared" si="7"/>
        <v>0</v>
      </c>
      <c r="AP222" s="114">
        <f t="shared" si="8"/>
        <v>0</v>
      </c>
      <c r="AQ222" s="10"/>
    </row>
    <row r="223">
      <c r="A223" s="29" t="str">
        <f>'MASTER STOCK'!F220</f>
        <v>kasiboard 2 m</v>
      </c>
      <c r="B223" s="30">
        <f>'OKT 25'!AJ223:AJ606</f>
        <v>2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23">
        <f t="shared" si="3"/>
        <v>0</v>
      </c>
      <c r="AI223" s="24">
        <v>0.0</v>
      </c>
      <c r="AJ223" s="32">
        <f t="shared" si="4"/>
        <v>2</v>
      </c>
      <c r="AK223" s="32">
        <f t="shared" si="5"/>
        <v>2</v>
      </c>
      <c r="AL223" s="25">
        <f>'MASTER STOCK'!I220</f>
        <v>0</v>
      </c>
      <c r="AM223" s="27">
        <f>'MASTER STOCK'!L220</f>
        <v>0</v>
      </c>
      <c r="AN223" s="27">
        <f t="shared" si="6"/>
        <v>0</v>
      </c>
      <c r="AO223" s="26">
        <f t="shared" si="7"/>
        <v>0</v>
      </c>
      <c r="AP223" s="114">
        <f t="shared" si="8"/>
        <v>0</v>
      </c>
      <c r="AQ223" s="10"/>
    </row>
    <row r="224">
      <c r="A224" s="29" t="str">
        <f>'MASTER STOCK'!F221</f>
        <v>besi  p 10</v>
      </c>
      <c r="B224" s="30">
        <f>'OKT 25'!AJ224:AJ607</f>
        <v>4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23">
        <f t="shared" si="3"/>
        <v>0</v>
      </c>
      <c r="AI224" s="24">
        <v>0.0</v>
      </c>
      <c r="AJ224" s="32">
        <f t="shared" si="4"/>
        <v>4</v>
      </c>
      <c r="AK224" s="32">
        <f t="shared" si="5"/>
        <v>4</v>
      </c>
      <c r="AL224" s="25">
        <f>'MASTER STOCK'!I221</f>
        <v>71000</v>
      </c>
      <c r="AM224" s="27">
        <f>'MASTER STOCK'!L221</f>
        <v>71000</v>
      </c>
      <c r="AN224" s="27">
        <f t="shared" si="6"/>
        <v>0</v>
      </c>
      <c r="AO224" s="26">
        <f t="shared" si="7"/>
        <v>0</v>
      </c>
      <c r="AP224" s="114">
        <f t="shared" si="8"/>
        <v>0</v>
      </c>
      <c r="AQ224" s="10"/>
    </row>
    <row r="225">
      <c r="A225" s="29" t="str">
        <f>'MASTER STOCK'!F222</f>
        <v>besi  8</v>
      </c>
      <c r="B225" s="30">
        <f>'OKT 25'!AJ225:AJ608</f>
        <v>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23">
        <f t="shared" si="3"/>
        <v>0</v>
      </c>
      <c r="AI225" s="24">
        <v>0.0</v>
      </c>
      <c r="AJ225" s="32">
        <f t="shared" si="4"/>
        <v>1</v>
      </c>
      <c r="AK225" s="32">
        <f t="shared" si="5"/>
        <v>1</v>
      </c>
      <c r="AL225" s="25">
        <f>'MASTER STOCK'!I222</f>
        <v>43000</v>
      </c>
      <c r="AM225" s="27">
        <f>'MASTER STOCK'!L222</f>
        <v>43000</v>
      </c>
      <c r="AN225" s="27">
        <f t="shared" si="6"/>
        <v>0</v>
      </c>
      <c r="AO225" s="26">
        <f t="shared" si="7"/>
        <v>0</v>
      </c>
      <c r="AP225" s="114">
        <f t="shared" si="8"/>
        <v>0</v>
      </c>
      <c r="AQ225" s="10"/>
    </row>
    <row r="226">
      <c r="A226" s="29" t="str">
        <f>'MASTER STOCK'!F223</f>
        <v>talang seng gulung</v>
      </c>
      <c r="B226" s="30">
        <f>'OKT 25'!AJ226:AJ609</f>
        <v>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23">
        <f t="shared" si="3"/>
        <v>0</v>
      </c>
      <c r="AI226" s="24">
        <v>0.0</v>
      </c>
      <c r="AJ226" s="32">
        <f t="shared" si="4"/>
        <v>1</v>
      </c>
      <c r="AK226" s="32">
        <f t="shared" si="5"/>
        <v>1</v>
      </c>
      <c r="AL226" s="25">
        <f>'MASTER STOCK'!I223</f>
        <v>19000</v>
      </c>
      <c r="AM226" s="27">
        <f>'MASTER STOCK'!L223</f>
        <v>19000</v>
      </c>
      <c r="AN226" s="27">
        <f t="shared" si="6"/>
        <v>0</v>
      </c>
      <c r="AO226" s="26">
        <f t="shared" si="7"/>
        <v>0</v>
      </c>
      <c r="AP226" s="114">
        <f t="shared" si="8"/>
        <v>0</v>
      </c>
      <c r="AQ226" s="10"/>
    </row>
    <row r="227">
      <c r="A227" s="29" t="str">
        <f>'MASTER STOCK'!F224</f>
        <v>galvalum</v>
      </c>
      <c r="B227" s="30">
        <f>'OKT 25'!AJ227:AJ610</f>
        <v>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23">
        <f t="shared" si="3"/>
        <v>0</v>
      </c>
      <c r="AI227" s="24">
        <v>0.0</v>
      </c>
      <c r="AJ227" s="32">
        <f t="shared" si="4"/>
        <v>1</v>
      </c>
      <c r="AK227" s="32">
        <f t="shared" si="5"/>
        <v>1</v>
      </c>
      <c r="AL227" s="25">
        <f>'MASTER STOCK'!I224</f>
        <v>23000</v>
      </c>
      <c r="AM227" s="27">
        <f>'MASTER STOCK'!L224</f>
        <v>23000</v>
      </c>
      <c r="AN227" s="27">
        <f t="shared" si="6"/>
        <v>0</v>
      </c>
      <c r="AO227" s="26">
        <f t="shared" si="7"/>
        <v>0</v>
      </c>
      <c r="AP227" s="114">
        <f t="shared" si="8"/>
        <v>0</v>
      </c>
      <c r="AQ227" s="10"/>
    </row>
    <row r="228">
      <c r="A228" s="29" t="str">
        <f>'MASTER STOCK'!F225</f>
        <v>watermur 1/2</v>
      </c>
      <c r="B228" s="30">
        <f>'OKT 25'!AJ228:AJ611</f>
        <v>6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23">
        <f t="shared" si="3"/>
        <v>0</v>
      </c>
      <c r="AI228" s="24">
        <v>0.0</v>
      </c>
      <c r="AJ228" s="32">
        <f t="shared" si="4"/>
        <v>6</v>
      </c>
      <c r="AK228" s="32">
        <f t="shared" si="5"/>
        <v>6</v>
      </c>
      <c r="AL228" s="25">
        <f>'MASTER STOCK'!I225</f>
        <v>5000</v>
      </c>
      <c r="AM228" s="27">
        <f>'MASTER STOCK'!L225</f>
        <v>5000</v>
      </c>
      <c r="AN228" s="27">
        <f t="shared" si="6"/>
        <v>0</v>
      </c>
      <c r="AO228" s="26">
        <f t="shared" si="7"/>
        <v>0</v>
      </c>
      <c r="AP228" s="114">
        <f t="shared" si="8"/>
        <v>0</v>
      </c>
      <c r="AQ228" s="10"/>
    </row>
    <row r="229">
      <c r="A229" s="29" t="str">
        <f>'MASTER STOCK'!F226</f>
        <v>loster besar kotak</v>
      </c>
      <c r="B229" s="30">
        <f>'OKT 25'!AJ229:AJ612</f>
        <v>13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23">
        <f t="shared" si="3"/>
        <v>0</v>
      </c>
      <c r="AI229" s="24">
        <v>0.0</v>
      </c>
      <c r="AJ229" s="32">
        <f t="shared" si="4"/>
        <v>13</v>
      </c>
      <c r="AK229" s="32">
        <f t="shared" si="5"/>
        <v>13</v>
      </c>
      <c r="AL229" s="25">
        <f>'MASTER STOCK'!I226</f>
        <v>15500</v>
      </c>
      <c r="AM229" s="27">
        <f>'MASTER STOCK'!L226</f>
        <v>15500</v>
      </c>
      <c r="AN229" s="27">
        <f t="shared" si="6"/>
        <v>0</v>
      </c>
      <c r="AO229" s="26">
        <f t="shared" si="7"/>
        <v>0</v>
      </c>
      <c r="AP229" s="114">
        <f t="shared" si="8"/>
        <v>0</v>
      </c>
      <c r="AQ229" s="10"/>
    </row>
    <row r="230">
      <c r="A230" s="29" t="str">
        <f>'MASTER STOCK'!F227</f>
        <v>loster besar saringan</v>
      </c>
      <c r="B230" s="30">
        <f>'OKT 25'!AJ230:AJ613</f>
        <v>15</v>
      </c>
      <c r="C230" s="10"/>
      <c r="D230" s="10"/>
      <c r="E230" s="22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23">
        <f t="shared" si="3"/>
        <v>0</v>
      </c>
      <c r="AI230" s="24">
        <v>0.0</v>
      </c>
      <c r="AJ230" s="32">
        <f t="shared" si="4"/>
        <v>15</v>
      </c>
      <c r="AK230" s="32">
        <f t="shared" si="5"/>
        <v>15</v>
      </c>
      <c r="AL230" s="25">
        <f>'MASTER STOCK'!I227</f>
        <v>17500</v>
      </c>
      <c r="AM230" s="27">
        <f>'MASTER STOCK'!L227</f>
        <v>17500</v>
      </c>
      <c r="AN230" s="27">
        <f t="shared" si="6"/>
        <v>0</v>
      </c>
      <c r="AO230" s="26">
        <f t="shared" si="7"/>
        <v>0</v>
      </c>
      <c r="AP230" s="114">
        <f t="shared" si="8"/>
        <v>0</v>
      </c>
      <c r="AQ230" s="10"/>
    </row>
    <row r="231">
      <c r="A231" s="29" t="str">
        <f>'MASTER STOCK'!F228</f>
        <v>lem rajawali</v>
      </c>
      <c r="B231" s="30">
        <f>'OKT 25'!AJ231:AJ614</f>
        <v>19</v>
      </c>
      <c r="C231" s="10"/>
      <c r="D231" s="10"/>
      <c r="E231" s="22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22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23">
        <f t="shared" si="3"/>
        <v>0</v>
      </c>
      <c r="AI231" s="24">
        <v>0.0</v>
      </c>
      <c r="AJ231" s="32">
        <f t="shared" si="4"/>
        <v>19</v>
      </c>
      <c r="AK231" s="32">
        <f t="shared" si="5"/>
        <v>19</v>
      </c>
      <c r="AL231" s="25">
        <f>'MASTER STOCK'!I228</f>
        <v>19500</v>
      </c>
      <c r="AM231" s="27">
        <f>'MASTER STOCK'!L228</f>
        <v>21500</v>
      </c>
      <c r="AN231" s="27">
        <f t="shared" si="6"/>
        <v>0</v>
      </c>
      <c r="AO231" s="26">
        <f t="shared" si="7"/>
        <v>0</v>
      </c>
      <c r="AP231" s="114">
        <f t="shared" si="8"/>
        <v>0</v>
      </c>
      <c r="AQ231" s="10"/>
    </row>
    <row r="232">
      <c r="A232" s="29" t="str">
        <f>'MASTER STOCK'!F229</f>
        <v>pain roller nippon pain</v>
      </c>
      <c r="B232" s="30">
        <f>'OKT 25'!AJ232:AJ615</f>
        <v>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23">
        <f t="shared" si="3"/>
        <v>0</v>
      </c>
      <c r="AI232" s="24">
        <v>0.0</v>
      </c>
      <c r="AJ232" s="32">
        <f t="shared" si="4"/>
        <v>1</v>
      </c>
      <c r="AK232" s="32">
        <f t="shared" si="5"/>
        <v>1</v>
      </c>
      <c r="AL232" s="25">
        <f>'MASTER STOCK'!I229</f>
        <v>30000</v>
      </c>
      <c r="AM232" s="27">
        <f>'MASTER STOCK'!L229</f>
        <v>30000</v>
      </c>
      <c r="AN232" s="27">
        <f t="shared" si="6"/>
        <v>0</v>
      </c>
      <c r="AO232" s="26">
        <f t="shared" si="7"/>
        <v>0</v>
      </c>
      <c r="AP232" s="114">
        <f t="shared" si="8"/>
        <v>0</v>
      </c>
      <c r="AQ232" s="10"/>
    </row>
    <row r="233">
      <c r="A233" s="29" t="str">
        <f>'MASTER STOCK'!F230</f>
        <v>pain roller index </v>
      </c>
      <c r="B233" s="30">
        <f>'OKT 25'!AJ233:AJ616</f>
        <v>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23">
        <f t="shared" si="3"/>
        <v>0</v>
      </c>
      <c r="AI233" s="24">
        <v>0.0</v>
      </c>
      <c r="AJ233" s="32">
        <f t="shared" si="4"/>
        <v>1</v>
      </c>
      <c r="AK233" s="32">
        <f t="shared" si="5"/>
        <v>1</v>
      </c>
      <c r="AL233" s="25">
        <f>'MASTER STOCK'!I230</f>
        <v>25000</v>
      </c>
      <c r="AM233" s="27">
        <f>'MASTER STOCK'!L230</f>
        <v>25000</v>
      </c>
      <c r="AN233" s="27">
        <f t="shared" si="6"/>
        <v>0</v>
      </c>
      <c r="AO233" s="26">
        <f t="shared" si="7"/>
        <v>0</v>
      </c>
      <c r="AP233" s="114">
        <f t="shared" si="8"/>
        <v>0</v>
      </c>
      <c r="AQ233" s="10"/>
    </row>
    <row r="234">
      <c r="A234" s="29" t="str">
        <f>'MASTER STOCK'!F231</f>
        <v>timba</v>
      </c>
      <c r="B234" s="30">
        <f>'OKT 25'!AJ234:AJ617</f>
        <v>4</v>
      </c>
      <c r="C234" s="22"/>
      <c r="D234" s="10"/>
      <c r="E234" s="10"/>
      <c r="F234" s="10"/>
      <c r="G234" s="10"/>
      <c r="H234" s="10"/>
      <c r="I234" s="22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22"/>
      <c r="AH234" s="23">
        <f t="shared" si="3"/>
        <v>0</v>
      </c>
      <c r="AI234" s="24">
        <v>0.0</v>
      </c>
      <c r="AJ234" s="32">
        <f t="shared" si="4"/>
        <v>4</v>
      </c>
      <c r="AK234" s="32">
        <f t="shared" si="5"/>
        <v>4</v>
      </c>
      <c r="AL234" s="25">
        <f>'MASTER STOCK'!I231</f>
        <v>10000</v>
      </c>
      <c r="AM234" s="27">
        <f>'MASTER STOCK'!L231</f>
        <v>10000</v>
      </c>
      <c r="AN234" s="27">
        <f t="shared" si="6"/>
        <v>0</v>
      </c>
      <c r="AO234" s="26">
        <f t="shared" si="7"/>
        <v>0</v>
      </c>
      <c r="AP234" s="114">
        <f t="shared" si="8"/>
        <v>0</v>
      </c>
      <c r="AQ234" s="10"/>
    </row>
    <row r="235">
      <c r="A235" s="29" t="str">
        <f>'MASTER STOCK'!F232</f>
        <v>paku 5</v>
      </c>
      <c r="B235" s="30">
        <f>'OKT 25'!AJ235:AJ618</f>
        <v>-0.6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22"/>
      <c r="Z235" s="10"/>
      <c r="AA235" s="10"/>
      <c r="AB235" s="10"/>
      <c r="AC235" s="10"/>
      <c r="AD235" s="10"/>
      <c r="AE235" s="10"/>
      <c r="AF235" s="10"/>
      <c r="AG235" s="10"/>
      <c r="AH235" s="23">
        <f t="shared" si="3"/>
        <v>0</v>
      </c>
      <c r="AI235" s="24">
        <v>0.0</v>
      </c>
      <c r="AJ235" s="32">
        <f t="shared" si="4"/>
        <v>-0.6</v>
      </c>
      <c r="AK235" s="32">
        <f t="shared" si="5"/>
        <v>-0.6</v>
      </c>
      <c r="AL235" s="25">
        <f>'MASTER STOCK'!I232</f>
        <v>26000</v>
      </c>
      <c r="AM235" s="27">
        <f>'MASTER STOCK'!L232</f>
        <v>26000</v>
      </c>
      <c r="AN235" s="27">
        <f t="shared" si="6"/>
        <v>0</v>
      </c>
      <c r="AO235" s="26">
        <f t="shared" si="7"/>
        <v>0</v>
      </c>
      <c r="AP235" s="114">
        <f t="shared" si="8"/>
        <v>0</v>
      </c>
      <c r="AQ235" s="10"/>
    </row>
    <row r="236">
      <c r="A236" s="29" t="str">
        <f>'MASTER STOCK'!F233</f>
        <v>paku 3 1/2</v>
      </c>
      <c r="B236" s="30">
        <f>'OKT 25'!AJ236:AJ619</f>
        <v>5.5</v>
      </c>
      <c r="C236" s="10"/>
      <c r="D236" s="10"/>
      <c r="E236" s="10"/>
      <c r="F236" s="10"/>
      <c r="G236" s="10"/>
      <c r="H236" s="10"/>
      <c r="I236" s="10"/>
      <c r="J236" s="10"/>
      <c r="K236" s="22">
        <v>0.5</v>
      </c>
      <c r="L236" s="10"/>
      <c r="M236" s="10"/>
      <c r="N236" s="10"/>
      <c r="O236" s="10"/>
      <c r="P236" s="10"/>
      <c r="Q236" s="10"/>
      <c r="R236" s="10"/>
      <c r="S236" s="22">
        <v>0.25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23">
        <f t="shared" si="3"/>
        <v>0.75</v>
      </c>
      <c r="AI236" s="24">
        <v>0.0</v>
      </c>
      <c r="AJ236" s="32">
        <f t="shared" si="4"/>
        <v>4.75</v>
      </c>
      <c r="AK236" s="32">
        <f t="shared" si="5"/>
        <v>4.75</v>
      </c>
      <c r="AL236" s="25">
        <f>'MASTER STOCK'!I233</f>
        <v>24000</v>
      </c>
      <c r="AM236" s="27">
        <f>'MASTER STOCK'!L233</f>
        <v>24000</v>
      </c>
      <c r="AN236" s="27">
        <f t="shared" si="6"/>
        <v>18000</v>
      </c>
      <c r="AO236" s="26">
        <f t="shared" si="7"/>
        <v>0</v>
      </c>
      <c r="AP236" s="114">
        <f t="shared" si="8"/>
        <v>18000</v>
      </c>
      <c r="AQ236" s="10"/>
    </row>
    <row r="237">
      <c r="A237" s="29" t="str">
        <f>'MASTER STOCK'!F234</f>
        <v>geraji</v>
      </c>
      <c r="B237" s="30">
        <f>'OKT 25'!AJ237:AJ620</f>
        <v>8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23">
        <f t="shared" si="3"/>
        <v>0</v>
      </c>
      <c r="AI237" s="24">
        <v>0.0</v>
      </c>
      <c r="AJ237" s="32">
        <f t="shared" si="4"/>
        <v>8</v>
      </c>
      <c r="AK237" s="32">
        <f t="shared" si="5"/>
        <v>8</v>
      </c>
      <c r="AL237" s="25">
        <f>'MASTER STOCK'!I234</f>
        <v>30000</v>
      </c>
      <c r="AM237" s="27">
        <f>'MASTER STOCK'!L234</f>
        <v>30000</v>
      </c>
      <c r="AN237" s="27">
        <f t="shared" si="6"/>
        <v>0</v>
      </c>
      <c r="AO237" s="26">
        <f t="shared" si="7"/>
        <v>0</v>
      </c>
      <c r="AP237" s="114">
        <f t="shared" si="8"/>
        <v>0</v>
      </c>
      <c r="AQ237" s="10"/>
    </row>
    <row r="238">
      <c r="A238" s="29" t="str">
        <f>'MASTER STOCK'!F235</f>
        <v>cutter</v>
      </c>
      <c r="B238" s="30">
        <f>'OKT 25'!AJ238:AJ621</f>
        <v>10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23">
        <f t="shared" si="3"/>
        <v>0</v>
      </c>
      <c r="AI238" s="24">
        <v>0.0</v>
      </c>
      <c r="AJ238" s="32">
        <f t="shared" si="4"/>
        <v>10</v>
      </c>
      <c r="AK238" s="32">
        <f t="shared" si="5"/>
        <v>10</v>
      </c>
      <c r="AL238" s="25">
        <f>'MASTER STOCK'!I235</f>
        <v>3000</v>
      </c>
      <c r="AM238" s="27">
        <f>'MASTER STOCK'!L235</f>
        <v>3000</v>
      </c>
      <c r="AN238" s="27">
        <f t="shared" si="6"/>
        <v>0</v>
      </c>
      <c r="AO238" s="26">
        <f t="shared" si="7"/>
        <v>0</v>
      </c>
      <c r="AP238" s="114">
        <f t="shared" si="8"/>
        <v>0</v>
      </c>
      <c r="AQ238" s="10"/>
    </row>
    <row r="239">
      <c r="A239" s="29" t="str">
        <f>'MASTER STOCK'!F236</f>
        <v>cutter joyko</v>
      </c>
      <c r="B239" s="30">
        <f>'OKT 25'!AJ239:AJ622</f>
        <v>3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23">
        <f t="shared" si="3"/>
        <v>0</v>
      </c>
      <c r="AI239" s="24">
        <v>0.0</v>
      </c>
      <c r="AJ239" s="32">
        <f t="shared" si="4"/>
        <v>3</v>
      </c>
      <c r="AK239" s="32">
        <f t="shared" si="5"/>
        <v>3</v>
      </c>
      <c r="AL239" s="25">
        <f>'MASTER STOCK'!I236</f>
        <v>5000</v>
      </c>
      <c r="AM239" s="27">
        <f>'MASTER STOCK'!L236</f>
        <v>5000</v>
      </c>
      <c r="AN239" s="27">
        <f t="shared" si="6"/>
        <v>0</v>
      </c>
      <c r="AO239" s="26">
        <f t="shared" si="7"/>
        <v>0</v>
      </c>
      <c r="AP239" s="114">
        <f t="shared" si="8"/>
        <v>0</v>
      </c>
      <c r="AQ239" s="10"/>
    </row>
    <row r="240">
      <c r="A240" s="29" t="str">
        <f>'MASTER STOCK'!F237</f>
        <v>tang</v>
      </c>
      <c r="B240" s="30">
        <f>'OKT 25'!AJ240:AJ623</f>
        <v>2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23">
        <f t="shared" si="3"/>
        <v>0</v>
      </c>
      <c r="AI240" s="24">
        <v>0.0</v>
      </c>
      <c r="AJ240" s="32">
        <f t="shared" si="4"/>
        <v>2</v>
      </c>
      <c r="AK240" s="32">
        <f t="shared" si="5"/>
        <v>2</v>
      </c>
      <c r="AL240" s="25">
        <f>'MASTER STOCK'!I237</f>
        <v>29500</v>
      </c>
      <c r="AM240" s="27">
        <f>'MASTER STOCK'!L237</f>
        <v>29500</v>
      </c>
      <c r="AN240" s="27">
        <f t="shared" si="6"/>
        <v>0</v>
      </c>
      <c r="AO240" s="26">
        <f t="shared" si="7"/>
        <v>0</v>
      </c>
      <c r="AP240" s="114">
        <f t="shared" si="8"/>
        <v>0</v>
      </c>
      <c r="AQ240" s="10"/>
    </row>
    <row r="241">
      <c r="A241" s="29" t="str">
        <f>'MASTER STOCK'!F238</f>
        <v>sarung tangan karet</v>
      </c>
      <c r="B241" s="30">
        <f>'OKT 25'!AJ241:AJ624</f>
        <v>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23">
        <f t="shared" si="3"/>
        <v>0</v>
      </c>
      <c r="AI241" s="24">
        <v>0.0</v>
      </c>
      <c r="AJ241" s="32">
        <f t="shared" si="4"/>
        <v>1</v>
      </c>
      <c r="AK241" s="32">
        <f t="shared" si="5"/>
        <v>1</v>
      </c>
      <c r="AL241" s="25">
        <f>'MASTER STOCK'!I238</f>
        <v>1600</v>
      </c>
      <c r="AM241" s="27">
        <f>'MASTER STOCK'!L238</f>
        <v>1600</v>
      </c>
      <c r="AN241" s="27">
        <f t="shared" si="6"/>
        <v>0</v>
      </c>
      <c r="AO241" s="26">
        <f t="shared" si="7"/>
        <v>0</v>
      </c>
      <c r="AP241" s="114">
        <f t="shared" si="8"/>
        <v>0</v>
      </c>
      <c r="AQ241" s="10"/>
    </row>
    <row r="242">
      <c r="A242" s="29" t="str">
        <f>'MASTER STOCK'!F239</f>
        <v>batrai panasonic 1,5 volt AAA</v>
      </c>
      <c r="B242" s="30">
        <f>'OKT 25'!AJ242:AJ625</f>
        <v>4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22">
        <v>2.0</v>
      </c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23">
        <f t="shared" si="3"/>
        <v>2</v>
      </c>
      <c r="AI242" s="24">
        <v>0.0</v>
      </c>
      <c r="AJ242" s="32">
        <f t="shared" si="4"/>
        <v>2</v>
      </c>
      <c r="AK242" s="32">
        <f t="shared" si="5"/>
        <v>2</v>
      </c>
      <c r="AL242" s="25">
        <f>'MASTER STOCK'!I239</f>
        <v>4500</v>
      </c>
      <c r="AM242" s="27">
        <f>'MASTER STOCK'!L239</f>
        <v>3000</v>
      </c>
      <c r="AN242" s="27">
        <f t="shared" si="6"/>
        <v>6000</v>
      </c>
      <c r="AO242" s="26">
        <f t="shared" si="7"/>
        <v>-3000</v>
      </c>
      <c r="AP242" s="114">
        <f t="shared" si="8"/>
        <v>9000</v>
      </c>
      <c r="AQ242" s="10"/>
    </row>
    <row r="243">
      <c r="A243" s="29" t="str">
        <f>'MASTER STOCK'!F240</f>
        <v>penggaris siku</v>
      </c>
      <c r="B243" s="30">
        <f>'OKT 25'!AJ243:AJ626</f>
        <v>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23">
        <f t="shared" si="3"/>
        <v>0</v>
      </c>
      <c r="AI243" s="24">
        <v>0.0</v>
      </c>
      <c r="AJ243" s="32">
        <f t="shared" si="4"/>
        <v>1</v>
      </c>
      <c r="AK243" s="32">
        <f t="shared" si="5"/>
        <v>1</v>
      </c>
      <c r="AL243" s="25">
        <f>'MASTER STOCK'!I240</f>
        <v>41500</v>
      </c>
      <c r="AM243" s="27">
        <f>'MASTER STOCK'!L240</f>
        <v>41500</v>
      </c>
      <c r="AN243" s="27">
        <f t="shared" si="6"/>
        <v>0</v>
      </c>
      <c r="AO243" s="26">
        <f t="shared" si="7"/>
        <v>0</v>
      </c>
      <c r="AP243" s="114">
        <f t="shared" si="8"/>
        <v>0</v>
      </c>
      <c r="AQ243" s="10"/>
    </row>
    <row r="244">
      <c r="A244" s="29" t="str">
        <f>'MASTER STOCK'!F241</f>
        <v>turbo cut 1,2 mm</v>
      </c>
      <c r="B244" s="30">
        <f>'OKT 25'!AJ244:AJ627</f>
        <v>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23">
        <f t="shared" si="3"/>
        <v>0</v>
      </c>
      <c r="AI244" s="24">
        <v>0.0</v>
      </c>
      <c r="AJ244" s="32">
        <f t="shared" si="4"/>
        <v>1</v>
      </c>
      <c r="AK244" s="32">
        <f t="shared" si="5"/>
        <v>1</v>
      </c>
      <c r="AL244" s="25">
        <f>'MASTER STOCK'!I241</f>
        <v>35000</v>
      </c>
      <c r="AM244" s="27">
        <f>'MASTER STOCK'!L241</f>
        <v>35000</v>
      </c>
      <c r="AN244" s="27">
        <f t="shared" si="6"/>
        <v>0</v>
      </c>
      <c r="AO244" s="26">
        <f t="shared" si="7"/>
        <v>0</v>
      </c>
      <c r="AP244" s="114">
        <f t="shared" si="8"/>
        <v>0</v>
      </c>
      <c r="AQ244" s="10"/>
    </row>
    <row r="245">
      <c r="A245" s="29" t="str">
        <f>'MASTER STOCK'!F242</f>
        <v>diamond cutting well</v>
      </c>
      <c r="B245" s="30">
        <f>'OKT 25'!AJ245:AJ628</f>
        <v>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23">
        <f t="shared" si="3"/>
        <v>0</v>
      </c>
      <c r="AI245" s="24">
        <v>0.0</v>
      </c>
      <c r="AJ245" s="32">
        <f t="shared" si="4"/>
        <v>1</v>
      </c>
      <c r="AK245" s="32">
        <f t="shared" si="5"/>
        <v>1</v>
      </c>
      <c r="AL245" s="25">
        <f>'MASTER STOCK'!I242</f>
        <v>35000</v>
      </c>
      <c r="AM245" s="27">
        <f>'MASTER STOCK'!L242</f>
        <v>35000</v>
      </c>
      <c r="AN245" s="27">
        <f t="shared" si="6"/>
        <v>0</v>
      </c>
      <c r="AO245" s="26">
        <f t="shared" si="7"/>
        <v>0</v>
      </c>
      <c r="AP245" s="114">
        <f t="shared" si="8"/>
        <v>0</v>
      </c>
      <c r="AQ245" s="10"/>
    </row>
    <row r="246">
      <c r="A246" s="29" t="str">
        <f>'MASTER STOCK'!F243</f>
        <v>paku 1 1/4</v>
      </c>
      <c r="B246" s="30">
        <f>'OKT 25'!AJ246:AJ629</f>
        <v>0.15</v>
      </c>
      <c r="C246" s="10"/>
      <c r="D246" s="10"/>
      <c r="E246" s="22"/>
      <c r="F246" s="10"/>
      <c r="G246" s="10"/>
      <c r="H246" s="22">
        <v>0.25</v>
      </c>
      <c r="I246" s="10"/>
      <c r="J246" s="22"/>
      <c r="K246" s="10"/>
      <c r="L246" s="10"/>
      <c r="M246" s="22">
        <v>0.35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22">
        <v>0.2</v>
      </c>
      <c r="AA246" s="10"/>
      <c r="AB246" s="10"/>
      <c r="AC246" s="10"/>
      <c r="AD246" s="10"/>
      <c r="AE246" s="10"/>
      <c r="AF246" s="10"/>
      <c r="AG246" s="10"/>
      <c r="AH246" s="23">
        <f t="shared" si="3"/>
        <v>0.8</v>
      </c>
      <c r="AI246" s="24">
        <v>0.0</v>
      </c>
      <c r="AJ246" s="32">
        <f t="shared" si="4"/>
        <v>-0.65</v>
      </c>
      <c r="AK246" s="32">
        <f t="shared" si="5"/>
        <v>-0.65</v>
      </c>
      <c r="AL246" s="25">
        <f>'MASTER STOCK'!I243</f>
        <v>25000</v>
      </c>
      <c r="AM246" s="27">
        <f>'MASTER STOCK'!L243</f>
        <v>25000</v>
      </c>
      <c r="AN246" s="27">
        <f t="shared" si="6"/>
        <v>20000</v>
      </c>
      <c r="AO246" s="26">
        <f t="shared" si="7"/>
        <v>0</v>
      </c>
      <c r="AP246" s="114">
        <f t="shared" si="8"/>
        <v>20000</v>
      </c>
      <c r="AQ246" s="10"/>
    </row>
    <row r="247">
      <c r="A247" s="29" t="str">
        <f>'MASTER STOCK'!F244</f>
        <v>siku  kecil</v>
      </c>
      <c r="B247" s="30">
        <f>'OKT 25'!AJ247:AJ630</f>
        <v>7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23">
        <f t="shared" si="3"/>
        <v>0</v>
      </c>
      <c r="AI247" s="24">
        <v>0.0</v>
      </c>
      <c r="AJ247" s="32">
        <f t="shared" si="4"/>
        <v>7</v>
      </c>
      <c r="AK247" s="32">
        <f t="shared" si="5"/>
        <v>7</v>
      </c>
      <c r="AL247" s="25">
        <f>'MASTER STOCK'!I244</f>
        <v>7500</v>
      </c>
      <c r="AM247" s="27">
        <f>'MASTER STOCK'!L244</f>
        <v>7500</v>
      </c>
      <c r="AN247" s="27">
        <f t="shared" si="6"/>
        <v>0</v>
      </c>
      <c r="AO247" s="26">
        <f t="shared" si="7"/>
        <v>0</v>
      </c>
      <c r="AP247" s="114">
        <f t="shared" si="8"/>
        <v>0</v>
      </c>
      <c r="AQ247" s="10"/>
    </row>
    <row r="248">
      <c r="A248" s="29" t="str">
        <f>'MASTER STOCK'!F245</f>
        <v>paku 6</v>
      </c>
      <c r="B248" s="30">
        <f>'OKT 25'!AJ248:AJ631</f>
        <v>-1.5</v>
      </c>
      <c r="C248" s="10"/>
      <c r="D248" s="10"/>
      <c r="E248" s="10"/>
      <c r="F248" s="10"/>
      <c r="G248" s="10"/>
      <c r="H248" s="10"/>
      <c r="I248" s="22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22"/>
      <c r="Z248" s="10"/>
      <c r="AA248" s="10"/>
      <c r="AB248" s="10"/>
      <c r="AC248" s="10"/>
      <c r="AD248" s="10"/>
      <c r="AE248" s="10"/>
      <c r="AF248" s="10"/>
      <c r="AG248" s="10"/>
      <c r="AH248" s="23">
        <f t="shared" si="3"/>
        <v>0</v>
      </c>
      <c r="AI248" s="24">
        <v>0.0</v>
      </c>
      <c r="AJ248" s="32">
        <f t="shared" si="4"/>
        <v>-1.5</v>
      </c>
      <c r="AK248" s="32">
        <f t="shared" si="5"/>
        <v>-1.5</v>
      </c>
      <c r="AL248" s="25">
        <f>'MASTER STOCK'!I245</f>
        <v>26000</v>
      </c>
      <c r="AM248" s="27">
        <f>'MASTER STOCK'!L245</f>
        <v>26000</v>
      </c>
      <c r="AN248" s="27">
        <f t="shared" si="6"/>
        <v>0</v>
      </c>
      <c r="AO248" s="26">
        <f t="shared" si="7"/>
        <v>0</v>
      </c>
      <c r="AP248" s="114">
        <f t="shared" si="8"/>
        <v>0</v>
      </c>
      <c r="AQ248" s="10"/>
    </row>
    <row r="249">
      <c r="A249" s="29" t="str">
        <f>'MASTER STOCK'!F246</f>
        <v>paku 4</v>
      </c>
      <c r="B249" s="30">
        <f>'OKT 25'!AJ249:AJ632</f>
        <v>4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22"/>
      <c r="Z249" s="10"/>
      <c r="AA249" s="10"/>
      <c r="AB249" s="10"/>
      <c r="AC249" s="10"/>
      <c r="AD249" s="10"/>
      <c r="AE249" s="10"/>
      <c r="AF249" s="10"/>
      <c r="AG249" s="10"/>
      <c r="AH249" s="23">
        <f t="shared" si="3"/>
        <v>0</v>
      </c>
      <c r="AI249" s="24">
        <v>0.0</v>
      </c>
      <c r="AJ249" s="32">
        <f t="shared" si="4"/>
        <v>4</v>
      </c>
      <c r="AK249" s="32">
        <f t="shared" si="5"/>
        <v>4</v>
      </c>
      <c r="AL249" s="25">
        <f>'MASTER STOCK'!I246</f>
        <v>2600</v>
      </c>
      <c r="AM249" s="27">
        <f>'MASTER STOCK'!L246</f>
        <v>2600</v>
      </c>
      <c r="AN249" s="27">
        <f t="shared" si="6"/>
        <v>0</v>
      </c>
      <c r="AO249" s="26">
        <f t="shared" si="7"/>
        <v>0</v>
      </c>
      <c r="AP249" s="114">
        <f t="shared" si="8"/>
        <v>0</v>
      </c>
      <c r="AQ249" s="10"/>
    </row>
    <row r="250">
      <c r="A250" s="29" t="str">
        <f>'MASTER STOCK'!F247</f>
        <v>kasutan /  trowel</v>
      </c>
      <c r="B250" s="30">
        <f>'OKT 25'!AJ250:AJ633</f>
        <v>4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23">
        <f t="shared" si="3"/>
        <v>0</v>
      </c>
      <c r="AI250" s="24">
        <v>0.0</v>
      </c>
      <c r="AJ250" s="32">
        <f t="shared" si="4"/>
        <v>4</v>
      </c>
      <c r="AK250" s="32">
        <f t="shared" si="5"/>
        <v>4</v>
      </c>
      <c r="AL250" s="25">
        <f>'MASTER STOCK'!I247</f>
        <v>13500</v>
      </c>
      <c r="AM250" s="27">
        <f>'MASTER STOCK'!L247</f>
        <v>13500</v>
      </c>
      <c r="AN250" s="27">
        <f t="shared" si="6"/>
        <v>0</v>
      </c>
      <c r="AO250" s="26">
        <f t="shared" si="7"/>
        <v>0</v>
      </c>
      <c r="AP250" s="114">
        <f t="shared" si="8"/>
        <v>0</v>
      </c>
      <c r="AQ250" s="10"/>
    </row>
    <row r="251">
      <c r="A251" s="29" t="str">
        <f>'MASTER STOCK'!F248</f>
        <v>kapi 3 dim</v>
      </c>
      <c r="B251" s="30">
        <f>'OKT 25'!AJ251:AJ634</f>
        <v>2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23">
        <f t="shared" si="3"/>
        <v>0</v>
      </c>
      <c r="AI251" s="24">
        <v>0.0</v>
      </c>
      <c r="AJ251" s="32">
        <f t="shared" si="4"/>
        <v>2</v>
      </c>
      <c r="AK251" s="32">
        <f t="shared" si="5"/>
        <v>2</v>
      </c>
      <c r="AL251" s="25">
        <f>'MASTER STOCK'!I248</f>
        <v>5500</v>
      </c>
      <c r="AM251" s="27">
        <f>'MASTER STOCK'!L248</f>
        <v>5500</v>
      </c>
      <c r="AN251" s="27">
        <f t="shared" si="6"/>
        <v>0</v>
      </c>
      <c r="AO251" s="26">
        <f t="shared" si="7"/>
        <v>0</v>
      </c>
      <c r="AP251" s="114">
        <f t="shared" si="8"/>
        <v>0</v>
      </c>
      <c r="AQ251" s="10"/>
    </row>
    <row r="252">
      <c r="A252" s="29" t="str">
        <f>'MASTER STOCK'!F249</f>
        <v>kapi 5 dim</v>
      </c>
      <c r="B252" s="30">
        <f>'OKT 25'!AJ252:AJ635</f>
        <v>3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23">
        <f t="shared" si="3"/>
        <v>0</v>
      </c>
      <c r="AI252" s="24">
        <v>0.0</v>
      </c>
      <c r="AJ252" s="32">
        <f t="shared" si="4"/>
        <v>3</v>
      </c>
      <c r="AK252" s="32">
        <f t="shared" si="5"/>
        <v>3</v>
      </c>
      <c r="AL252" s="25">
        <f>'MASTER STOCK'!I249</f>
        <v>7500</v>
      </c>
      <c r="AM252" s="27">
        <f>'MASTER STOCK'!L249</f>
        <v>7500</v>
      </c>
      <c r="AN252" s="27">
        <f t="shared" si="6"/>
        <v>0</v>
      </c>
      <c r="AO252" s="26">
        <f t="shared" si="7"/>
        <v>0</v>
      </c>
      <c r="AP252" s="114">
        <f t="shared" si="8"/>
        <v>0</v>
      </c>
      <c r="AQ252" s="10"/>
    </row>
    <row r="253">
      <c r="A253" s="29" t="str">
        <f>'MASTER STOCK'!F250</f>
        <v>cetok sukun hitam</v>
      </c>
      <c r="B253" s="30">
        <f>'OKT 25'!AJ253:AJ636</f>
        <v>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23">
        <f t="shared" si="3"/>
        <v>0</v>
      </c>
      <c r="AI253" s="24">
        <v>0.0</v>
      </c>
      <c r="AJ253" s="32">
        <f t="shared" si="4"/>
        <v>1</v>
      </c>
      <c r="AK253" s="32">
        <f t="shared" si="5"/>
        <v>1</v>
      </c>
      <c r="AL253" s="25">
        <f>'MASTER STOCK'!I250</f>
        <v>25000</v>
      </c>
      <c r="AM253" s="27">
        <f>'MASTER STOCK'!L250</f>
        <v>25000</v>
      </c>
      <c r="AN253" s="27">
        <f t="shared" si="6"/>
        <v>0</v>
      </c>
      <c r="AO253" s="26">
        <f t="shared" si="7"/>
        <v>0</v>
      </c>
      <c r="AP253" s="114">
        <f t="shared" si="8"/>
        <v>0</v>
      </c>
      <c r="AQ253" s="10"/>
    </row>
    <row r="254">
      <c r="A254" s="29" t="str">
        <f>'MASTER STOCK'!F251</f>
        <v>cetok sukun sedang</v>
      </c>
      <c r="B254" s="30">
        <f>'OKT 25'!AJ254:AJ637</f>
        <v>2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23">
        <f t="shared" si="3"/>
        <v>0</v>
      </c>
      <c r="AI254" s="24">
        <v>0.0</v>
      </c>
      <c r="AJ254" s="32">
        <f t="shared" si="4"/>
        <v>2</v>
      </c>
      <c r="AK254" s="32">
        <f t="shared" si="5"/>
        <v>2</v>
      </c>
      <c r="AL254" s="25">
        <f>'MASTER STOCK'!I251</f>
        <v>17000</v>
      </c>
      <c r="AM254" s="27">
        <f>'MASTER STOCK'!L251</f>
        <v>17000</v>
      </c>
      <c r="AN254" s="27">
        <f t="shared" si="6"/>
        <v>0</v>
      </c>
      <c r="AO254" s="26">
        <f t="shared" si="7"/>
        <v>0</v>
      </c>
      <c r="AP254" s="114">
        <f t="shared" si="8"/>
        <v>0</v>
      </c>
      <c r="AQ254" s="10"/>
    </row>
    <row r="255">
      <c r="A255" s="29" t="str">
        <f>'MASTER STOCK'!F252</f>
        <v>cetak sukun kecil</v>
      </c>
      <c r="B255" s="30">
        <f>'OKT 25'!AJ255:AJ638</f>
        <v>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23">
        <f t="shared" si="3"/>
        <v>0</v>
      </c>
      <c r="AI255" s="24">
        <v>0.0</v>
      </c>
      <c r="AJ255" s="32">
        <f t="shared" si="4"/>
        <v>1</v>
      </c>
      <c r="AK255" s="32">
        <f t="shared" si="5"/>
        <v>1</v>
      </c>
      <c r="AL255" s="25">
        <f>'MASTER STOCK'!I252</f>
        <v>14000</v>
      </c>
      <c r="AM255" s="27">
        <f>'MASTER STOCK'!L252</f>
        <v>14000</v>
      </c>
      <c r="AN255" s="27">
        <f t="shared" si="6"/>
        <v>0</v>
      </c>
      <c r="AO255" s="26">
        <f t="shared" si="7"/>
        <v>0</v>
      </c>
      <c r="AP255" s="114">
        <f t="shared" si="8"/>
        <v>0</v>
      </c>
      <c r="AQ255" s="10"/>
    </row>
    <row r="256">
      <c r="A256" s="29" t="str">
        <f>'MASTER STOCK'!F253</f>
        <v>paku payung</v>
      </c>
      <c r="B256" s="30">
        <f>'OKT 25'!AJ256:AJ639</f>
        <v>57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23">
        <f t="shared" si="3"/>
        <v>0</v>
      </c>
      <c r="AI256" s="24">
        <v>0.0</v>
      </c>
      <c r="AJ256" s="32">
        <f t="shared" si="4"/>
        <v>57</v>
      </c>
      <c r="AK256" s="32">
        <f t="shared" si="5"/>
        <v>57</v>
      </c>
      <c r="AL256" s="25">
        <f>'MASTER STOCK'!I253</f>
        <v>25000</v>
      </c>
      <c r="AM256" s="27">
        <f>'MASTER STOCK'!L253</f>
        <v>25000</v>
      </c>
      <c r="AN256" s="27">
        <f t="shared" si="6"/>
        <v>0</v>
      </c>
      <c r="AO256" s="26">
        <f t="shared" si="7"/>
        <v>0</v>
      </c>
      <c r="AP256" s="114">
        <f t="shared" si="8"/>
        <v>0</v>
      </c>
      <c r="AQ256" s="10"/>
    </row>
    <row r="257">
      <c r="A257" s="29" t="str">
        <f>'MASTER STOCK'!F254</f>
        <v>pinnes</v>
      </c>
      <c r="B257" s="30">
        <f>'OKT 25'!AJ257:AJ640</f>
        <v>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23">
        <f t="shared" si="3"/>
        <v>0</v>
      </c>
      <c r="AI257" s="24">
        <v>0.0</v>
      </c>
      <c r="AJ257" s="32">
        <f t="shared" si="4"/>
        <v>1</v>
      </c>
      <c r="AK257" s="32">
        <f t="shared" si="5"/>
        <v>1</v>
      </c>
      <c r="AL257" s="25">
        <f>'MASTER STOCK'!I254</f>
        <v>6000</v>
      </c>
      <c r="AM257" s="27">
        <f>'MASTER STOCK'!L254</f>
        <v>6000</v>
      </c>
      <c r="AN257" s="27">
        <f t="shared" si="6"/>
        <v>0</v>
      </c>
      <c r="AO257" s="26">
        <f t="shared" si="7"/>
        <v>0</v>
      </c>
      <c r="AP257" s="114">
        <f t="shared" si="8"/>
        <v>0</v>
      </c>
      <c r="AQ257" s="10"/>
    </row>
    <row r="258">
      <c r="A258" s="29" t="str">
        <f>'MASTER STOCK'!F255</f>
        <v>jaring kawat 1/2</v>
      </c>
      <c r="B258" s="30">
        <f>'OKT 25'!AJ258:AJ641</f>
        <v>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23">
        <f t="shared" si="3"/>
        <v>0</v>
      </c>
      <c r="AI258" s="24">
        <v>0.0</v>
      </c>
      <c r="AJ258" s="32">
        <f t="shared" si="4"/>
        <v>1</v>
      </c>
      <c r="AK258" s="32">
        <f t="shared" si="5"/>
        <v>1</v>
      </c>
      <c r="AL258" s="25">
        <f>'MASTER STOCK'!I255</f>
        <v>14000</v>
      </c>
      <c r="AM258" s="27">
        <f>'MASTER STOCK'!L255</f>
        <v>14000</v>
      </c>
      <c r="AN258" s="27">
        <f t="shared" si="6"/>
        <v>0</v>
      </c>
      <c r="AO258" s="26">
        <f t="shared" si="7"/>
        <v>0</v>
      </c>
      <c r="AP258" s="114">
        <f t="shared" si="8"/>
        <v>0</v>
      </c>
      <c r="AQ258" s="10"/>
    </row>
    <row r="259">
      <c r="A259" s="29" t="str">
        <f>'MASTER STOCK'!F256</f>
        <v>jaring kawat 1/4</v>
      </c>
      <c r="B259" s="30">
        <f>'OKT 25'!AJ259:AJ642</f>
        <v>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23">
        <f t="shared" si="3"/>
        <v>0</v>
      </c>
      <c r="AI259" s="24">
        <v>0.0</v>
      </c>
      <c r="AJ259" s="32">
        <f t="shared" si="4"/>
        <v>1</v>
      </c>
      <c r="AK259" s="32">
        <f t="shared" si="5"/>
        <v>1</v>
      </c>
      <c r="AL259" s="25">
        <f>'MASTER STOCK'!I256</f>
        <v>15000</v>
      </c>
      <c r="AM259" s="27">
        <f>'MASTER STOCK'!L256</f>
        <v>15000</v>
      </c>
      <c r="AN259" s="27">
        <f t="shared" si="6"/>
        <v>0</v>
      </c>
      <c r="AO259" s="26">
        <f t="shared" si="7"/>
        <v>0</v>
      </c>
      <c r="AP259" s="114">
        <f t="shared" si="8"/>
        <v>0</v>
      </c>
      <c r="AQ259" s="10"/>
    </row>
    <row r="260">
      <c r="A260" s="29" t="str">
        <f>'MASTER STOCK'!F257</f>
        <v>lampu kepala</v>
      </c>
      <c r="B260" s="30">
        <f>'OKT 25'!AJ260:AJ643</f>
        <v>4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23">
        <f t="shared" si="3"/>
        <v>0</v>
      </c>
      <c r="AI260" s="24">
        <v>0.0</v>
      </c>
      <c r="AJ260" s="32">
        <f t="shared" si="4"/>
        <v>4</v>
      </c>
      <c r="AK260" s="32">
        <f t="shared" si="5"/>
        <v>4</v>
      </c>
      <c r="AL260" s="25">
        <f>'MASTER STOCK'!I257</f>
        <v>31500</v>
      </c>
      <c r="AM260" s="27">
        <f>'MASTER STOCK'!L257</f>
        <v>31500</v>
      </c>
      <c r="AN260" s="27">
        <f t="shared" si="6"/>
        <v>0</v>
      </c>
      <c r="AO260" s="26">
        <f t="shared" si="7"/>
        <v>0</v>
      </c>
      <c r="AP260" s="114">
        <f t="shared" si="8"/>
        <v>0</v>
      </c>
      <c r="AQ260" s="10"/>
    </row>
    <row r="261">
      <c r="A261" s="29" t="str">
        <f>'MASTER STOCK'!F258</f>
        <v>lampu led muxindo 25 watt</v>
      </c>
      <c r="B261" s="30">
        <f>'OKT 25'!AJ261:AJ644</f>
        <v>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23">
        <f t="shared" si="3"/>
        <v>0</v>
      </c>
      <c r="AI261" s="24">
        <v>0.0</v>
      </c>
      <c r="AJ261" s="32">
        <f t="shared" si="4"/>
        <v>1</v>
      </c>
      <c r="AK261" s="32">
        <f t="shared" si="5"/>
        <v>1</v>
      </c>
      <c r="AL261" s="25">
        <f>'MASTER STOCK'!I258</f>
        <v>25000</v>
      </c>
      <c r="AM261" s="27">
        <f>'MASTER STOCK'!L258</f>
        <v>25000</v>
      </c>
      <c r="AN261" s="27">
        <f t="shared" si="6"/>
        <v>0</v>
      </c>
      <c r="AO261" s="26">
        <f t="shared" si="7"/>
        <v>0</v>
      </c>
      <c r="AP261" s="114">
        <f t="shared" si="8"/>
        <v>0</v>
      </c>
      <c r="AQ261" s="10"/>
    </row>
    <row r="262">
      <c r="A262" s="29" t="str">
        <f>'MASTER STOCK'!F259</f>
        <v>lampu hemat  5 watt</v>
      </c>
      <c r="B262" s="30">
        <f>'OKT 25'!AJ262:AJ645</f>
        <v>4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22">
        <v>3.0</v>
      </c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23">
        <f t="shared" si="3"/>
        <v>3</v>
      </c>
      <c r="AI262" s="24">
        <v>0.0</v>
      </c>
      <c r="AJ262" s="32">
        <f t="shared" si="4"/>
        <v>1</v>
      </c>
      <c r="AK262" s="32">
        <f t="shared" si="5"/>
        <v>1</v>
      </c>
      <c r="AL262" s="25">
        <f>'MASTER STOCK'!I259</f>
        <v>6000</v>
      </c>
      <c r="AM262" s="27">
        <f>'MASTER STOCK'!L259</f>
        <v>7000</v>
      </c>
      <c r="AN262" s="27">
        <f t="shared" si="6"/>
        <v>21000</v>
      </c>
      <c r="AO262" s="26">
        <f t="shared" si="7"/>
        <v>3000</v>
      </c>
      <c r="AP262" s="114">
        <f t="shared" si="8"/>
        <v>18000</v>
      </c>
      <c r="AQ262" s="10"/>
    </row>
    <row r="263">
      <c r="A263" s="29" t="str">
        <f>'MASTER STOCK'!F260</f>
        <v>skrup atap  sedang</v>
      </c>
      <c r="B263" s="30">
        <f>'OKT 25'!AJ263:AJ646</f>
        <v>20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23">
        <f t="shared" si="3"/>
        <v>0</v>
      </c>
      <c r="AI263" s="24">
        <v>0.0</v>
      </c>
      <c r="AJ263" s="32">
        <f t="shared" si="4"/>
        <v>20</v>
      </c>
      <c r="AK263" s="32">
        <f t="shared" si="5"/>
        <v>20</v>
      </c>
      <c r="AL263" s="25">
        <f>'MASTER STOCK'!I260</f>
        <v>0</v>
      </c>
      <c r="AM263" s="27">
        <f>'MASTER STOCK'!L260</f>
        <v>0</v>
      </c>
      <c r="AN263" s="27">
        <f t="shared" si="6"/>
        <v>0</v>
      </c>
      <c r="AO263" s="26">
        <f t="shared" si="7"/>
        <v>0</v>
      </c>
      <c r="AP263" s="114">
        <f t="shared" si="8"/>
        <v>0</v>
      </c>
      <c r="AQ263" s="10"/>
    </row>
    <row r="264">
      <c r="A264" s="29" t="str">
        <f>'MASTER STOCK'!F261</f>
        <v>waseo led panel 3+3w</v>
      </c>
      <c r="B264" s="30">
        <f>'OKT 25'!AJ264:AJ647</f>
        <v>2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23">
        <f t="shared" si="3"/>
        <v>0</v>
      </c>
      <c r="AI264" s="24">
        <v>0.0</v>
      </c>
      <c r="AJ264" s="32">
        <f t="shared" si="4"/>
        <v>2</v>
      </c>
      <c r="AK264" s="32">
        <f t="shared" si="5"/>
        <v>2</v>
      </c>
      <c r="AL264" s="25">
        <f>'MASTER STOCK'!I261</f>
        <v>23000</v>
      </c>
      <c r="AM264" s="27">
        <f>'MASTER STOCK'!L261</f>
        <v>23000</v>
      </c>
      <c r="AN264" s="27">
        <f t="shared" si="6"/>
        <v>0</v>
      </c>
      <c r="AO264" s="26">
        <f t="shared" si="7"/>
        <v>0</v>
      </c>
      <c r="AP264" s="114">
        <f t="shared" si="8"/>
        <v>0</v>
      </c>
      <c r="AQ264" s="10"/>
    </row>
    <row r="265">
      <c r="A265" s="29" t="str">
        <f>'MASTER STOCK'!F262</f>
        <v>distribution box</v>
      </c>
      <c r="B265" s="30">
        <f>'OKT 25'!AJ265:AJ648</f>
        <v>2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23">
        <f t="shared" si="3"/>
        <v>0</v>
      </c>
      <c r="AI265" s="24">
        <v>0.0</v>
      </c>
      <c r="AJ265" s="32">
        <f t="shared" si="4"/>
        <v>2</v>
      </c>
      <c r="AK265" s="32">
        <f t="shared" si="5"/>
        <v>2</v>
      </c>
      <c r="AL265" s="25">
        <f>'MASTER STOCK'!I262</f>
        <v>15000</v>
      </c>
      <c r="AM265" s="27">
        <f>'MASTER STOCK'!L262</f>
        <v>15000</v>
      </c>
      <c r="AN265" s="27">
        <f t="shared" si="6"/>
        <v>0</v>
      </c>
      <c r="AO265" s="26">
        <f t="shared" si="7"/>
        <v>0</v>
      </c>
      <c r="AP265" s="114">
        <f t="shared" si="8"/>
        <v>0</v>
      </c>
      <c r="AQ265" s="10"/>
    </row>
    <row r="266">
      <c r="A266" s="29" t="str">
        <f>'MASTER STOCK'!F263</f>
        <v>skrup kecil</v>
      </c>
      <c r="B266" s="30">
        <f>'OKT 25'!AJ266:AJ649</f>
        <v>10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23">
        <f t="shared" si="3"/>
        <v>0</v>
      </c>
      <c r="AI266" s="24">
        <v>0.0</v>
      </c>
      <c r="AJ266" s="32">
        <f t="shared" si="4"/>
        <v>10</v>
      </c>
      <c r="AK266" s="32">
        <f t="shared" si="5"/>
        <v>10</v>
      </c>
      <c r="AL266" s="25">
        <f>'MASTER STOCK'!I263</f>
        <v>0</v>
      </c>
      <c r="AM266" s="27">
        <f>'MASTER STOCK'!L263</f>
        <v>0</v>
      </c>
      <c r="AN266" s="27">
        <f t="shared" si="6"/>
        <v>0</v>
      </c>
      <c r="AO266" s="26">
        <f t="shared" si="7"/>
        <v>0</v>
      </c>
      <c r="AP266" s="114">
        <f t="shared" si="8"/>
        <v>0</v>
      </c>
      <c r="AQ266" s="10"/>
    </row>
    <row r="267">
      <c r="A267" s="29" t="str">
        <f>'MASTER STOCK'!F264</f>
        <v>skrup besar</v>
      </c>
      <c r="B267" s="30">
        <f>'OKT 25'!AJ267:AJ650</f>
        <v>41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23">
        <f t="shared" si="3"/>
        <v>0</v>
      </c>
      <c r="AI267" s="24">
        <v>0.0</v>
      </c>
      <c r="AJ267" s="32">
        <f t="shared" si="4"/>
        <v>41</v>
      </c>
      <c r="AK267" s="32">
        <f t="shared" si="5"/>
        <v>41</v>
      </c>
      <c r="AL267" s="25">
        <f>'MASTER STOCK'!I264</f>
        <v>0</v>
      </c>
      <c r="AM267" s="27">
        <f>'MASTER STOCK'!L264</f>
        <v>0</v>
      </c>
      <c r="AN267" s="27">
        <f t="shared" si="6"/>
        <v>0</v>
      </c>
      <c r="AO267" s="26">
        <f t="shared" si="7"/>
        <v>0</v>
      </c>
      <c r="AP267" s="114">
        <f t="shared" si="8"/>
        <v>0</v>
      </c>
      <c r="AQ267" s="10"/>
    </row>
    <row r="268">
      <c r="A268" s="29" t="str">
        <f>'MASTER STOCK'!F265</f>
        <v>floor stainer plastik</v>
      </c>
      <c r="B268" s="30">
        <f>'OKT 25'!AJ268:AJ651</f>
        <v>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23">
        <f t="shared" si="3"/>
        <v>0</v>
      </c>
      <c r="AI268" s="24">
        <v>0.0</v>
      </c>
      <c r="AJ268" s="32">
        <f t="shared" si="4"/>
        <v>1</v>
      </c>
      <c r="AK268" s="32">
        <f t="shared" si="5"/>
        <v>1</v>
      </c>
      <c r="AL268" s="25">
        <f>'MASTER STOCK'!I265</f>
        <v>24000</v>
      </c>
      <c r="AM268" s="27">
        <f>'MASTER STOCK'!L265</f>
        <v>24000</v>
      </c>
      <c r="AN268" s="27">
        <f t="shared" si="6"/>
        <v>0</v>
      </c>
      <c r="AO268" s="26">
        <f t="shared" si="7"/>
        <v>0</v>
      </c>
      <c r="AP268" s="114">
        <f t="shared" si="8"/>
        <v>0</v>
      </c>
      <c r="AQ268" s="10"/>
    </row>
    <row r="269">
      <c r="A269" s="29" t="str">
        <f>'MASTER STOCK'!F266</f>
        <v>skrup atap  kecil</v>
      </c>
      <c r="B269" s="30">
        <f>'OKT 25'!AJ269:AJ652</f>
        <v>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23">
        <f t="shared" si="3"/>
        <v>0</v>
      </c>
      <c r="AI269" s="24">
        <v>0.0</v>
      </c>
      <c r="AJ269" s="32">
        <f t="shared" si="4"/>
        <v>1</v>
      </c>
      <c r="AK269" s="32">
        <f t="shared" si="5"/>
        <v>1</v>
      </c>
      <c r="AL269" s="25">
        <f>'MASTER STOCK'!I266</f>
        <v>0</v>
      </c>
      <c r="AM269" s="27">
        <f>'MASTER STOCK'!L266</f>
        <v>0</v>
      </c>
      <c r="AN269" s="27">
        <f t="shared" si="6"/>
        <v>0</v>
      </c>
      <c r="AO269" s="26">
        <f t="shared" si="7"/>
        <v>0</v>
      </c>
      <c r="AP269" s="114">
        <f t="shared" si="8"/>
        <v>0</v>
      </c>
      <c r="AQ269" s="10"/>
    </row>
    <row r="270">
      <c r="A270" s="29" t="str">
        <f>'MASTER STOCK'!F267</f>
        <v>lampu led</v>
      </c>
      <c r="B270" s="30">
        <f>'OKT 25'!AJ270:AJ653</f>
        <v>10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23">
        <f t="shared" si="3"/>
        <v>0</v>
      </c>
      <c r="AI270" s="24">
        <v>0.0</v>
      </c>
      <c r="AJ270" s="32">
        <f t="shared" si="4"/>
        <v>10</v>
      </c>
      <c r="AK270" s="32">
        <f t="shared" si="5"/>
        <v>10</v>
      </c>
      <c r="AL270" s="25">
        <f>'MASTER STOCK'!I267</f>
        <v>11000</v>
      </c>
      <c r="AM270" s="27">
        <f>'MASTER STOCK'!L267</f>
        <v>11000</v>
      </c>
      <c r="AN270" s="27">
        <f t="shared" si="6"/>
        <v>0</v>
      </c>
      <c r="AO270" s="26">
        <f t="shared" si="7"/>
        <v>0</v>
      </c>
      <c r="AP270" s="114">
        <f t="shared" si="8"/>
        <v>0</v>
      </c>
      <c r="AQ270" s="10"/>
    </row>
    <row r="271">
      <c r="A271" s="29" t="str">
        <f>'MASTER STOCK'!F268</f>
        <v>waterpres magnet (alat ukur)</v>
      </c>
      <c r="B271" s="30">
        <f>'OKT 25'!AJ271:AJ654</f>
        <v>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23">
        <f t="shared" si="3"/>
        <v>0</v>
      </c>
      <c r="AI271" s="24">
        <v>0.0</v>
      </c>
      <c r="AJ271" s="32">
        <f t="shared" si="4"/>
        <v>1</v>
      </c>
      <c r="AK271" s="32">
        <f t="shared" si="5"/>
        <v>1</v>
      </c>
      <c r="AL271" s="25">
        <f>'MASTER STOCK'!I268</f>
        <v>33000</v>
      </c>
      <c r="AM271" s="27">
        <f>'MASTER STOCK'!L268</f>
        <v>33000</v>
      </c>
      <c r="AN271" s="27">
        <f t="shared" si="6"/>
        <v>0</v>
      </c>
      <c r="AO271" s="26">
        <f t="shared" si="7"/>
        <v>0</v>
      </c>
      <c r="AP271" s="114">
        <f t="shared" si="8"/>
        <v>0</v>
      </c>
      <c r="AQ271" s="10"/>
    </row>
    <row r="272">
      <c r="A272" s="29" t="str">
        <f>'MASTER STOCK'!F269</f>
        <v>round kabel klip 6 mm</v>
      </c>
      <c r="B272" s="30">
        <f>'OKT 25'!AJ272:AJ655</f>
        <v>15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23">
        <f t="shared" si="3"/>
        <v>0</v>
      </c>
      <c r="AI272" s="24">
        <v>0.0</v>
      </c>
      <c r="AJ272" s="32">
        <f t="shared" si="4"/>
        <v>15</v>
      </c>
      <c r="AK272" s="32">
        <f t="shared" si="5"/>
        <v>15</v>
      </c>
      <c r="AL272" s="25">
        <f>'MASTER STOCK'!I269</f>
        <v>2000</v>
      </c>
      <c r="AM272" s="27">
        <f>'MASTER STOCK'!L269</f>
        <v>2000</v>
      </c>
      <c r="AN272" s="27">
        <f t="shared" si="6"/>
        <v>0</v>
      </c>
      <c r="AO272" s="26">
        <f t="shared" si="7"/>
        <v>0</v>
      </c>
      <c r="AP272" s="114">
        <f t="shared" si="8"/>
        <v>0</v>
      </c>
      <c r="AQ272" s="10"/>
    </row>
    <row r="273">
      <c r="A273" s="29" t="str">
        <f>'MASTER STOCK'!F270</f>
        <v>round kabel klip 7 mm</v>
      </c>
      <c r="B273" s="30">
        <f>'OKT 25'!AJ273:AJ656</f>
        <v>4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22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23">
        <f t="shared" si="3"/>
        <v>0</v>
      </c>
      <c r="AI273" s="24">
        <v>0.0</v>
      </c>
      <c r="AJ273" s="32">
        <f t="shared" si="4"/>
        <v>4</v>
      </c>
      <c r="AK273" s="32">
        <f t="shared" si="5"/>
        <v>4</v>
      </c>
      <c r="AL273" s="25">
        <f>'MASTER STOCK'!I270</f>
        <v>2000</v>
      </c>
      <c r="AM273" s="27">
        <f>'MASTER STOCK'!L270</f>
        <v>2000</v>
      </c>
      <c r="AN273" s="27">
        <f t="shared" si="6"/>
        <v>0</v>
      </c>
      <c r="AO273" s="26">
        <f t="shared" si="7"/>
        <v>0</v>
      </c>
      <c r="AP273" s="114">
        <f t="shared" si="8"/>
        <v>0</v>
      </c>
      <c r="AQ273" s="10"/>
    </row>
    <row r="274">
      <c r="A274" s="29" t="str">
        <f>'MASTER STOCK'!F271</f>
        <v>round kabel klip 9 mm</v>
      </c>
      <c r="B274" s="30">
        <f>'OKT 25'!AJ274:AJ657</f>
        <v>12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23">
        <f t="shared" si="3"/>
        <v>0</v>
      </c>
      <c r="AI274" s="24">
        <v>0.0</v>
      </c>
      <c r="AJ274" s="32">
        <f t="shared" si="4"/>
        <v>12</v>
      </c>
      <c r="AK274" s="32">
        <f t="shared" si="5"/>
        <v>12</v>
      </c>
      <c r="AL274" s="25">
        <f>'MASTER STOCK'!I271</f>
        <v>2500</v>
      </c>
      <c r="AM274" s="27">
        <f>'MASTER STOCK'!L271</f>
        <v>2500</v>
      </c>
      <c r="AN274" s="27">
        <f t="shared" si="6"/>
        <v>0</v>
      </c>
      <c r="AO274" s="26">
        <f t="shared" si="7"/>
        <v>0</v>
      </c>
      <c r="AP274" s="114">
        <f t="shared" si="8"/>
        <v>0</v>
      </c>
      <c r="AQ274" s="10"/>
    </row>
    <row r="275">
      <c r="A275" s="29" t="str">
        <f>'MASTER STOCK'!F272</f>
        <v>round kabel klip 10 mm</v>
      </c>
      <c r="B275" s="30">
        <f>'OKT 25'!AJ275:AJ658</f>
        <v>16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23">
        <f t="shared" si="3"/>
        <v>0</v>
      </c>
      <c r="AI275" s="24">
        <v>0.0</v>
      </c>
      <c r="AJ275" s="32">
        <f t="shared" si="4"/>
        <v>16</v>
      </c>
      <c r="AK275" s="32">
        <f t="shared" si="5"/>
        <v>16</v>
      </c>
      <c r="AL275" s="25">
        <f>'MASTER STOCK'!I272</f>
        <v>2500</v>
      </c>
      <c r="AM275" s="27">
        <f>'MASTER STOCK'!L272</f>
        <v>2500</v>
      </c>
      <c r="AN275" s="27">
        <f t="shared" si="6"/>
        <v>0</v>
      </c>
      <c r="AO275" s="26">
        <f t="shared" si="7"/>
        <v>0</v>
      </c>
      <c r="AP275" s="114">
        <f t="shared" si="8"/>
        <v>0</v>
      </c>
      <c r="AQ275" s="10"/>
    </row>
    <row r="276">
      <c r="A276" s="29" t="str">
        <f>'MASTER STOCK'!F273</f>
        <v>floor stainer stainless</v>
      </c>
      <c r="B276" s="30">
        <f>'OKT 25'!AJ276:AJ659</f>
        <v>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23">
        <f t="shared" si="3"/>
        <v>0</v>
      </c>
      <c r="AI276" s="24">
        <v>0.0</v>
      </c>
      <c r="AJ276" s="32">
        <f t="shared" si="4"/>
        <v>1</v>
      </c>
      <c r="AK276" s="32">
        <f t="shared" si="5"/>
        <v>1</v>
      </c>
      <c r="AL276" s="25">
        <f>'MASTER STOCK'!I273</f>
        <v>24000</v>
      </c>
      <c r="AM276" s="27">
        <f>'MASTER STOCK'!L273</f>
        <v>24000</v>
      </c>
      <c r="AN276" s="27">
        <f t="shared" si="6"/>
        <v>0</v>
      </c>
      <c r="AO276" s="26">
        <f t="shared" si="7"/>
        <v>0</v>
      </c>
      <c r="AP276" s="114">
        <f t="shared" si="8"/>
        <v>0</v>
      </c>
      <c r="AQ276" s="10"/>
    </row>
    <row r="277">
      <c r="A277" s="29" t="str">
        <f>'MASTER STOCK'!F274</f>
        <v>amplass bunder</v>
      </c>
      <c r="B277" s="30">
        <f>'OKT 25'!AJ277:AJ660</f>
        <v>8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23">
        <f t="shared" si="3"/>
        <v>0</v>
      </c>
      <c r="AI277" s="24">
        <v>0.0</v>
      </c>
      <c r="AJ277" s="32">
        <f t="shared" si="4"/>
        <v>8</v>
      </c>
      <c r="AK277" s="32">
        <f t="shared" si="5"/>
        <v>8</v>
      </c>
      <c r="AL277" s="25">
        <f>'MASTER STOCK'!I274</f>
        <v>2500</v>
      </c>
      <c r="AM277" s="27">
        <f>'MASTER STOCK'!L274</f>
        <v>2500</v>
      </c>
      <c r="AN277" s="27">
        <f t="shared" si="6"/>
        <v>0</v>
      </c>
      <c r="AO277" s="26">
        <f t="shared" si="7"/>
        <v>0</v>
      </c>
      <c r="AP277" s="114">
        <f t="shared" si="8"/>
        <v>0</v>
      </c>
      <c r="AQ277" s="10"/>
    </row>
    <row r="278">
      <c r="A278" s="29" t="str">
        <f>'MASTER STOCK'!F275</f>
        <v>paku beton 1 1/2</v>
      </c>
      <c r="B278" s="30">
        <f>'OKT 25'!AJ278:AJ661</f>
        <v>2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23">
        <f t="shared" si="3"/>
        <v>0</v>
      </c>
      <c r="AI278" s="24">
        <v>0.0</v>
      </c>
      <c r="AJ278" s="32">
        <f t="shared" si="4"/>
        <v>2</v>
      </c>
      <c r="AK278" s="32">
        <f t="shared" si="5"/>
        <v>2</v>
      </c>
      <c r="AL278" s="25">
        <f>'MASTER STOCK'!I275</f>
        <v>14000</v>
      </c>
      <c r="AM278" s="27">
        <f>'MASTER STOCK'!L275</f>
        <v>14000</v>
      </c>
      <c r="AN278" s="27">
        <f t="shared" si="6"/>
        <v>0</v>
      </c>
      <c r="AO278" s="26">
        <f t="shared" si="7"/>
        <v>0</v>
      </c>
      <c r="AP278" s="114">
        <f t="shared" si="8"/>
        <v>0</v>
      </c>
      <c r="AQ278" s="10"/>
    </row>
    <row r="279">
      <c r="A279" s="29" t="str">
        <f>'MASTER STOCK'!F276</f>
        <v>tusen klep air</v>
      </c>
      <c r="B279" s="30">
        <f>'OKT 25'!AJ279:AJ662</f>
        <v>4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23">
        <f t="shared" si="3"/>
        <v>0</v>
      </c>
      <c r="AI279" s="24">
        <v>0.0</v>
      </c>
      <c r="AJ279" s="32">
        <f t="shared" si="4"/>
        <v>4</v>
      </c>
      <c r="AK279" s="32">
        <f t="shared" si="5"/>
        <v>4</v>
      </c>
      <c r="AL279" s="25">
        <f>'MASTER STOCK'!I276</f>
        <v>0</v>
      </c>
      <c r="AM279" s="27">
        <f>'MASTER STOCK'!L276</f>
        <v>0</v>
      </c>
      <c r="AN279" s="27">
        <f t="shared" si="6"/>
        <v>0</v>
      </c>
      <c r="AO279" s="26">
        <f t="shared" si="7"/>
        <v>0</v>
      </c>
      <c r="AP279" s="114">
        <f t="shared" si="8"/>
        <v>0</v>
      </c>
      <c r="AQ279" s="10"/>
    </row>
    <row r="280">
      <c r="A280" s="29" t="str">
        <f>'MASTER STOCK'!F277</f>
        <v>saringan plastik biasa</v>
      </c>
      <c r="B280" s="30">
        <f>'OKT 25'!AJ280:AJ663</f>
        <v>3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23">
        <f t="shared" si="3"/>
        <v>0</v>
      </c>
      <c r="AI280" s="24">
        <v>0.0</v>
      </c>
      <c r="AJ280" s="32">
        <f t="shared" si="4"/>
        <v>3</v>
      </c>
      <c r="AK280" s="32">
        <f t="shared" si="5"/>
        <v>3</v>
      </c>
      <c r="AL280" s="25">
        <f>'MASTER STOCK'!I277</f>
        <v>12000</v>
      </c>
      <c r="AM280" s="27">
        <f>'MASTER STOCK'!L277</f>
        <v>12000</v>
      </c>
      <c r="AN280" s="27">
        <f t="shared" si="6"/>
        <v>0</v>
      </c>
      <c r="AO280" s="26">
        <f t="shared" si="7"/>
        <v>0</v>
      </c>
      <c r="AP280" s="114">
        <f t="shared" si="8"/>
        <v>0</v>
      </c>
      <c r="AQ280" s="10"/>
    </row>
    <row r="281">
      <c r="A281" s="29" t="str">
        <f>'MASTER STOCK'!F278</f>
        <v>kuas  2</v>
      </c>
      <c r="B281" s="30">
        <f>'OKT 25'!AJ281:AJ664</f>
        <v>2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23">
        <f t="shared" si="3"/>
        <v>0</v>
      </c>
      <c r="AI281" s="24">
        <v>0.0</v>
      </c>
      <c r="AJ281" s="32">
        <f t="shared" si="4"/>
        <v>2</v>
      </c>
      <c r="AK281" s="32">
        <f t="shared" si="5"/>
        <v>2</v>
      </c>
      <c r="AL281" s="25">
        <f>'MASTER STOCK'!I278</f>
        <v>8000</v>
      </c>
      <c r="AM281" s="27">
        <f>'MASTER STOCK'!L278</f>
        <v>8000</v>
      </c>
      <c r="AN281" s="27">
        <f t="shared" si="6"/>
        <v>0</v>
      </c>
      <c r="AO281" s="26">
        <f t="shared" si="7"/>
        <v>0</v>
      </c>
      <c r="AP281" s="114">
        <f t="shared" si="8"/>
        <v>0</v>
      </c>
      <c r="AQ281" s="10"/>
    </row>
    <row r="282">
      <c r="A282" s="29" t="str">
        <f>'MASTER STOCK'!F279</f>
        <v>afur hpp</v>
      </c>
      <c r="B282" s="30">
        <f>'OKT 25'!AJ282:AJ665</f>
        <v>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23">
        <f t="shared" si="3"/>
        <v>0</v>
      </c>
      <c r="AI282" s="24">
        <v>0.0</v>
      </c>
      <c r="AJ282" s="32">
        <f t="shared" si="4"/>
        <v>1</v>
      </c>
      <c r="AK282" s="32">
        <f t="shared" si="5"/>
        <v>1</v>
      </c>
      <c r="AL282" s="25">
        <f>'MASTER STOCK'!I279</f>
        <v>27000</v>
      </c>
      <c r="AM282" s="27">
        <f>'MASTER STOCK'!L279</f>
        <v>27000</v>
      </c>
      <c r="AN282" s="27">
        <f t="shared" si="6"/>
        <v>0</v>
      </c>
      <c r="AO282" s="26">
        <f t="shared" si="7"/>
        <v>0</v>
      </c>
      <c r="AP282" s="114">
        <f t="shared" si="8"/>
        <v>0</v>
      </c>
      <c r="AQ282" s="10"/>
    </row>
    <row r="283">
      <c r="A283" s="29" t="str">
        <f>'MASTER STOCK'!F280</f>
        <v>afur klasik</v>
      </c>
      <c r="B283" s="30">
        <f>'OKT 25'!AJ283:AJ666</f>
        <v>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23">
        <f t="shared" si="3"/>
        <v>0</v>
      </c>
      <c r="AI283" s="24">
        <v>0.0</v>
      </c>
      <c r="AJ283" s="32">
        <f t="shared" si="4"/>
        <v>1</v>
      </c>
      <c r="AK283" s="32">
        <f t="shared" si="5"/>
        <v>1</v>
      </c>
      <c r="AL283" s="25">
        <f>'MASTER STOCK'!I280</f>
        <v>32000</v>
      </c>
      <c r="AM283" s="27">
        <f>'MASTER STOCK'!L280</f>
        <v>32000</v>
      </c>
      <c r="AN283" s="27">
        <f t="shared" si="6"/>
        <v>0</v>
      </c>
      <c r="AO283" s="26">
        <f t="shared" si="7"/>
        <v>0</v>
      </c>
      <c r="AP283" s="114">
        <f t="shared" si="8"/>
        <v>0</v>
      </c>
      <c r="AQ283" s="10"/>
    </row>
    <row r="284">
      <c r="A284" s="29" t="str">
        <f>'MASTER STOCK'!F281</f>
        <v>kuas cat garis</v>
      </c>
      <c r="B284" s="30">
        <f>'OKT 25'!AJ284:AJ667</f>
        <v>4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23">
        <f t="shared" si="3"/>
        <v>0</v>
      </c>
      <c r="AI284" s="24">
        <v>0.0</v>
      </c>
      <c r="AJ284" s="32">
        <f t="shared" si="4"/>
        <v>4</v>
      </c>
      <c r="AK284" s="32">
        <f t="shared" si="5"/>
        <v>4</v>
      </c>
      <c r="AL284" s="25">
        <f>'MASTER STOCK'!I281</f>
        <v>9000</v>
      </c>
      <c r="AM284" s="27">
        <f>'MASTER STOCK'!L281</f>
        <v>9000</v>
      </c>
      <c r="AN284" s="27">
        <f t="shared" si="6"/>
        <v>0</v>
      </c>
      <c r="AO284" s="26">
        <f t="shared" si="7"/>
        <v>0</v>
      </c>
      <c r="AP284" s="114">
        <f t="shared" si="8"/>
        <v>0</v>
      </c>
      <c r="AQ284" s="10"/>
    </row>
    <row r="285">
      <c r="A285" s="29" t="str">
        <f>'MASTER STOCK'!F282</f>
        <v>pilox</v>
      </c>
      <c r="B285" s="30">
        <f>'OKT 25'!AJ285:AJ668</f>
        <v>4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23">
        <f t="shared" si="3"/>
        <v>0</v>
      </c>
      <c r="AI285" s="24">
        <v>0.0</v>
      </c>
      <c r="AJ285" s="32">
        <f t="shared" si="4"/>
        <v>4</v>
      </c>
      <c r="AK285" s="32">
        <f t="shared" si="5"/>
        <v>4</v>
      </c>
      <c r="AL285" s="25">
        <f>'MASTER STOCK'!I282</f>
        <v>29000</v>
      </c>
      <c r="AM285" s="27">
        <f>'MASTER STOCK'!L282</f>
        <v>29000</v>
      </c>
      <c r="AN285" s="27">
        <f t="shared" si="6"/>
        <v>0</v>
      </c>
      <c r="AO285" s="26">
        <f t="shared" si="7"/>
        <v>0</v>
      </c>
      <c r="AP285" s="114">
        <f t="shared" si="8"/>
        <v>0</v>
      </c>
      <c r="AQ285" s="10"/>
    </row>
    <row r="286">
      <c r="A286" s="29" t="str">
        <f>'MASTER STOCK'!F283</f>
        <v>sikring</v>
      </c>
      <c r="B286" s="30">
        <f>'OKT 25'!AJ286:AJ669</f>
        <v>5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23">
        <f t="shared" si="3"/>
        <v>0</v>
      </c>
      <c r="AI286" s="24">
        <v>0.0</v>
      </c>
      <c r="AJ286" s="32">
        <f t="shared" si="4"/>
        <v>5</v>
      </c>
      <c r="AK286" s="32">
        <f t="shared" si="5"/>
        <v>5</v>
      </c>
      <c r="AL286" s="25">
        <f>'MASTER STOCK'!I283</f>
        <v>3500</v>
      </c>
      <c r="AM286" s="27">
        <f>'MASTER STOCK'!L283</f>
        <v>3500</v>
      </c>
      <c r="AN286" s="27">
        <f t="shared" si="6"/>
        <v>0</v>
      </c>
      <c r="AO286" s="26">
        <f t="shared" si="7"/>
        <v>0</v>
      </c>
      <c r="AP286" s="114">
        <f t="shared" si="8"/>
        <v>0</v>
      </c>
      <c r="AQ286" s="10"/>
    </row>
    <row r="287">
      <c r="A287" s="29" t="str">
        <f>'MASTER STOCK'!F284</f>
        <v>Tutup  skring</v>
      </c>
      <c r="B287" s="30">
        <f>'OKT 25'!AJ287:AJ670</f>
        <v>14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23">
        <f t="shared" si="3"/>
        <v>0</v>
      </c>
      <c r="AI287" s="24">
        <v>0.0</v>
      </c>
      <c r="AJ287" s="32">
        <f t="shared" si="4"/>
        <v>14</v>
      </c>
      <c r="AK287" s="32">
        <f t="shared" si="5"/>
        <v>14</v>
      </c>
      <c r="AL287" s="25">
        <f>'MASTER STOCK'!I284</f>
        <v>3500</v>
      </c>
      <c r="AM287" s="27">
        <f>'MASTER STOCK'!L284</f>
        <v>3500</v>
      </c>
      <c r="AN287" s="27">
        <f t="shared" si="6"/>
        <v>0</v>
      </c>
      <c r="AO287" s="26">
        <f t="shared" si="7"/>
        <v>0</v>
      </c>
      <c r="AP287" s="114">
        <f t="shared" si="8"/>
        <v>0</v>
      </c>
      <c r="AQ287" s="10"/>
    </row>
    <row r="288">
      <c r="A288" s="29" t="str">
        <f>'MASTER STOCK'!F285</f>
        <v>kabel serabut 0.75 mm</v>
      </c>
      <c r="B288" s="30">
        <f>'OKT 25'!AJ288:AJ671</f>
        <v>0.5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23">
        <f t="shared" si="3"/>
        <v>0</v>
      </c>
      <c r="AI288" s="24">
        <v>0.0</v>
      </c>
      <c r="AJ288" s="32">
        <f t="shared" si="4"/>
        <v>0.5</v>
      </c>
      <c r="AK288" s="32">
        <f t="shared" si="5"/>
        <v>0.5</v>
      </c>
      <c r="AL288" s="25">
        <f>'MASTER STOCK'!I285</f>
        <v>2000</v>
      </c>
      <c r="AM288" s="27">
        <f>'MASTER STOCK'!L285</f>
        <v>2000</v>
      </c>
      <c r="AN288" s="27">
        <f t="shared" si="6"/>
        <v>0</v>
      </c>
      <c r="AO288" s="26">
        <f t="shared" si="7"/>
        <v>0</v>
      </c>
      <c r="AP288" s="114">
        <f t="shared" si="8"/>
        <v>0</v>
      </c>
      <c r="AQ288" s="10"/>
    </row>
    <row r="289">
      <c r="A289" s="29" t="str">
        <f>'MASTER STOCK'!F286</f>
        <v>Steker Gepeng</v>
      </c>
      <c r="B289" s="30">
        <f>'OKT 25'!AJ289:AJ672</f>
        <v>5</v>
      </c>
      <c r="C289" s="10"/>
      <c r="D289" s="10"/>
      <c r="E289" s="10"/>
      <c r="F289" s="10"/>
      <c r="G289" s="10"/>
      <c r="H289" s="10"/>
      <c r="I289" s="10"/>
      <c r="J289" s="10"/>
      <c r="K289" s="22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23">
        <f t="shared" si="3"/>
        <v>0</v>
      </c>
      <c r="AI289" s="24">
        <v>0.0</v>
      </c>
      <c r="AJ289" s="32">
        <f t="shared" si="4"/>
        <v>5</v>
      </c>
      <c r="AK289" s="32">
        <f t="shared" si="5"/>
        <v>5</v>
      </c>
      <c r="AL289" s="25">
        <f>'MASTER STOCK'!I286</f>
        <v>4000</v>
      </c>
      <c r="AM289" s="27">
        <f>'MASTER STOCK'!L286</f>
        <v>4000</v>
      </c>
      <c r="AN289" s="27">
        <f t="shared" si="6"/>
        <v>0</v>
      </c>
      <c r="AO289" s="26">
        <f t="shared" si="7"/>
        <v>0</v>
      </c>
      <c r="AP289" s="114">
        <f t="shared" si="8"/>
        <v>0</v>
      </c>
      <c r="AQ289" s="10"/>
    </row>
    <row r="290">
      <c r="A290" s="29" t="str">
        <f>'MASTER STOCK'!F287</f>
        <v>Skalar Tunggal</v>
      </c>
      <c r="B290" s="30">
        <f>'OKT 25'!AJ290:AJ673</f>
        <v>2</v>
      </c>
      <c r="C290" s="22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23">
        <f t="shared" si="3"/>
        <v>0</v>
      </c>
      <c r="AI290" s="24">
        <v>0.0</v>
      </c>
      <c r="AJ290" s="32">
        <f t="shared" si="4"/>
        <v>2</v>
      </c>
      <c r="AK290" s="32">
        <f t="shared" si="5"/>
        <v>2</v>
      </c>
      <c r="AL290" s="25">
        <f>'MASTER STOCK'!I287</f>
        <v>6500</v>
      </c>
      <c r="AM290" s="27">
        <f>'MASTER STOCK'!L287</f>
        <v>6500</v>
      </c>
      <c r="AN290" s="27">
        <f t="shared" si="6"/>
        <v>0</v>
      </c>
      <c r="AO290" s="26">
        <f t="shared" si="7"/>
        <v>0</v>
      </c>
      <c r="AP290" s="114">
        <f t="shared" si="8"/>
        <v>0</v>
      </c>
      <c r="AQ290" s="10"/>
    </row>
    <row r="291">
      <c r="A291" s="29" t="str">
        <f>'MASTER STOCK'!F288</f>
        <v>Saklar Ganda</v>
      </c>
      <c r="B291" s="30">
        <f>'OKT 25'!AJ291:AJ674</f>
        <v>3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23">
        <f t="shared" si="3"/>
        <v>0</v>
      </c>
      <c r="AI291" s="24">
        <v>0.0</v>
      </c>
      <c r="AJ291" s="32">
        <f t="shared" si="4"/>
        <v>3</v>
      </c>
      <c r="AK291" s="32">
        <f t="shared" si="5"/>
        <v>3</v>
      </c>
      <c r="AL291" s="25">
        <f>'MASTER STOCK'!I288</f>
        <v>8000</v>
      </c>
      <c r="AM291" s="27">
        <f>'MASTER STOCK'!L288</f>
        <v>8000</v>
      </c>
      <c r="AN291" s="27">
        <f t="shared" si="6"/>
        <v>0</v>
      </c>
      <c r="AO291" s="26">
        <f t="shared" si="7"/>
        <v>0</v>
      </c>
      <c r="AP291" s="114">
        <f t="shared" si="8"/>
        <v>0</v>
      </c>
      <c r="AQ291" s="10"/>
    </row>
    <row r="292">
      <c r="A292" s="29" t="str">
        <f>'MASTER STOCK'!F289</f>
        <v>Kabel audio 2 x 1 1/2</v>
      </c>
      <c r="B292" s="30">
        <f>'OKT 25'!AJ292:AJ675</f>
        <v>100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23">
        <f t="shared" si="3"/>
        <v>0</v>
      </c>
      <c r="AI292" s="24">
        <v>0.0</v>
      </c>
      <c r="AJ292" s="32">
        <f t="shared" si="4"/>
        <v>100</v>
      </c>
      <c r="AK292" s="32">
        <f t="shared" si="5"/>
        <v>100</v>
      </c>
      <c r="AL292" s="25">
        <f>'MASTER STOCK'!I289</f>
        <v>3000</v>
      </c>
      <c r="AM292" s="27">
        <f>'MASTER STOCK'!L289</f>
        <v>3000</v>
      </c>
      <c r="AN292" s="27">
        <f t="shared" si="6"/>
        <v>0</v>
      </c>
      <c r="AO292" s="26">
        <f t="shared" si="7"/>
        <v>0</v>
      </c>
      <c r="AP292" s="114">
        <f t="shared" si="8"/>
        <v>0</v>
      </c>
      <c r="AQ292" s="10"/>
    </row>
    <row r="293">
      <c r="A293" s="29" t="str">
        <f>'MASTER STOCK'!F290</f>
        <v>Skalar Triple</v>
      </c>
      <c r="B293" s="30">
        <f>'OKT 25'!AJ293:AJ676</f>
        <v>2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23">
        <f t="shared" si="3"/>
        <v>0</v>
      </c>
      <c r="AI293" s="24">
        <v>0.0</v>
      </c>
      <c r="AJ293" s="32">
        <f t="shared" si="4"/>
        <v>2</v>
      </c>
      <c r="AK293" s="32">
        <f t="shared" si="5"/>
        <v>2</v>
      </c>
      <c r="AL293" s="25">
        <f>'MASTER STOCK'!I290</f>
        <v>35000</v>
      </c>
      <c r="AM293" s="27">
        <f>'MASTER STOCK'!L290</f>
        <v>35000</v>
      </c>
      <c r="AN293" s="27">
        <f t="shared" si="6"/>
        <v>0</v>
      </c>
      <c r="AO293" s="26">
        <f t="shared" si="7"/>
        <v>0</v>
      </c>
      <c r="AP293" s="114">
        <f t="shared" si="8"/>
        <v>0</v>
      </c>
      <c r="AQ293" s="10"/>
    </row>
    <row r="294">
      <c r="A294" s="29" t="str">
        <f>'MASTER STOCK'!F291</f>
        <v>Senter</v>
      </c>
      <c r="B294" s="30">
        <f>'OKT 25'!AJ294:AJ677</f>
        <v>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23">
        <f t="shared" si="3"/>
        <v>0</v>
      </c>
      <c r="AI294" s="24">
        <v>0.0</v>
      </c>
      <c r="AJ294" s="32">
        <f t="shared" si="4"/>
        <v>1</v>
      </c>
      <c r="AK294" s="32">
        <f t="shared" si="5"/>
        <v>1</v>
      </c>
      <c r="AL294" s="25">
        <f>'MASTER STOCK'!I291</f>
        <v>25000</v>
      </c>
      <c r="AM294" s="27">
        <f>'MASTER STOCK'!L291</f>
        <v>25000</v>
      </c>
      <c r="AN294" s="27">
        <f t="shared" si="6"/>
        <v>0</v>
      </c>
      <c r="AO294" s="26">
        <f t="shared" si="7"/>
        <v>0</v>
      </c>
      <c r="AP294" s="114">
        <f t="shared" si="8"/>
        <v>0</v>
      </c>
      <c r="AQ294" s="10"/>
    </row>
    <row r="295">
      <c r="A295" s="29" t="str">
        <f>'MASTER STOCK'!F292</f>
        <v>Fittingan</v>
      </c>
      <c r="B295" s="30">
        <f>'OKT 25'!AJ295:AJ678</f>
        <v>7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23">
        <f t="shared" si="3"/>
        <v>0</v>
      </c>
      <c r="AI295" s="24">
        <v>0.0</v>
      </c>
      <c r="AJ295" s="32">
        <f t="shared" si="4"/>
        <v>7</v>
      </c>
      <c r="AK295" s="32">
        <f t="shared" si="5"/>
        <v>7</v>
      </c>
      <c r="AL295" s="25">
        <f>'MASTER STOCK'!I292</f>
        <v>5000</v>
      </c>
      <c r="AM295" s="27">
        <f>'MASTER STOCK'!L292</f>
        <v>5000</v>
      </c>
      <c r="AN295" s="27">
        <f t="shared" si="6"/>
        <v>0</v>
      </c>
      <c r="AO295" s="26">
        <f t="shared" si="7"/>
        <v>0</v>
      </c>
      <c r="AP295" s="114">
        <f t="shared" si="8"/>
        <v>0</v>
      </c>
      <c r="AQ295" s="10"/>
    </row>
    <row r="296">
      <c r="A296" s="29" t="str">
        <f>'MASTER STOCK'!F293</f>
        <v>Fittingan bagus</v>
      </c>
      <c r="B296" s="30">
        <f>'OKT 25'!AJ296:AJ679</f>
        <v>2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23">
        <f t="shared" si="3"/>
        <v>0</v>
      </c>
      <c r="AI296" s="24">
        <v>0.0</v>
      </c>
      <c r="AJ296" s="32">
        <f t="shared" si="4"/>
        <v>2</v>
      </c>
      <c r="AK296" s="32">
        <f t="shared" si="5"/>
        <v>2</v>
      </c>
      <c r="AL296" s="25">
        <f>'MASTER STOCK'!I293</f>
        <v>9000</v>
      </c>
      <c r="AM296" s="27">
        <f>'MASTER STOCK'!L293</f>
        <v>9000</v>
      </c>
      <c r="AN296" s="27">
        <f t="shared" si="6"/>
        <v>0</v>
      </c>
      <c r="AO296" s="26">
        <f t="shared" si="7"/>
        <v>0</v>
      </c>
      <c r="AP296" s="114">
        <f t="shared" si="8"/>
        <v>0</v>
      </c>
      <c r="AQ296" s="10"/>
    </row>
    <row r="297">
      <c r="A297" s="29" t="str">
        <f>'MASTER STOCK'!F294</f>
        <v>Kassa gibsum</v>
      </c>
      <c r="B297" s="30">
        <f>'OKT 25'!AJ297:AJ680</f>
        <v>3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23">
        <f t="shared" si="3"/>
        <v>0</v>
      </c>
      <c r="AI297" s="24">
        <v>0.0</v>
      </c>
      <c r="AJ297" s="32">
        <f t="shared" si="4"/>
        <v>3</v>
      </c>
      <c r="AK297" s="32">
        <f t="shared" si="5"/>
        <v>3</v>
      </c>
      <c r="AL297" s="25">
        <f>'MASTER STOCK'!I294</f>
        <v>7000</v>
      </c>
      <c r="AM297" s="27">
        <f>'MASTER STOCK'!L294</f>
        <v>7000</v>
      </c>
      <c r="AN297" s="27">
        <f t="shared" si="6"/>
        <v>0</v>
      </c>
      <c r="AO297" s="26">
        <f t="shared" si="7"/>
        <v>0</v>
      </c>
      <c r="AP297" s="114">
        <f t="shared" si="8"/>
        <v>0</v>
      </c>
      <c r="AQ297" s="10"/>
    </row>
    <row r="298">
      <c r="A298" s="29" t="str">
        <f>'MASTER STOCK'!F295</f>
        <v>Lampu Tidur</v>
      </c>
      <c r="B298" s="30">
        <f>'OKT 25'!AJ298:AJ681</f>
        <v>2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23">
        <f t="shared" si="3"/>
        <v>0</v>
      </c>
      <c r="AI298" s="24">
        <v>0.0</v>
      </c>
      <c r="AJ298" s="32">
        <f t="shared" si="4"/>
        <v>2</v>
      </c>
      <c r="AK298" s="32">
        <f t="shared" si="5"/>
        <v>2</v>
      </c>
      <c r="AL298" s="25">
        <f>'MASTER STOCK'!I295</f>
        <v>8000</v>
      </c>
      <c r="AM298" s="27">
        <f>'MASTER STOCK'!L295</f>
        <v>8000</v>
      </c>
      <c r="AN298" s="27">
        <f t="shared" si="6"/>
        <v>0</v>
      </c>
      <c r="AO298" s="26">
        <f t="shared" si="7"/>
        <v>0</v>
      </c>
      <c r="AP298" s="114">
        <f t="shared" si="8"/>
        <v>0</v>
      </c>
      <c r="AQ298" s="10"/>
    </row>
    <row r="299">
      <c r="A299" s="29" t="str">
        <f>'MASTER STOCK'!F296</f>
        <v>Steker Bulat</v>
      </c>
      <c r="B299" s="30">
        <f>'OKT 25'!AJ299:AJ682</f>
        <v>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23">
        <f t="shared" si="3"/>
        <v>0</v>
      </c>
      <c r="AI299" s="24">
        <v>0.0</v>
      </c>
      <c r="AJ299" s="32">
        <f t="shared" si="4"/>
        <v>1</v>
      </c>
      <c r="AK299" s="32">
        <f t="shared" si="5"/>
        <v>1</v>
      </c>
      <c r="AL299" s="25">
        <f>'MASTER STOCK'!I296</f>
        <v>6000</v>
      </c>
      <c r="AM299" s="27">
        <f>'MASTER STOCK'!L296</f>
        <v>6000</v>
      </c>
      <c r="AN299" s="27">
        <f t="shared" si="6"/>
        <v>0</v>
      </c>
      <c r="AO299" s="26">
        <f t="shared" si="7"/>
        <v>0</v>
      </c>
      <c r="AP299" s="114">
        <f t="shared" si="8"/>
        <v>0</v>
      </c>
      <c r="AQ299" s="10"/>
    </row>
    <row r="300">
      <c r="A300" s="29" t="str">
        <f>'MASTER STOCK'!F297</f>
        <v>Soket Lampu</v>
      </c>
      <c r="B300" s="30">
        <f>'OKT 25'!AJ300:AJ683</f>
        <v>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23">
        <f t="shared" si="3"/>
        <v>0</v>
      </c>
      <c r="AI300" s="24">
        <v>0.0</v>
      </c>
      <c r="AJ300" s="32">
        <f t="shared" si="4"/>
        <v>1</v>
      </c>
      <c r="AK300" s="32">
        <f t="shared" si="5"/>
        <v>1</v>
      </c>
      <c r="AL300" s="25">
        <f>'MASTER STOCK'!I297</f>
        <v>11000</v>
      </c>
      <c r="AM300" s="27">
        <f>'MASTER STOCK'!L297</f>
        <v>11000</v>
      </c>
      <c r="AN300" s="27">
        <f t="shared" si="6"/>
        <v>0</v>
      </c>
      <c r="AO300" s="26">
        <f t="shared" si="7"/>
        <v>0</v>
      </c>
      <c r="AP300" s="114">
        <f t="shared" si="8"/>
        <v>0</v>
      </c>
      <c r="AQ300" s="10"/>
    </row>
    <row r="301">
      <c r="A301" s="29" t="str">
        <f>'MASTER STOCK'!F298</f>
        <v>Sarung tangan kain</v>
      </c>
      <c r="B301" s="30">
        <f>'OKT 25'!AJ301:AJ684</f>
        <v>16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23">
        <f t="shared" si="3"/>
        <v>0</v>
      </c>
      <c r="AI301" s="24">
        <v>0.0</v>
      </c>
      <c r="AJ301" s="32">
        <f t="shared" si="4"/>
        <v>16</v>
      </c>
      <c r="AK301" s="32">
        <f t="shared" si="5"/>
        <v>16</v>
      </c>
      <c r="AL301" s="25">
        <f>'MASTER STOCK'!I298</f>
        <v>6000</v>
      </c>
      <c r="AM301" s="27">
        <f>'MASTER STOCK'!L298</f>
        <v>6000</v>
      </c>
      <c r="AN301" s="27">
        <f t="shared" si="6"/>
        <v>0</v>
      </c>
      <c r="AO301" s="26">
        <f t="shared" si="7"/>
        <v>0</v>
      </c>
      <c r="AP301" s="114">
        <f t="shared" si="8"/>
        <v>0</v>
      </c>
      <c r="AQ301" s="10"/>
    </row>
    <row r="302">
      <c r="A302" s="29" t="str">
        <f>'MASTER STOCK'!F299</f>
        <v>Grendel Double</v>
      </c>
      <c r="B302" s="30">
        <f>'OKT 25'!AJ302:AJ685</f>
        <v>2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23">
        <f t="shared" si="3"/>
        <v>0</v>
      </c>
      <c r="AI302" s="24">
        <v>0.0</v>
      </c>
      <c r="AJ302" s="32">
        <f t="shared" si="4"/>
        <v>2</v>
      </c>
      <c r="AK302" s="32">
        <f t="shared" si="5"/>
        <v>2</v>
      </c>
      <c r="AL302" s="25">
        <f>'MASTER STOCK'!I299</f>
        <v>0</v>
      </c>
      <c r="AM302" s="27">
        <f>'MASTER STOCK'!L299</f>
        <v>0</v>
      </c>
      <c r="AN302" s="27">
        <f t="shared" si="6"/>
        <v>0</v>
      </c>
      <c r="AO302" s="26">
        <f t="shared" si="7"/>
        <v>0</v>
      </c>
      <c r="AP302" s="114">
        <f t="shared" si="8"/>
        <v>0</v>
      </c>
      <c r="AQ302" s="10"/>
    </row>
    <row r="303">
      <c r="A303" s="29" t="str">
        <f>'MASTER STOCK'!F300</f>
        <v>Kunci Oval pintu</v>
      </c>
      <c r="B303" s="30">
        <f>'OKT 25'!AJ303:AJ686</f>
        <v>2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23">
        <f t="shared" si="3"/>
        <v>0</v>
      </c>
      <c r="AI303" s="24">
        <v>0.0</v>
      </c>
      <c r="AJ303" s="32">
        <f t="shared" si="4"/>
        <v>2</v>
      </c>
      <c r="AK303" s="32">
        <f t="shared" si="5"/>
        <v>2</v>
      </c>
      <c r="AL303" s="25">
        <f>'MASTER STOCK'!I300</f>
        <v>0</v>
      </c>
      <c r="AM303" s="27">
        <f>'MASTER STOCK'!L300</f>
        <v>0</v>
      </c>
      <c r="AN303" s="27">
        <f t="shared" si="6"/>
        <v>0</v>
      </c>
      <c r="AO303" s="26">
        <f t="shared" si="7"/>
        <v>0</v>
      </c>
      <c r="AP303" s="114">
        <f t="shared" si="8"/>
        <v>0</v>
      </c>
      <c r="AQ303" s="10"/>
    </row>
    <row r="304">
      <c r="A304" s="29" t="str">
        <f>'MASTER STOCK'!F301</f>
        <v>Benang ris  sedang</v>
      </c>
      <c r="B304" s="30">
        <f>'OKT 25'!AJ304:AJ687</f>
        <v>4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22">
        <v>4.0</v>
      </c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23">
        <f t="shared" si="3"/>
        <v>4</v>
      </c>
      <c r="AI304" s="24">
        <v>0.0</v>
      </c>
      <c r="AJ304" s="32">
        <f t="shared" si="4"/>
        <v>0</v>
      </c>
      <c r="AK304" s="32">
        <f t="shared" si="5"/>
        <v>0</v>
      </c>
      <c r="AL304" s="25">
        <f>'MASTER STOCK'!I301</f>
        <v>5000</v>
      </c>
      <c r="AM304" s="27">
        <f>'MASTER STOCK'!L301</f>
        <v>5000</v>
      </c>
      <c r="AN304" s="27">
        <f t="shared" si="6"/>
        <v>20000</v>
      </c>
      <c r="AO304" s="26">
        <f t="shared" si="7"/>
        <v>0</v>
      </c>
      <c r="AP304" s="114">
        <f t="shared" si="8"/>
        <v>20000</v>
      </c>
      <c r="AQ304" s="10"/>
    </row>
    <row r="305">
      <c r="A305" s="29" t="str">
        <f>'MASTER STOCK'!F302</f>
        <v>Jepitan Udang grendel</v>
      </c>
      <c r="B305" s="30">
        <f>'OKT 25'!AJ305:AJ688</f>
        <v>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23">
        <f t="shared" si="3"/>
        <v>0</v>
      </c>
      <c r="AI305" s="24">
        <v>0.0</v>
      </c>
      <c r="AJ305" s="32">
        <f t="shared" si="4"/>
        <v>1</v>
      </c>
      <c r="AK305" s="32">
        <f t="shared" si="5"/>
        <v>1</v>
      </c>
      <c r="AL305" s="25">
        <f>'MASTER STOCK'!I302</f>
        <v>0</v>
      </c>
      <c r="AM305" s="27">
        <f>'MASTER STOCK'!L302</f>
        <v>0</v>
      </c>
      <c r="AN305" s="27">
        <f t="shared" si="6"/>
        <v>0</v>
      </c>
      <c r="AO305" s="26">
        <f t="shared" si="7"/>
        <v>0</v>
      </c>
      <c r="AP305" s="114">
        <f t="shared" si="8"/>
        <v>0</v>
      </c>
      <c r="AQ305" s="10"/>
    </row>
    <row r="306">
      <c r="A306" s="29" t="str">
        <f>'MASTER STOCK'!F303</f>
        <v>Cengkal jendela panjang lurus</v>
      </c>
      <c r="B306" s="30">
        <f>'OKT 25'!AJ306:AJ689</f>
        <v>4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23">
        <f t="shared" si="3"/>
        <v>0</v>
      </c>
      <c r="AI306" s="24">
        <v>0.0</v>
      </c>
      <c r="AJ306" s="32">
        <f t="shared" si="4"/>
        <v>4</v>
      </c>
      <c r="AK306" s="32">
        <f t="shared" si="5"/>
        <v>4</v>
      </c>
      <c r="AL306" s="25">
        <f>'MASTER STOCK'!I303</f>
        <v>11000</v>
      </c>
      <c r="AM306" s="27">
        <f>'MASTER STOCK'!L303</f>
        <v>11000</v>
      </c>
      <c r="AN306" s="27">
        <f t="shared" si="6"/>
        <v>0</v>
      </c>
      <c r="AO306" s="26">
        <f t="shared" si="7"/>
        <v>0</v>
      </c>
      <c r="AP306" s="114">
        <f t="shared" si="8"/>
        <v>0</v>
      </c>
      <c r="AQ306" s="10"/>
    </row>
    <row r="307">
      <c r="A307" s="29" t="str">
        <f>'MASTER STOCK'!F304</f>
        <v>Gagang Pintu</v>
      </c>
      <c r="B307" s="30">
        <f>'OKT 25'!AJ307:AJ690</f>
        <v>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23">
        <f t="shared" si="3"/>
        <v>0</v>
      </c>
      <c r="AI307" s="24">
        <v>0.0</v>
      </c>
      <c r="AJ307" s="32">
        <f t="shared" si="4"/>
        <v>1</v>
      </c>
      <c r="AK307" s="32">
        <f t="shared" si="5"/>
        <v>1</v>
      </c>
      <c r="AL307" s="25">
        <f>'MASTER STOCK'!I304</f>
        <v>18000</v>
      </c>
      <c r="AM307" s="27">
        <f>'MASTER STOCK'!L304</f>
        <v>18000</v>
      </c>
      <c r="AN307" s="27">
        <f t="shared" si="6"/>
        <v>0</v>
      </c>
      <c r="AO307" s="26">
        <f t="shared" si="7"/>
        <v>0</v>
      </c>
      <c r="AP307" s="114">
        <f t="shared" si="8"/>
        <v>0</v>
      </c>
      <c r="AQ307" s="10"/>
    </row>
    <row r="308">
      <c r="A308" s="29" t="str">
        <f>'MASTER STOCK'!F305</f>
        <v>Sekrup  3cm</v>
      </c>
      <c r="B308" s="30">
        <f>'OKT 25'!AJ308:AJ691</f>
        <v>20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23">
        <f t="shared" si="3"/>
        <v>0</v>
      </c>
      <c r="AI308" s="24">
        <v>0.0</v>
      </c>
      <c r="AJ308" s="32">
        <f t="shared" si="4"/>
        <v>20</v>
      </c>
      <c r="AK308" s="32">
        <f t="shared" si="5"/>
        <v>20</v>
      </c>
      <c r="AL308" s="25">
        <f>'MASTER STOCK'!I305</f>
        <v>0</v>
      </c>
      <c r="AM308" s="27">
        <f>'MASTER STOCK'!L305</f>
        <v>0</v>
      </c>
      <c r="AN308" s="27">
        <f t="shared" si="6"/>
        <v>0</v>
      </c>
      <c r="AO308" s="26">
        <f t="shared" si="7"/>
        <v>0</v>
      </c>
      <c r="AP308" s="114">
        <f t="shared" si="8"/>
        <v>0</v>
      </c>
      <c r="AQ308" s="10"/>
    </row>
    <row r="309">
      <c r="A309" s="29" t="str">
        <f>'MASTER STOCK'!F306</f>
        <v>Sekrup  2.5</v>
      </c>
      <c r="B309" s="30">
        <f>'OKT 25'!AJ309:AJ692</f>
        <v>10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23">
        <f t="shared" si="3"/>
        <v>0</v>
      </c>
      <c r="AI309" s="24">
        <v>0.0</v>
      </c>
      <c r="AJ309" s="32">
        <f t="shared" si="4"/>
        <v>10</v>
      </c>
      <c r="AK309" s="32">
        <f t="shared" si="5"/>
        <v>10</v>
      </c>
      <c r="AL309" s="25">
        <f>'MASTER STOCK'!I306</f>
        <v>0</v>
      </c>
      <c r="AM309" s="27">
        <f>'MASTER STOCK'!L306</f>
        <v>0</v>
      </c>
      <c r="AN309" s="27">
        <f t="shared" si="6"/>
        <v>0</v>
      </c>
      <c r="AO309" s="26">
        <f t="shared" si="7"/>
        <v>0</v>
      </c>
      <c r="AP309" s="114">
        <f t="shared" si="8"/>
        <v>0</v>
      </c>
      <c r="AQ309" s="10"/>
    </row>
    <row r="310">
      <c r="A310" s="29" t="str">
        <f>'MASTER STOCK'!F307</f>
        <v>Roda etalase</v>
      </c>
      <c r="B310" s="30">
        <f>'OKT 25'!AJ310:AJ693</f>
        <v>4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23">
        <f t="shared" si="3"/>
        <v>0</v>
      </c>
      <c r="AI310" s="24">
        <v>0.0</v>
      </c>
      <c r="AJ310" s="32">
        <f t="shared" si="4"/>
        <v>4</v>
      </c>
      <c r="AK310" s="32">
        <f t="shared" si="5"/>
        <v>4</v>
      </c>
      <c r="AL310" s="25">
        <f>'MASTER STOCK'!I307</f>
        <v>35000</v>
      </c>
      <c r="AM310" s="27">
        <f>'MASTER STOCK'!L307</f>
        <v>35000</v>
      </c>
      <c r="AN310" s="27">
        <f t="shared" si="6"/>
        <v>0</v>
      </c>
      <c r="AO310" s="26">
        <f t="shared" si="7"/>
        <v>0</v>
      </c>
      <c r="AP310" s="114">
        <f t="shared" si="8"/>
        <v>0</v>
      </c>
      <c r="AQ310" s="10"/>
    </row>
    <row r="311">
      <c r="A311" s="29" t="str">
        <f>'MASTER STOCK'!F308</f>
        <v>Gagang pintu besi  besar</v>
      </c>
      <c r="B311" s="30">
        <f>'OKT 25'!AJ311:AJ694</f>
        <v>7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23">
        <f t="shared" si="3"/>
        <v>0</v>
      </c>
      <c r="AI311" s="24">
        <v>0.0</v>
      </c>
      <c r="AJ311" s="32">
        <f t="shared" si="4"/>
        <v>7</v>
      </c>
      <c r="AK311" s="32">
        <f t="shared" si="5"/>
        <v>7</v>
      </c>
      <c r="AL311" s="25">
        <f>'MASTER STOCK'!I308</f>
        <v>4500</v>
      </c>
      <c r="AM311" s="27">
        <f>'MASTER STOCK'!L308</f>
        <v>4500</v>
      </c>
      <c r="AN311" s="27">
        <f t="shared" si="6"/>
        <v>0</v>
      </c>
      <c r="AO311" s="26">
        <f t="shared" si="7"/>
        <v>0</v>
      </c>
      <c r="AP311" s="114">
        <f t="shared" si="8"/>
        <v>0</v>
      </c>
      <c r="AQ311" s="10"/>
    </row>
    <row r="312">
      <c r="A312" s="29" t="str">
        <f>'MASTER STOCK'!F309</f>
        <v>Gagang pintu besi  Kecil</v>
      </c>
      <c r="B312" s="30">
        <f>'OKT 25'!AJ312:AJ695</f>
        <v>2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23">
        <f t="shared" si="3"/>
        <v>0</v>
      </c>
      <c r="AI312" s="24">
        <v>0.0</v>
      </c>
      <c r="AJ312" s="32">
        <f t="shared" si="4"/>
        <v>2</v>
      </c>
      <c r="AK312" s="32">
        <f t="shared" si="5"/>
        <v>2</v>
      </c>
      <c r="AL312" s="25">
        <f>'MASTER STOCK'!I309</f>
        <v>2000</v>
      </c>
      <c r="AM312" s="27">
        <f>'MASTER STOCK'!L309</f>
        <v>2000</v>
      </c>
      <c r="AN312" s="27">
        <f t="shared" si="6"/>
        <v>0</v>
      </c>
      <c r="AO312" s="26">
        <f t="shared" si="7"/>
        <v>0</v>
      </c>
      <c r="AP312" s="114">
        <f t="shared" si="8"/>
        <v>0</v>
      </c>
      <c r="AQ312" s="10"/>
    </row>
    <row r="313">
      <c r="A313" s="29" t="str">
        <f>'MASTER STOCK'!F310</f>
        <v>Sekrup  6 x 1</v>
      </c>
      <c r="B313" s="30">
        <f>'OKT 25'!AJ313:AJ696</f>
        <v>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23">
        <f t="shared" si="3"/>
        <v>0</v>
      </c>
      <c r="AI313" s="24">
        <v>0.0</v>
      </c>
      <c r="AJ313" s="32">
        <f t="shared" si="4"/>
        <v>1</v>
      </c>
      <c r="AK313" s="32">
        <f t="shared" si="5"/>
        <v>1</v>
      </c>
      <c r="AL313" s="25">
        <f>'MASTER STOCK'!I310</f>
        <v>0</v>
      </c>
      <c r="AM313" s="27">
        <f>'MASTER STOCK'!L310</f>
        <v>0</v>
      </c>
      <c r="AN313" s="27">
        <f t="shared" si="6"/>
        <v>0</v>
      </c>
      <c r="AO313" s="26">
        <f t="shared" si="7"/>
        <v>0</v>
      </c>
      <c r="AP313" s="114">
        <f t="shared" si="8"/>
        <v>0</v>
      </c>
      <c r="AQ313" s="10"/>
    </row>
    <row r="314">
      <c r="A314" s="29" t="str">
        <f>'MASTER STOCK'!F311</f>
        <v>Klem kabel  8 mm</v>
      </c>
      <c r="B314" s="30">
        <f>'OKT 25'!AJ314:AJ697</f>
        <v>4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23">
        <f t="shared" si="3"/>
        <v>0</v>
      </c>
      <c r="AI314" s="24">
        <v>0.0</v>
      </c>
      <c r="AJ314" s="32">
        <f t="shared" si="4"/>
        <v>4</v>
      </c>
      <c r="AK314" s="32">
        <f t="shared" si="5"/>
        <v>4</v>
      </c>
      <c r="AL314" s="25">
        <f>'MASTER STOCK'!I311</f>
        <v>14000</v>
      </c>
      <c r="AM314" s="27">
        <f>'MASTER STOCK'!L311</f>
        <v>14000</v>
      </c>
      <c r="AN314" s="27">
        <f t="shared" si="6"/>
        <v>0</v>
      </c>
      <c r="AO314" s="26">
        <f t="shared" si="7"/>
        <v>0</v>
      </c>
      <c r="AP314" s="114">
        <f t="shared" si="8"/>
        <v>0</v>
      </c>
      <c r="AQ314" s="10"/>
    </row>
    <row r="315">
      <c r="A315" s="29" t="str">
        <f>'MASTER STOCK'!F312</f>
        <v>Klem kabel  9 mm</v>
      </c>
      <c r="B315" s="30">
        <f>'OKT 25'!AJ315:AJ698</f>
        <v>2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23">
        <f t="shared" si="3"/>
        <v>0</v>
      </c>
      <c r="AI315" s="24">
        <v>0.0</v>
      </c>
      <c r="AJ315" s="32">
        <f t="shared" si="4"/>
        <v>2</v>
      </c>
      <c r="AK315" s="32">
        <f t="shared" si="5"/>
        <v>2</v>
      </c>
      <c r="AL315" s="25">
        <f>'MASTER STOCK'!I312</f>
        <v>14000</v>
      </c>
      <c r="AM315" s="27">
        <f>'MASTER STOCK'!L312</f>
        <v>14000</v>
      </c>
      <c r="AN315" s="27">
        <f t="shared" si="6"/>
        <v>0</v>
      </c>
      <c r="AO315" s="26">
        <f t="shared" si="7"/>
        <v>0</v>
      </c>
      <c r="AP315" s="114">
        <f t="shared" si="8"/>
        <v>0</v>
      </c>
      <c r="AQ315" s="10"/>
    </row>
    <row r="316">
      <c r="A316" s="29" t="str">
        <f>'MASTER STOCK'!F313</f>
        <v>Fishcer 8 mm</v>
      </c>
      <c r="B316" s="30">
        <f>'OKT 25'!AJ316:AJ699</f>
        <v>4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23">
        <f t="shared" si="3"/>
        <v>0</v>
      </c>
      <c r="AI316" s="24">
        <v>0.0</v>
      </c>
      <c r="AJ316" s="32">
        <f t="shared" si="4"/>
        <v>4</v>
      </c>
      <c r="AK316" s="32">
        <f t="shared" si="5"/>
        <v>4</v>
      </c>
      <c r="AL316" s="25">
        <f>'MASTER STOCK'!I313</f>
        <v>15000</v>
      </c>
      <c r="AM316" s="27">
        <f>'MASTER STOCK'!L313</f>
        <v>15000</v>
      </c>
      <c r="AN316" s="27">
        <f t="shared" si="6"/>
        <v>0</v>
      </c>
      <c r="AO316" s="26">
        <f t="shared" si="7"/>
        <v>0</v>
      </c>
      <c r="AP316" s="114">
        <f t="shared" si="8"/>
        <v>0</v>
      </c>
      <c r="AQ316" s="10"/>
    </row>
    <row r="317">
      <c r="A317" s="29" t="str">
        <f>'MASTER STOCK'!F314</f>
        <v>Fishcer 5 mm</v>
      </c>
      <c r="B317" s="30">
        <f>'OKT 25'!AJ317:AJ700</f>
        <v>3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23">
        <f t="shared" si="3"/>
        <v>0</v>
      </c>
      <c r="AI317" s="24">
        <v>0.0</v>
      </c>
      <c r="AJ317" s="32">
        <f t="shared" si="4"/>
        <v>3</v>
      </c>
      <c r="AK317" s="32">
        <f t="shared" si="5"/>
        <v>3</v>
      </c>
      <c r="AL317" s="25">
        <f>'MASTER STOCK'!I314</f>
        <v>10000</v>
      </c>
      <c r="AM317" s="27">
        <f>'MASTER STOCK'!L314</f>
        <v>10000</v>
      </c>
      <c r="AN317" s="27">
        <f t="shared" si="6"/>
        <v>0</v>
      </c>
      <c r="AO317" s="26">
        <f t="shared" si="7"/>
        <v>0</v>
      </c>
      <c r="AP317" s="114">
        <f t="shared" si="8"/>
        <v>0</v>
      </c>
      <c r="AQ317" s="10"/>
    </row>
    <row r="318">
      <c r="A318" s="29" t="str">
        <f>'MASTER STOCK'!F315</f>
        <v>Kran besi 3/4</v>
      </c>
      <c r="B318" s="30">
        <f>'OKT 25'!AJ318:AJ701</f>
        <v>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22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23">
        <f t="shared" si="3"/>
        <v>0</v>
      </c>
      <c r="AI318" s="24">
        <v>0.0</v>
      </c>
      <c r="AJ318" s="32">
        <f t="shared" si="4"/>
        <v>1</v>
      </c>
      <c r="AK318" s="32">
        <f t="shared" si="5"/>
        <v>1</v>
      </c>
      <c r="AL318" s="25">
        <f>'MASTER STOCK'!I315</f>
        <v>27500</v>
      </c>
      <c r="AM318" s="27">
        <f>'MASTER STOCK'!L315</f>
        <v>27500</v>
      </c>
      <c r="AN318" s="27">
        <f t="shared" si="6"/>
        <v>0</v>
      </c>
      <c r="AO318" s="26">
        <f t="shared" si="7"/>
        <v>0</v>
      </c>
      <c r="AP318" s="114">
        <f t="shared" si="8"/>
        <v>0</v>
      </c>
      <c r="AQ318" s="10"/>
    </row>
    <row r="319">
      <c r="A319" s="29" t="str">
        <f>'MASTER STOCK'!F316</f>
        <v>Gunting tanggung</v>
      </c>
      <c r="B319" s="30">
        <f>'OKT 25'!AJ319:AJ702</f>
        <v>2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23">
        <f t="shared" si="3"/>
        <v>0</v>
      </c>
      <c r="AI319" s="24">
        <v>0.0</v>
      </c>
      <c r="AJ319" s="32">
        <f t="shared" si="4"/>
        <v>2</v>
      </c>
      <c r="AK319" s="32">
        <f t="shared" si="5"/>
        <v>2</v>
      </c>
      <c r="AL319" s="25">
        <f>'MASTER STOCK'!I316</f>
        <v>10000</v>
      </c>
      <c r="AM319" s="27">
        <f>'MASTER STOCK'!L316</f>
        <v>10000</v>
      </c>
      <c r="AN319" s="27">
        <f t="shared" si="6"/>
        <v>0</v>
      </c>
      <c r="AO319" s="26">
        <f t="shared" si="7"/>
        <v>0</v>
      </c>
      <c r="AP319" s="114">
        <f t="shared" si="8"/>
        <v>0</v>
      </c>
      <c r="AQ319" s="10"/>
    </row>
    <row r="320">
      <c r="A320" s="29" t="str">
        <f>'MASTER STOCK'!F317</f>
        <v>Stop kran PVC onda 3/4</v>
      </c>
      <c r="B320" s="30">
        <f>'OKT 25'!AJ320:AJ703</f>
        <v>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22"/>
      <c r="R320" s="10"/>
      <c r="S320" s="10"/>
      <c r="T320" s="10"/>
      <c r="U320" s="10"/>
      <c r="V320" s="22">
        <v>1.0</v>
      </c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23">
        <f t="shared" si="3"/>
        <v>1</v>
      </c>
      <c r="AI320" s="24">
        <v>0.0</v>
      </c>
      <c r="AJ320" s="32">
        <f t="shared" si="4"/>
        <v>0</v>
      </c>
      <c r="AK320" s="32">
        <f t="shared" si="5"/>
        <v>0</v>
      </c>
      <c r="AL320" s="25">
        <f>'MASTER STOCK'!I317</f>
        <v>31000</v>
      </c>
      <c r="AM320" s="27">
        <f>'MASTER STOCK'!L317</f>
        <v>31000</v>
      </c>
      <c r="AN320" s="27">
        <f t="shared" si="6"/>
        <v>31000</v>
      </c>
      <c r="AO320" s="26">
        <f t="shared" si="7"/>
        <v>0</v>
      </c>
      <c r="AP320" s="114">
        <f t="shared" si="8"/>
        <v>31000</v>
      </c>
      <c r="AQ320" s="10"/>
    </row>
    <row r="321">
      <c r="A321" s="29" t="str">
        <f>'MASTER STOCK'!F318</f>
        <v>Stop kran PVC move 1/2</v>
      </c>
      <c r="B321" s="30">
        <f>'OKT 25'!AJ321:AJ704</f>
        <v>3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22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23">
        <f t="shared" si="3"/>
        <v>0</v>
      </c>
      <c r="AI321" s="24">
        <v>0.0</v>
      </c>
      <c r="AJ321" s="32">
        <f t="shared" si="4"/>
        <v>3</v>
      </c>
      <c r="AK321" s="32">
        <f t="shared" si="5"/>
        <v>3</v>
      </c>
      <c r="AL321" s="25">
        <f>'MASTER STOCK'!I318</f>
        <v>21000</v>
      </c>
      <c r="AM321" s="27">
        <f>'MASTER STOCK'!L318</f>
        <v>21000</v>
      </c>
      <c r="AN321" s="27">
        <f t="shared" si="6"/>
        <v>0</v>
      </c>
      <c r="AO321" s="26">
        <f t="shared" si="7"/>
        <v>0</v>
      </c>
      <c r="AP321" s="114">
        <f t="shared" si="8"/>
        <v>0</v>
      </c>
      <c r="AQ321" s="10"/>
    </row>
    <row r="322">
      <c r="A322" s="29" t="str">
        <f>'MASTER STOCK'!F319</f>
        <v>Ungkal</v>
      </c>
      <c r="B322" s="30">
        <f>'OKT 25'!AJ322:AJ705</f>
        <v>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23">
        <f t="shared" si="3"/>
        <v>0</v>
      </c>
      <c r="AI322" s="24">
        <v>0.0</v>
      </c>
      <c r="AJ322" s="32">
        <f t="shared" si="4"/>
        <v>1</v>
      </c>
      <c r="AK322" s="32">
        <f t="shared" si="5"/>
        <v>1</v>
      </c>
      <c r="AL322" s="25">
        <f>'MASTER STOCK'!I319</f>
        <v>22500</v>
      </c>
      <c r="AM322" s="27">
        <f>'MASTER STOCK'!L319</f>
        <v>22500</v>
      </c>
      <c r="AN322" s="27">
        <f t="shared" si="6"/>
        <v>0</v>
      </c>
      <c r="AO322" s="26">
        <f t="shared" si="7"/>
        <v>0</v>
      </c>
      <c r="AP322" s="114">
        <f t="shared" si="8"/>
        <v>0</v>
      </c>
      <c r="AQ322" s="10"/>
    </row>
    <row r="323">
      <c r="A323" s="29" t="str">
        <f>'MASTER STOCK'!F320</f>
        <v>Stop kran PVC jia rong 1</v>
      </c>
      <c r="B323" s="30">
        <f>'OKT 25'!AJ323:AJ706</f>
        <v>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23">
        <f t="shared" si="3"/>
        <v>0</v>
      </c>
      <c r="AI323" s="24">
        <v>0.0</v>
      </c>
      <c r="AJ323" s="32">
        <f t="shared" si="4"/>
        <v>1</v>
      </c>
      <c r="AK323" s="32">
        <f t="shared" si="5"/>
        <v>1</v>
      </c>
      <c r="AL323" s="25">
        <f>'MASTER STOCK'!I320</f>
        <v>28500</v>
      </c>
      <c r="AM323" s="27">
        <f>'MASTER STOCK'!L320</f>
        <v>28500</v>
      </c>
      <c r="AN323" s="27">
        <f t="shared" si="6"/>
        <v>0</v>
      </c>
      <c r="AO323" s="26">
        <f t="shared" si="7"/>
        <v>0</v>
      </c>
      <c r="AP323" s="114">
        <f t="shared" si="8"/>
        <v>0</v>
      </c>
      <c r="AQ323" s="10"/>
    </row>
    <row r="324">
      <c r="A324" s="29" t="str">
        <f>'MASTER STOCK'!F321</f>
        <v>Stop kran move 1</v>
      </c>
      <c r="B324" s="30">
        <f>'OKT 25'!AJ324:AJ707</f>
        <v>2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23">
        <f t="shared" si="3"/>
        <v>0</v>
      </c>
      <c r="AI324" s="24">
        <v>0.0</v>
      </c>
      <c r="AJ324" s="32">
        <f t="shared" si="4"/>
        <v>2</v>
      </c>
      <c r="AK324" s="32">
        <f t="shared" si="5"/>
        <v>2</v>
      </c>
      <c r="AL324" s="25">
        <f>'MASTER STOCK'!I321</f>
        <v>21000</v>
      </c>
      <c r="AM324" s="27">
        <f>'MASTER STOCK'!L321</f>
        <v>21000</v>
      </c>
      <c r="AN324" s="27">
        <f t="shared" si="6"/>
        <v>0</v>
      </c>
      <c r="AO324" s="26">
        <f t="shared" si="7"/>
        <v>0</v>
      </c>
      <c r="AP324" s="114">
        <f t="shared" si="8"/>
        <v>0</v>
      </c>
      <c r="AQ324" s="10"/>
    </row>
    <row r="325">
      <c r="A325" s="29" t="str">
        <f>'MASTER STOCK'!F322</f>
        <v>Pegangan laci/ lemari  3</v>
      </c>
      <c r="B325" s="30">
        <f>'OKT 25'!AJ325:AJ708</f>
        <v>21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23">
        <f t="shared" si="3"/>
        <v>0</v>
      </c>
      <c r="AI325" s="24">
        <v>0.0</v>
      </c>
      <c r="AJ325" s="32">
        <f t="shared" si="4"/>
        <v>21</v>
      </c>
      <c r="AK325" s="32">
        <f t="shared" si="5"/>
        <v>21</v>
      </c>
      <c r="AL325" s="25">
        <f>'MASTER STOCK'!I322</f>
        <v>1500</v>
      </c>
      <c r="AM325" s="27">
        <f>'MASTER STOCK'!L322</f>
        <v>1500</v>
      </c>
      <c r="AN325" s="27">
        <f t="shared" si="6"/>
        <v>0</v>
      </c>
      <c r="AO325" s="26">
        <f t="shared" si="7"/>
        <v>0</v>
      </c>
      <c r="AP325" s="114">
        <f t="shared" si="8"/>
        <v>0</v>
      </c>
      <c r="AQ325" s="10"/>
    </row>
    <row r="326">
      <c r="A326" s="29" t="str">
        <f>'MASTER STOCK'!F323</f>
        <v>Pegangan laci/ lemari  4</v>
      </c>
      <c r="B326" s="30">
        <f>'OKT 25'!AJ326:AJ709</f>
        <v>5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23">
        <f t="shared" si="3"/>
        <v>0</v>
      </c>
      <c r="AI326" s="24">
        <v>0.0</v>
      </c>
      <c r="AJ326" s="32">
        <f t="shared" si="4"/>
        <v>5</v>
      </c>
      <c r="AK326" s="32">
        <f t="shared" si="5"/>
        <v>5</v>
      </c>
      <c r="AL326" s="25">
        <f>'MASTER STOCK'!I323</f>
        <v>2000</v>
      </c>
      <c r="AM326" s="27">
        <f>'MASTER STOCK'!L323</f>
        <v>2000</v>
      </c>
      <c r="AN326" s="27">
        <f t="shared" si="6"/>
        <v>0</v>
      </c>
      <c r="AO326" s="26">
        <f t="shared" si="7"/>
        <v>0</v>
      </c>
      <c r="AP326" s="114">
        <f t="shared" si="8"/>
        <v>0</v>
      </c>
      <c r="AQ326" s="10"/>
    </row>
    <row r="327">
      <c r="A327" s="29" t="str">
        <f>'MASTER STOCK'!F324</f>
        <v>cutter besar</v>
      </c>
      <c r="B327" s="30">
        <f>'OKT 25'!AJ327:AJ710</f>
        <v>3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23">
        <f t="shared" si="3"/>
        <v>0</v>
      </c>
      <c r="AI327" s="24">
        <v>0.0</v>
      </c>
      <c r="AJ327" s="32">
        <f t="shared" si="4"/>
        <v>3</v>
      </c>
      <c r="AK327" s="32">
        <f t="shared" si="5"/>
        <v>3</v>
      </c>
      <c r="AL327" s="25">
        <f>'MASTER STOCK'!I324</f>
        <v>5000</v>
      </c>
      <c r="AM327" s="27">
        <f>'MASTER STOCK'!L324</f>
        <v>5000</v>
      </c>
      <c r="AN327" s="27">
        <f t="shared" si="6"/>
        <v>0</v>
      </c>
      <c r="AO327" s="26">
        <f t="shared" si="7"/>
        <v>0</v>
      </c>
      <c r="AP327" s="114">
        <f t="shared" si="8"/>
        <v>0</v>
      </c>
      <c r="AQ327" s="10"/>
    </row>
    <row r="328">
      <c r="A328" s="29" t="str">
        <f>'MASTER STOCK'!F325</f>
        <v>Paku beton 1</v>
      </c>
      <c r="B328" s="30">
        <f>'OKT 25'!AJ328:AJ711</f>
        <v>2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23">
        <f t="shared" si="3"/>
        <v>0</v>
      </c>
      <c r="AI328" s="24">
        <v>0.0</v>
      </c>
      <c r="AJ328" s="32">
        <f t="shared" si="4"/>
        <v>2</v>
      </c>
      <c r="AK328" s="32">
        <f t="shared" si="5"/>
        <v>2</v>
      </c>
      <c r="AL328" s="25">
        <f>'MASTER STOCK'!I325</f>
        <v>14000</v>
      </c>
      <c r="AM328" s="27">
        <f>'MASTER STOCK'!L325</f>
        <v>14000</v>
      </c>
      <c r="AN328" s="27">
        <f t="shared" si="6"/>
        <v>0</v>
      </c>
      <c r="AO328" s="26">
        <f t="shared" si="7"/>
        <v>0</v>
      </c>
      <c r="AP328" s="114">
        <f t="shared" si="8"/>
        <v>0</v>
      </c>
      <c r="AQ328" s="10"/>
    </row>
    <row r="329">
      <c r="A329" s="29" t="str">
        <f>'MASTER STOCK'!F326</f>
        <v>Footklem PVC 1 royal 3/4</v>
      </c>
      <c r="B329" s="30">
        <f>'OKT 25'!AJ329:AJ712</f>
        <v>2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23">
        <f t="shared" si="3"/>
        <v>0</v>
      </c>
      <c r="AI329" s="24">
        <v>0.0</v>
      </c>
      <c r="AJ329" s="32">
        <f t="shared" si="4"/>
        <v>2</v>
      </c>
      <c r="AK329" s="32">
        <f t="shared" si="5"/>
        <v>2</v>
      </c>
      <c r="AL329" s="25">
        <f>'MASTER STOCK'!I326</f>
        <v>16500</v>
      </c>
      <c r="AM329" s="27">
        <f>'MASTER STOCK'!L326</f>
        <v>16500</v>
      </c>
      <c r="AN329" s="27">
        <f t="shared" si="6"/>
        <v>0</v>
      </c>
      <c r="AO329" s="26">
        <f t="shared" si="7"/>
        <v>0</v>
      </c>
      <c r="AP329" s="114">
        <f t="shared" si="8"/>
        <v>0</v>
      </c>
      <c r="AQ329" s="10"/>
    </row>
    <row r="330">
      <c r="A330" s="29" t="str">
        <f>'MASTER STOCK'!F327</f>
        <v>Footklem PVC 1 royal 1</v>
      </c>
      <c r="B330" s="30">
        <f>'OKT 25'!AJ330:AJ713</f>
        <v>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23">
        <f t="shared" si="3"/>
        <v>0</v>
      </c>
      <c r="AI330" s="24">
        <v>0.0</v>
      </c>
      <c r="AJ330" s="32">
        <f t="shared" si="4"/>
        <v>1</v>
      </c>
      <c r="AK330" s="32">
        <f t="shared" si="5"/>
        <v>1</v>
      </c>
      <c r="AL330" s="25">
        <f>'MASTER STOCK'!I327</f>
        <v>17000</v>
      </c>
      <c r="AM330" s="27">
        <f>'MASTER STOCK'!L327</f>
        <v>17000</v>
      </c>
      <c r="AN330" s="27">
        <f t="shared" si="6"/>
        <v>0</v>
      </c>
      <c r="AO330" s="26">
        <f t="shared" si="7"/>
        <v>0</v>
      </c>
      <c r="AP330" s="114">
        <f t="shared" si="8"/>
        <v>0</v>
      </c>
      <c r="AQ330" s="10"/>
    </row>
    <row r="331">
      <c r="A331" s="29" t="str">
        <f>'MASTER STOCK'!F328</f>
        <v>Tinner 1/2liter</v>
      </c>
      <c r="B331" s="30">
        <f>'OKT 25'!AJ331:AJ714</f>
        <v>3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23">
        <f t="shared" si="3"/>
        <v>0</v>
      </c>
      <c r="AI331" s="24">
        <v>0.0</v>
      </c>
      <c r="AJ331" s="32">
        <f t="shared" si="4"/>
        <v>3</v>
      </c>
      <c r="AK331" s="32">
        <f t="shared" si="5"/>
        <v>3</v>
      </c>
      <c r="AL331" s="25">
        <f>'MASTER STOCK'!I328</f>
        <v>20000</v>
      </c>
      <c r="AM331" s="27">
        <f>'MASTER STOCK'!L328</f>
        <v>20000</v>
      </c>
      <c r="AN331" s="27">
        <f t="shared" si="6"/>
        <v>0</v>
      </c>
      <c r="AO331" s="26">
        <f t="shared" si="7"/>
        <v>0</v>
      </c>
      <c r="AP331" s="114">
        <f t="shared" si="8"/>
        <v>0</v>
      </c>
      <c r="AQ331" s="10"/>
    </row>
    <row r="332">
      <c r="A332" s="29" t="str">
        <f>'MASTER STOCK'!F329</f>
        <v>Cat emco</v>
      </c>
      <c r="B332" s="30">
        <f>'OKT 25'!AJ332:AJ715</f>
        <v>3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23">
        <f t="shared" si="3"/>
        <v>0</v>
      </c>
      <c r="AI332" s="24">
        <v>0.0</v>
      </c>
      <c r="AJ332" s="32">
        <f t="shared" si="4"/>
        <v>3</v>
      </c>
      <c r="AK332" s="32">
        <f t="shared" si="5"/>
        <v>3</v>
      </c>
      <c r="AL332" s="25">
        <f>'MASTER STOCK'!I329</f>
        <v>22000</v>
      </c>
      <c r="AM332" s="27">
        <f>'MASTER STOCK'!L329</f>
        <v>22000</v>
      </c>
      <c r="AN332" s="27">
        <f t="shared" si="6"/>
        <v>0</v>
      </c>
      <c r="AO332" s="26">
        <f t="shared" si="7"/>
        <v>0</v>
      </c>
      <c r="AP332" s="114">
        <f t="shared" si="8"/>
        <v>0</v>
      </c>
      <c r="AQ332" s="10"/>
    </row>
    <row r="333">
      <c r="A333" s="29" t="str">
        <f>'MASTER STOCK'!F330</f>
        <v>Cat kayu avian 25cc</v>
      </c>
      <c r="B333" s="30">
        <f>'OKT 25'!AJ333:AJ716</f>
        <v>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23">
        <f t="shared" si="3"/>
        <v>0</v>
      </c>
      <c r="AI333" s="24">
        <v>0.0</v>
      </c>
      <c r="AJ333" s="32">
        <f t="shared" si="4"/>
        <v>1</v>
      </c>
      <c r="AK333" s="32">
        <f t="shared" si="5"/>
        <v>1</v>
      </c>
      <c r="AL333" s="25">
        <f>'MASTER STOCK'!I330</f>
        <v>5500</v>
      </c>
      <c r="AM333" s="27">
        <f>'MASTER STOCK'!L330</f>
        <v>5500</v>
      </c>
      <c r="AN333" s="27">
        <f t="shared" si="6"/>
        <v>0</v>
      </c>
      <c r="AO333" s="26">
        <f t="shared" si="7"/>
        <v>0</v>
      </c>
      <c r="AP333" s="114">
        <f t="shared" si="8"/>
        <v>0</v>
      </c>
      <c r="AQ333" s="10"/>
    </row>
    <row r="334">
      <c r="A334" s="29" t="str">
        <f>'MASTER STOCK'!F331</f>
        <v>Engsel Pintu</v>
      </c>
      <c r="B334" s="30">
        <f>'OKT 25'!AJ334:AJ717</f>
        <v>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23">
        <f t="shared" si="3"/>
        <v>0</v>
      </c>
      <c r="AI334" s="24">
        <v>0.0</v>
      </c>
      <c r="AJ334" s="32">
        <f t="shared" si="4"/>
        <v>1</v>
      </c>
      <c r="AK334" s="32">
        <f t="shared" si="5"/>
        <v>1</v>
      </c>
      <c r="AL334" s="25">
        <f>'MASTER STOCK'!I331</f>
        <v>23000</v>
      </c>
      <c r="AM334" s="27">
        <f>'MASTER STOCK'!L331</f>
        <v>23000</v>
      </c>
      <c r="AN334" s="27">
        <f t="shared" si="6"/>
        <v>0</v>
      </c>
      <c r="AO334" s="26">
        <f t="shared" si="7"/>
        <v>0</v>
      </c>
      <c r="AP334" s="114">
        <f t="shared" si="8"/>
        <v>0</v>
      </c>
      <c r="AQ334" s="10"/>
    </row>
    <row r="335">
      <c r="A335" s="29" t="str">
        <f>'MASTER STOCK'!F332</f>
        <v>Lem tikus</v>
      </c>
      <c r="B335" s="30">
        <f>'OKT 25'!AJ335:AJ718</f>
        <v>2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23">
        <f t="shared" si="3"/>
        <v>0</v>
      </c>
      <c r="AI335" s="24">
        <v>0.0</v>
      </c>
      <c r="AJ335" s="32">
        <f t="shared" si="4"/>
        <v>2</v>
      </c>
      <c r="AK335" s="32">
        <f t="shared" si="5"/>
        <v>2</v>
      </c>
      <c r="AL335" s="25">
        <f>'MASTER STOCK'!I332</f>
        <v>21000</v>
      </c>
      <c r="AM335" s="27">
        <f>'MASTER STOCK'!L332</f>
        <v>21000</v>
      </c>
      <c r="AN335" s="27">
        <f t="shared" si="6"/>
        <v>0</v>
      </c>
      <c r="AO335" s="26">
        <f t="shared" si="7"/>
        <v>0</v>
      </c>
      <c r="AP335" s="114">
        <f t="shared" si="8"/>
        <v>0</v>
      </c>
      <c r="AQ335" s="10"/>
    </row>
    <row r="336">
      <c r="A336" s="29" t="str">
        <f>'MASTER STOCK'!F333</f>
        <v>Catut 6"</v>
      </c>
      <c r="B336" s="30">
        <f>'OKT 25'!AJ336:AJ719</f>
        <v>6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23">
        <f t="shared" si="3"/>
        <v>0</v>
      </c>
      <c r="AI336" s="24">
        <v>0.0</v>
      </c>
      <c r="AJ336" s="32">
        <f t="shared" si="4"/>
        <v>6</v>
      </c>
      <c r="AK336" s="32">
        <f t="shared" si="5"/>
        <v>6</v>
      </c>
      <c r="AL336" s="25">
        <f>'MASTER STOCK'!I333</f>
        <v>15000</v>
      </c>
      <c r="AM336" s="27">
        <f>'MASTER STOCK'!L333</f>
        <v>15000</v>
      </c>
      <c r="AN336" s="27">
        <f t="shared" si="6"/>
        <v>0</v>
      </c>
      <c r="AO336" s="26">
        <f t="shared" si="7"/>
        <v>0</v>
      </c>
      <c r="AP336" s="114">
        <f t="shared" si="8"/>
        <v>0</v>
      </c>
      <c r="AQ336" s="10"/>
    </row>
    <row r="337">
      <c r="A337" s="29" t="str">
        <f>'MASTER STOCK'!F334</f>
        <v>Catut 9"</v>
      </c>
      <c r="B337" s="30">
        <f>'OKT 25'!AJ337:AJ720</f>
        <v>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23">
        <f t="shared" si="3"/>
        <v>0</v>
      </c>
      <c r="AI337" s="24">
        <v>0.0</v>
      </c>
      <c r="AJ337" s="32">
        <f t="shared" si="4"/>
        <v>1</v>
      </c>
      <c r="AK337" s="32">
        <f t="shared" si="5"/>
        <v>1</v>
      </c>
      <c r="AL337" s="25">
        <f>'MASTER STOCK'!I334</f>
        <v>17000</v>
      </c>
      <c r="AM337" s="27">
        <f>'MASTER STOCK'!L334</f>
        <v>17000</v>
      </c>
      <c r="AN337" s="27">
        <f t="shared" si="6"/>
        <v>0</v>
      </c>
      <c r="AO337" s="26">
        <f t="shared" si="7"/>
        <v>0</v>
      </c>
      <c r="AP337" s="114">
        <f t="shared" si="8"/>
        <v>0</v>
      </c>
      <c r="AQ337" s="10"/>
    </row>
    <row r="338">
      <c r="A338" s="29" t="str">
        <f>'MASTER STOCK'!F335</f>
        <v>Kunci  lemari/laci</v>
      </c>
      <c r="B338" s="30">
        <f>'OKT 25'!AJ338:AJ721</f>
        <v>10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23">
        <f t="shared" si="3"/>
        <v>0</v>
      </c>
      <c r="AI338" s="24">
        <v>0.0</v>
      </c>
      <c r="AJ338" s="32">
        <f t="shared" si="4"/>
        <v>10</v>
      </c>
      <c r="AK338" s="32">
        <f t="shared" si="5"/>
        <v>10</v>
      </c>
      <c r="AL338" s="25">
        <f>'MASTER STOCK'!I335</f>
        <v>20000</v>
      </c>
      <c r="AM338" s="27">
        <f>'MASTER STOCK'!L335</f>
        <v>20000</v>
      </c>
      <c r="AN338" s="27">
        <f t="shared" si="6"/>
        <v>0</v>
      </c>
      <c r="AO338" s="26">
        <f t="shared" si="7"/>
        <v>0</v>
      </c>
      <c r="AP338" s="114">
        <f t="shared" si="8"/>
        <v>0</v>
      </c>
      <c r="AQ338" s="10"/>
    </row>
    <row r="339">
      <c r="A339" s="29" t="str">
        <f>'MASTER STOCK'!F336</f>
        <v>Microphone</v>
      </c>
      <c r="B339" s="30">
        <f>'OKT 25'!AJ339:AJ722</f>
        <v>3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23">
        <f t="shared" si="3"/>
        <v>0</v>
      </c>
      <c r="AI339" s="24">
        <v>0.0</v>
      </c>
      <c r="AJ339" s="32">
        <f t="shared" si="4"/>
        <v>3</v>
      </c>
      <c r="AK339" s="32">
        <f t="shared" si="5"/>
        <v>3</v>
      </c>
      <c r="AL339" s="25">
        <f>'MASTER STOCK'!I336</f>
        <v>75000</v>
      </c>
      <c r="AM339" s="27">
        <f>'MASTER STOCK'!L336</f>
        <v>75000</v>
      </c>
      <c r="AN339" s="27">
        <f t="shared" si="6"/>
        <v>0</v>
      </c>
      <c r="AO339" s="26">
        <f t="shared" si="7"/>
        <v>0</v>
      </c>
      <c r="AP339" s="114">
        <f t="shared" si="8"/>
        <v>0</v>
      </c>
      <c r="AQ339" s="10"/>
    </row>
    <row r="340">
      <c r="A340" s="29" t="str">
        <f>'MASTER STOCK'!F337</f>
        <v>Isolasi kecil</v>
      </c>
      <c r="B340" s="30">
        <f>'OKT 25'!AJ340:AJ723</f>
        <v>2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23">
        <f t="shared" si="3"/>
        <v>0</v>
      </c>
      <c r="AI340" s="24">
        <v>0.0</v>
      </c>
      <c r="AJ340" s="32">
        <f t="shared" si="4"/>
        <v>2</v>
      </c>
      <c r="AK340" s="32">
        <f t="shared" si="5"/>
        <v>2</v>
      </c>
      <c r="AL340" s="25">
        <f>'MASTER STOCK'!I337</f>
        <v>3000</v>
      </c>
      <c r="AM340" s="27">
        <f>'MASTER STOCK'!L337</f>
        <v>3000</v>
      </c>
      <c r="AN340" s="27">
        <f t="shared" si="6"/>
        <v>0</v>
      </c>
      <c r="AO340" s="26">
        <f t="shared" si="7"/>
        <v>0</v>
      </c>
      <c r="AP340" s="114">
        <f t="shared" si="8"/>
        <v>0</v>
      </c>
      <c r="AQ340" s="10"/>
    </row>
    <row r="341">
      <c r="A341" s="29" t="str">
        <f>'MASTER STOCK'!F338</f>
        <v>Lakban coklat</v>
      </c>
      <c r="B341" s="30">
        <f>'OKT 25'!AJ341:AJ724</f>
        <v>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23">
        <f t="shared" si="3"/>
        <v>0</v>
      </c>
      <c r="AI341" s="24">
        <v>0.0</v>
      </c>
      <c r="AJ341" s="32">
        <f t="shared" si="4"/>
        <v>1</v>
      </c>
      <c r="AK341" s="32">
        <f t="shared" si="5"/>
        <v>1</v>
      </c>
      <c r="AL341" s="25">
        <f>'MASTER STOCK'!I338</f>
        <v>15000</v>
      </c>
      <c r="AM341" s="27">
        <f>'MASTER STOCK'!L338</f>
        <v>15000</v>
      </c>
      <c r="AN341" s="27">
        <f t="shared" si="6"/>
        <v>0</v>
      </c>
      <c r="AO341" s="26">
        <f t="shared" si="7"/>
        <v>0</v>
      </c>
      <c r="AP341" s="114">
        <f t="shared" si="8"/>
        <v>0</v>
      </c>
      <c r="AQ341" s="10"/>
    </row>
    <row r="342">
      <c r="A342" s="29" t="str">
        <f>'MASTER STOCK'!F339</f>
        <v>Fiberglass tape</v>
      </c>
      <c r="B342" s="30">
        <f>'OKT 25'!AJ342:AJ725</f>
        <v>5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23">
        <f t="shared" si="3"/>
        <v>0</v>
      </c>
      <c r="AI342" s="24">
        <v>0.0</v>
      </c>
      <c r="AJ342" s="32">
        <f t="shared" si="4"/>
        <v>5</v>
      </c>
      <c r="AK342" s="32">
        <f t="shared" si="5"/>
        <v>5</v>
      </c>
      <c r="AL342" s="25">
        <f>'MASTER STOCK'!I339</f>
        <v>10000</v>
      </c>
      <c r="AM342" s="27">
        <f>'MASTER STOCK'!L339</f>
        <v>10000</v>
      </c>
      <c r="AN342" s="27">
        <f t="shared" si="6"/>
        <v>0</v>
      </c>
      <c r="AO342" s="26">
        <f t="shared" si="7"/>
        <v>0</v>
      </c>
      <c r="AP342" s="114">
        <f t="shared" si="8"/>
        <v>0</v>
      </c>
      <c r="AQ342" s="10"/>
    </row>
    <row r="343">
      <c r="A343" s="29" t="str">
        <f>'MASTER STOCK'!F340</f>
        <v>Gembok 40m</v>
      </c>
      <c r="B343" s="30">
        <f>'OKT 25'!AJ343:AJ726</f>
        <v>4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23">
        <f t="shared" si="3"/>
        <v>0</v>
      </c>
      <c r="AI343" s="24">
        <v>0.0</v>
      </c>
      <c r="AJ343" s="32">
        <f t="shared" si="4"/>
        <v>4</v>
      </c>
      <c r="AK343" s="32">
        <f t="shared" si="5"/>
        <v>4</v>
      </c>
      <c r="AL343" s="25">
        <f>'MASTER STOCK'!I340</f>
        <v>18000</v>
      </c>
      <c r="AM343" s="27">
        <f>'MASTER STOCK'!L340</f>
        <v>18000</v>
      </c>
      <c r="AN343" s="27">
        <f t="shared" si="6"/>
        <v>0</v>
      </c>
      <c r="AO343" s="26">
        <f t="shared" si="7"/>
        <v>0</v>
      </c>
      <c r="AP343" s="114">
        <f t="shared" si="8"/>
        <v>0</v>
      </c>
      <c r="AQ343" s="10"/>
    </row>
    <row r="344">
      <c r="A344" s="29" t="str">
        <f>'MASTER STOCK'!F341</f>
        <v>Gembok 35 m</v>
      </c>
      <c r="B344" s="30">
        <f>'OKT 25'!AJ344:AJ727</f>
        <v>2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23">
        <f t="shared" si="3"/>
        <v>0</v>
      </c>
      <c r="AI344" s="24">
        <v>0.0</v>
      </c>
      <c r="AJ344" s="32">
        <f t="shared" si="4"/>
        <v>2</v>
      </c>
      <c r="AK344" s="32">
        <f t="shared" si="5"/>
        <v>2</v>
      </c>
      <c r="AL344" s="25">
        <f>'MASTER STOCK'!I341</f>
        <v>15000</v>
      </c>
      <c r="AM344" s="27">
        <f>'MASTER STOCK'!L341</f>
        <v>15000</v>
      </c>
      <c r="AN344" s="27">
        <f t="shared" si="6"/>
        <v>0</v>
      </c>
      <c r="AO344" s="26">
        <f t="shared" si="7"/>
        <v>0</v>
      </c>
      <c r="AP344" s="114">
        <f t="shared" si="8"/>
        <v>0</v>
      </c>
      <c r="AQ344" s="10"/>
    </row>
    <row r="345">
      <c r="A345" s="29" t="str">
        <f>'MASTER STOCK'!F342</f>
        <v>Gembok 25mm</v>
      </c>
      <c r="B345" s="30">
        <f>'OKT 25'!AJ345:AJ728</f>
        <v>3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23">
        <f t="shared" si="3"/>
        <v>0</v>
      </c>
      <c r="AI345" s="24">
        <v>0.0</v>
      </c>
      <c r="AJ345" s="32">
        <f t="shared" si="4"/>
        <v>3</v>
      </c>
      <c r="AK345" s="32">
        <f t="shared" si="5"/>
        <v>3</v>
      </c>
      <c r="AL345" s="25">
        <f>'MASTER STOCK'!I342</f>
        <v>13000</v>
      </c>
      <c r="AM345" s="27">
        <f>'MASTER STOCK'!L342</f>
        <v>13000</v>
      </c>
      <c r="AN345" s="27">
        <f t="shared" si="6"/>
        <v>0</v>
      </c>
      <c r="AO345" s="26">
        <f t="shared" si="7"/>
        <v>0</v>
      </c>
      <c r="AP345" s="114">
        <f t="shared" si="8"/>
        <v>0</v>
      </c>
      <c r="AQ345" s="10"/>
    </row>
    <row r="346">
      <c r="A346" s="29" t="str">
        <f>'MASTER STOCK'!F343</f>
        <v>Microphone mini clip</v>
      </c>
      <c r="B346" s="30">
        <f>'OKT 25'!AJ346:AJ729</f>
        <v>2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23">
        <f t="shared" si="3"/>
        <v>0</v>
      </c>
      <c r="AI346" s="24">
        <v>0.0</v>
      </c>
      <c r="AJ346" s="32">
        <f t="shared" si="4"/>
        <v>2</v>
      </c>
      <c r="AK346" s="32">
        <f t="shared" si="5"/>
        <v>2</v>
      </c>
      <c r="AL346" s="25">
        <f>'MASTER STOCK'!I343</f>
        <v>135000</v>
      </c>
      <c r="AM346" s="27">
        <f>'MASTER STOCK'!L343</f>
        <v>135000</v>
      </c>
      <c r="AN346" s="27">
        <f t="shared" si="6"/>
        <v>0</v>
      </c>
      <c r="AO346" s="26">
        <f t="shared" si="7"/>
        <v>0</v>
      </c>
      <c r="AP346" s="114">
        <f t="shared" si="8"/>
        <v>0</v>
      </c>
      <c r="AQ346" s="10"/>
    </row>
    <row r="347">
      <c r="A347" s="29" t="str">
        <f>'MASTER STOCK'!F344</f>
        <v>Double tip foam hitam</v>
      </c>
      <c r="B347" s="30">
        <f>'OKT 25'!AJ347:AJ730</f>
        <v>3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23">
        <f t="shared" si="3"/>
        <v>0</v>
      </c>
      <c r="AI347" s="24">
        <v>0.0</v>
      </c>
      <c r="AJ347" s="32">
        <f t="shared" si="4"/>
        <v>3</v>
      </c>
      <c r="AK347" s="32">
        <f t="shared" si="5"/>
        <v>3</v>
      </c>
      <c r="AL347" s="25">
        <f>'MASTER STOCK'!I344</f>
        <v>6000</v>
      </c>
      <c r="AM347" s="27">
        <f>'MASTER STOCK'!L344</f>
        <v>6000</v>
      </c>
      <c r="AN347" s="27">
        <f t="shared" si="6"/>
        <v>0</v>
      </c>
      <c r="AO347" s="26">
        <f t="shared" si="7"/>
        <v>0</v>
      </c>
      <c r="AP347" s="114">
        <f t="shared" si="8"/>
        <v>0</v>
      </c>
      <c r="AQ347" s="10"/>
    </row>
    <row r="348">
      <c r="A348" s="29" t="str">
        <f>'MASTER STOCK'!F345</f>
        <v>amplass</v>
      </c>
      <c r="B348" s="30">
        <f>'OKT 25'!AJ348:AJ731</f>
        <v>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23">
        <f t="shared" si="3"/>
        <v>0</v>
      </c>
      <c r="AI348" s="24">
        <v>0.0</v>
      </c>
      <c r="AJ348" s="32">
        <f t="shared" si="4"/>
        <v>1</v>
      </c>
      <c r="AK348" s="32">
        <f t="shared" si="5"/>
        <v>1</v>
      </c>
      <c r="AL348" s="25">
        <f>'MASTER STOCK'!I345</f>
        <v>7000</v>
      </c>
      <c r="AM348" s="27">
        <f>'MASTER STOCK'!L345</f>
        <v>7000</v>
      </c>
      <c r="AN348" s="27">
        <f t="shared" si="6"/>
        <v>0</v>
      </c>
      <c r="AO348" s="26">
        <f t="shared" si="7"/>
        <v>0</v>
      </c>
      <c r="AP348" s="114">
        <f t="shared" si="8"/>
        <v>0</v>
      </c>
      <c r="AQ348" s="10"/>
    </row>
    <row r="349">
      <c r="A349" s="29" t="str">
        <f>'MASTER STOCK'!F346</f>
        <v>Tie clip microphone</v>
      </c>
      <c r="B349" s="30">
        <f>'OKT 25'!AJ349:AJ732</f>
        <v>2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23">
        <f t="shared" si="3"/>
        <v>0</v>
      </c>
      <c r="AI349" s="24">
        <v>0.0</v>
      </c>
      <c r="AJ349" s="32">
        <f t="shared" si="4"/>
        <v>2</v>
      </c>
      <c r="AK349" s="32">
        <f t="shared" si="5"/>
        <v>2</v>
      </c>
      <c r="AL349" s="25">
        <f>'MASTER STOCK'!I346</f>
        <v>125000</v>
      </c>
      <c r="AM349" s="27">
        <f>'MASTER STOCK'!L346</f>
        <v>125000</v>
      </c>
      <c r="AN349" s="27">
        <f t="shared" si="6"/>
        <v>0</v>
      </c>
      <c r="AO349" s="26">
        <f t="shared" si="7"/>
        <v>0</v>
      </c>
      <c r="AP349" s="114">
        <f t="shared" si="8"/>
        <v>0</v>
      </c>
      <c r="AQ349" s="10"/>
    </row>
    <row r="350">
      <c r="A350" s="29" t="str">
        <f>'MASTER STOCK'!F347</f>
        <v>Selot besar / grendel 3"</v>
      </c>
      <c r="B350" s="30">
        <f>'OKT 25'!AJ350:AJ733</f>
        <v>3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23">
        <f t="shared" si="3"/>
        <v>0</v>
      </c>
      <c r="AI350" s="24">
        <v>0.0</v>
      </c>
      <c r="AJ350" s="32">
        <f t="shared" si="4"/>
        <v>3</v>
      </c>
      <c r="AK350" s="32">
        <f t="shared" si="5"/>
        <v>3</v>
      </c>
      <c r="AL350" s="25">
        <f>'MASTER STOCK'!I347</f>
        <v>11000</v>
      </c>
      <c r="AM350" s="27">
        <f>'MASTER STOCK'!L347</f>
        <v>11000</v>
      </c>
      <c r="AN350" s="27">
        <f t="shared" si="6"/>
        <v>0</v>
      </c>
      <c r="AO350" s="26">
        <f t="shared" si="7"/>
        <v>0</v>
      </c>
      <c r="AP350" s="114">
        <f t="shared" si="8"/>
        <v>0</v>
      </c>
      <c r="AQ350" s="10"/>
    </row>
    <row r="351">
      <c r="A351" s="29" t="str">
        <f>'MASTER STOCK'!F348</f>
        <v>Tee dos</v>
      </c>
      <c r="B351" s="30">
        <f>'OKT 25'!AJ351:AJ734</f>
        <v>8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23">
        <f t="shared" si="3"/>
        <v>0</v>
      </c>
      <c r="AI351" s="24">
        <v>0.0</v>
      </c>
      <c r="AJ351" s="32">
        <f t="shared" si="4"/>
        <v>8</v>
      </c>
      <c r="AK351" s="32">
        <f t="shared" si="5"/>
        <v>8</v>
      </c>
      <c r="AL351" s="25">
        <f>'MASTER STOCK'!I348</f>
        <v>3000</v>
      </c>
      <c r="AM351" s="27">
        <f>'MASTER STOCK'!L348</f>
        <v>3000</v>
      </c>
      <c r="AN351" s="27">
        <f t="shared" si="6"/>
        <v>0</v>
      </c>
      <c r="AO351" s="26">
        <f t="shared" si="7"/>
        <v>0</v>
      </c>
      <c r="AP351" s="114">
        <f t="shared" si="8"/>
        <v>0</v>
      </c>
      <c r="AQ351" s="10"/>
    </row>
    <row r="352">
      <c r="A352" s="29" t="str">
        <f>'MASTER STOCK'!F349</f>
        <v>Double tip foam putih</v>
      </c>
      <c r="B352" s="30">
        <f>'OKT 25'!AJ352:AJ735</f>
        <v>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23">
        <f t="shared" si="3"/>
        <v>0</v>
      </c>
      <c r="AI352" s="24">
        <v>0.0</v>
      </c>
      <c r="AJ352" s="32">
        <f t="shared" si="4"/>
        <v>1</v>
      </c>
      <c r="AK352" s="32">
        <f t="shared" si="5"/>
        <v>1</v>
      </c>
      <c r="AL352" s="25">
        <f>'MASTER STOCK'!I349</f>
        <v>2500</v>
      </c>
      <c r="AM352" s="27">
        <f>'MASTER STOCK'!L349</f>
        <v>2500</v>
      </c>
      <c r="AN352" s="27">
        <f t="shared" si="6"/>
        <v>0</v>
      </c>
      <c r="AO352" s="26">
        <f t="shared" si="7"/>
        <v>0</v>
      </c>
      <c r="AP352" s="114">
        <f t="shared" si="8"/>
        <v>0</v>
      </c>
      <c r="AQ352" s="10"/>
    </row>
    <row r="353">
      <c r="A353" s="29" t="str">
        <f>'MASTER STOCK'!F350</f>
        <v>pegangan pintu putih </v>
      </c>
      <c r="B353" s="30">
        <f>'OKT 25'!AJ353:AJ736</f>
        <v>2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23">
        <f t="shared" si="3"/>
        <v>0</v>
      </c>
      <c r="AI353" s="24">
        <v>0.0</v>
      </c>
      <c r="AJ353" s="32">
        <f t="shared" si="4"/>
        <v>2</v>
      </c>
      <c r="AK353" s="32">
        <f t="shared" si="5"/>
        <v>2</v>
      </c>
      <c r="AL353" s="25">
        <f>'MASTER STOCK'!I350</f>
        <v>16000</v>
      </c>
      <c r="AM353" s="27">
        <f>'MASTER STOCK'!L350</f>
        <v>16000</v>
      </c>
      <c r="AN353" s="27">
        <f t="shared" si="6"/>
        <v>0</v>
      </c>
      <c r="AO353" s="26">
        <f t="shared" si="7"/>
        <v>0</v>
      </c>
      <c r="AP353" s="114">
        <f t="shared" si="8"/>
        <v>0</v>
      </c>
      <c r="AQ353" s="10"/>
    </row>
    <row r="354">
      <c r="A354" s="20" t="str">
        <f>'MASTER STOCK'!F351</f>
        <v>INBOW DUS</v>
      </c>
      <c r="B354" s="21">
        <f>'OKT 25'!AJ354:AJ737</f>
        <v>15</v>
      </c>
      <c r="C354" s="10"/>
      <c r="D354" s="10"/>
      <c r="E354" s="22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23">
        <f t="shared" si="3"/>
        <v>0</v>
      </c>
      <c r="AI354" s="24">
        <v>0.0</v>
      </c>
      <c r="AJ354" s="23">
        <f t="shared" si="4"/>
        <v>15</v>
      </c>
      <c r="AK354" s="23">
        <f t="shared" si="5"/>
        <v>15</v>
      </c>
      <c r="AL354" s="25">
        <f>'MASTER STOCK'!I351</f>
        <v>500</v>
      </c>
      <c r="AM354" s="27">
        <f>'MASTER STOCK'!L351</f>
        <v>1000</v>
      </c>
      <c r="AN354" s="27">
        <f t="shared" si="6"/>
        <v>0</v>
      </c>
      <c r="AO354" s="26">
        <f t="shared" si="7"/>
        <v>0</v>
      </c>
      <c r="AP354" s="114">
        <f t="shared" si="8"/>
        <v>0</v>
      </c>
      <c r="AQ354" s="10"/>
    </row>
    <row r="355">
      <c r="A355" s="20" t="str">
        <f>'MASTER STOCK'!F352</f>
        <v>TEE DOS</v>
      </c>
      <c r="B355" s="21">
        <f>'OKT 25'!AJ355:AJ738</f>
        <v>20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23">
        <f t="shared" si="3"/>
        <v>0</v>
      </c>
      <c r="AI355" s="24">
        <v>0.0</v>
      </c>
      <c r="AJ355" s="23">
        <f t="shared" si="4"/>
        <v>20</v>
      </c>
      <c r="AK355" s="23">
        <f t="shared" si="5"/>
        <v>20</v>
      </c>
      <c r="AL355" s="25">
        <f>'MASTER STOCK'!I352</f>
        <v>500</v>
      </c>
      <c r="AM355" s="27">
        <f>'MASTER STOCK'!L352</f>
        <v>1500</v>
      </c>
      <c r="AN355" s="27">
        <f t="shared" si="6"/>
        <v>0</v>
      </c>
      <c r="AO355" s="26">
        <f t="shared" si="7"/>
        <v>0</v>
      </c>
      <c r="AP355" s="114">
        <f t="shared" si="8"/>
        <v>0</v>
      </c>
      <c r="AQ355" s="10"/>
    </row>
    <row r="356">
      <c r="A356" s="20" t="str">
        <f>'MASTER STOCK'!F353</f>
        <v>LEM TEMBAK</v>
      </c>
      <c r="B356" s="21">
        <f>'OKT 25'!AJ356:AJ739</f>
        <v>74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23">
        <f t="shared" si="3"/>
        <v>0</v>
      </c>
      <c r="AI356" s="24">
        <v>0.0</v>
      </c>
      <c r="AJ356" s="23">
        <f t="shared" si="4"/>
        <v>74</v>
      </c>
      <c r="AK356" s="23">
        <f t="shared" si="5"/>
        <v>74</v>
      </c>
      <c r="AL356" s="25">
        <f>'MASTER STOCK'!I353</f>
        <v>700</v>
      </c>
      <c r="AM356" s="27">
        <f>'MASTER STOCK'!L353</f>
        <v>1500</v>
      </c>
      <c r="AN356" s="27">
        <f t="shared" si="6"/>
        <v>0</v>
      </c>
      <c r="AO356" s="26">
        <f t="shared" si="7"/>
        <v>0</v>
      </c>
      <c r="AP356" s="114">
        <f t="shared" si="8"/>
        <v>0</v>
      </c>
      <c r="AQ356" s="10"/>
    </row>
    <row r="357">
      <c r="A357" s="20" t="str">
        <f>'MASTER STOCK'!F354</f>
        <v>STOP KONTAK BROCO TANAM</v>
      </c>
      <c r="B357" s="21">
        <f>'OKT 25'!AJ357:AJ740</f>
        <v>2</v>
      </c>
      <c r="C357" s="10"/>
      <c r="D357" s="10"/>
      <c r="E357" s="10"/>
      <c r="F357" s="10"/>
      <c r="G357" s="10"/>
      <c r="H357" s="10"/>
      <c r="I357" s="10"/>
      <c r="J357" s="10"/>
      <c r="K357" s="22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23">
        <f t="shared" si="3"/>
        <v>0</v>
      </c>
      <c r="AI357" s="24">
        <v>0.0</v>
      </c>
      <c r="AJ357" s="23">
        <f t="shared" si="4"/>
        <v>2</v>
      </c>
      <c r="AK357" s="23">
        <f t="shared" si="5"/>
        <v>2</v>
      </c>
      <c r="AL357" s="25">
        <f>'MASTER STOCK'!I354</f>
        <v>13500</v>
      </c>
      <c r="AM357" s="27">
        <f>'MASTER STOCK'!L354</f>
        <v>16000</v>
      </c>
      <c r="AN357" s="27">
        <f t="shared" si="6"/>
        <v>0</v>
      </c>
      <c r="AO357" s="26">
        <f t="shared" si="7"/>
        <v>0</v>
      </c>
      <c r="AP357" s="114">
        <f t="shared" si="8"/>
        <v>0</v>
      </c>
      <c r="AQ357" s="10"/>
    </row>
    <row r="358">
      <c r="A358" s="20" t="str">
        <f>'MASTER STOCK'!F355</f>
        <v>STOP KONTAK TANAM PANASONIC</v>
      </c>
      <c r="B358" s="21">
        <f>'OKT 25'!AJ358:AJ741</f>
        <v>3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23">
        <f t="shared" si="3"/>
        <v>0</v>
      </c>
      <c r="AI358" s="24">
        <v>0.0</v>
      </c>
      <c r="AJ358" s="23">
        <f t="shared" si="4"/>
        <v>3</v>
      </c>
      <c r="AK358" s="23">
        <f t="shared" si="5"/>
        <v>3</v>
      </c>
      <c r="AL358" s="25">
        <f>'MASTER STOCK'!I355</f>
        <v>15000</v>
      </c>
      <c r="AM358" s="27">
        <f>'MASTER STOCK'!L355</f>
        <v>18000</v>
      </c>
      <c r="AN358" s="27">
        <f t="shared" si="6"/>
        <v>0</v>
      </c>
      <c r="AO358" s="26">
        <f t="shared" si="7"/>
        <v>0</v>
      </c>
      <c r="AP358" s="114">
        <f t="shared" si="8"/>
        <v>0</v>
      </c>
      <c r="AQ358" s="10"/>
    </row>
    <row r="359">
      <c r="A359" s="20" t="str">
        <f>'MASTER STOCK'!F356</f>
        <v>STOP KONTAK INBOW TANAM</v>
      </c>
      <c r="B359" s="21">
        <f>'OKT 25'!AJ359:AJ742</f>
        <v>5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23">
        <f t="shared" si="3"/>
        <v>0</v>
      </c>
      <c r="AI359" s="24">
        <v>0.0</v>
      </c>
      <c r="AJ359" s="23">
        <f t="shared" si="4"/>
        <v>5</v>
      </c>
      <c r="AK359" s="23">
        <f t="shared" si="5"/>
        <v>5</v>
      </c>
      <c r="AL359" s="25">
        <f>'MASTER STOCK'!I356</f>
        <v>6400</v>
      </c>
      <c r="AM359" s="27">
        <f>'MASTER STOCK'!L356</f>
        <v>11000</v>
      </c>
      <c r="AN359" s="27">
        <f t="shared" si="6"/>
        <v>0</v>
      </c>
      <c r="AO359" s="26">
        <f t="shared" si="7"/>
        <v>0</v>
      </c>
      <c r="AP359" s="114">
        <f t="shared" si="8"/>
        <v>0</v>
      </c>
      <c r="AQ359" s="10"/>
    </row>
    <row r="360">
      <c r="A360" s="20" t="str">
        <f>'MASTER STOCK'!F357</f>
        <v>SAKLAR3 CABANG (TEE)</v>
      </c>
      <c r="B360" s="21">
        <f>'OKT 25'!AJ360:AJ743</f>
        <v>2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23">
        <f t="shared" si="3"/>
        <v>0</v>
      </c>
      <c r="AI360" s="24">
        <v>0.0</v>
      </c>
      <c r="AJ360" s="23">
        <f t="shared" si="4"/>
        <v>2</v>
      </c>
      <c r="AK360" s="23">
        <f t="shared" si="5"/>
        <v>2</v>
      </c>
      <c r="AL360" s="25">
        <f>'MASTER STOCK'!I357</f>
        <v>17500</v>
      </c>
      <c r="AM360" s="27">
        <f>'MASTER STOCK'!L357</f>
        <v>18000</v>
      </c>
      <c r="AN360" s="27">
        <f t="shared" si="6"/>
        <v>0</v>
      </c>
      <c r="AO360" s="26">
        <f t="shared" si="7"/>
        <v>0</v>
      </c>
      <c r="AP360" s="114">
        <f t="shared" si="8"/>
        <v>0</v>
      </c>
      <c r="AQ360" s="10"/>
    </row>
    <row r="361">
      <c r="A361" s="20" t="str">
        <f>'MASTER STOCK'!F358</f>
        <v>SAKLAR HOKSUN 3 LUBANG</v>
      </c>
      <c r="B361" s="21">
        <f>'OKT 25'!AJ361:AJ744</f>
        <v>2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23">
        <f t="shared" si="3"/>
        <v>0</v>
      </c>
      <c r="AI361" s="24">
        <v>0.0</v>
      </c>
      <c r="AJ361" s="23">
        <f t="shared" si="4"/>
        <v>2</v>
      </c>
      <c r="AK361" s="23">
        <f t="shared" si="5"/>
        <v>2</v>
      </c>
      <c r="AL361" s="25">
        <f>'MASTER STOCK'!I358</f>
        <v>15750</v>
      </c>
      <c r="AM361" s="27">
        <f>'MASTER STOCK'!L358</f>
        <v>22000</v>
      </c>
      <c r="AN361" s="27">
        <f t="shared" si="6"/>
        <v>0</v>
      </c>
      <c r="AO361" s="26">
        <f t="shared" si="7"/>
        <v>0</v>
      </c>
      <c r="AP361" s="114">
        <f t="shared" si="8"/>
        <v>0</v>
      </c>
      <c r="AQ361" s="10"/>
    </row>
    <row r="362">
      <c r="A362" s="20" t="str">
        <f>'MASTER STOCK'!F359</f>
        <v>SAKLAR TRM 4 LUBANG</v>
      </c>
      <c r="B362" s="21">
        <f>'OKT 25'!AJ362:AJ745</f>
        <v>2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23">
        <f t="shared" si="3"/>
        <v>0</v>
      </c>
      <c r="AI362" s="24">
        <v>0.0</v>
      </c>
      <c r="AJ362" s="23">
        <f t="shared" si="4"/>
        <v>2</v>
      </c>
      <c r="AK362" s="23">
        <f t="shared" si="5"/>
        <v>2</v>
      </c>
      <c r="AL362" s="25">
        <f>'MASTER STOCK'!I359</f>
        <v>19750</v>
      </c>
      <c r="AM362" s="27">
        <f>'MASTER STOCK'!L359</f>
        <v>26000</v>
      </c>
      <c r="AN362" s="27">
        <f t="shared" si="6"/>
        <v>0</v>
      </c>
      <c r="AO362" s="26">
        <f t="shared" si="7"/>
        <v>0</v>
      </c>
      <c r="AP362" s="114">
        <f t="shared" si="8"/>
        <v>0</v>
      </c>
      <c r="AQ362" s="10"/>
    </row>
    <row r="363">
      <c r="A363" s="20" t="str">
        <f>'MASTER STOCK'!F360</f>
        <v>SEMEN MERAH PUTIH</v>
      </c>
      <c r="B363" s="21">
        <f>'OKT 25'!AJ363:AJ746</f>
        <v>5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23">
        <f t="shared" si="3"/>
        <v>0</v>
      </c>
      <c r="AI363" s="24">
        <v>0.0</v>
      </c>
      <c r="AJ363" s="23">
        <f t="shared" si="4"/>
        <v>5</v>
      </c>
      <c r="AK363" s="23">
        <f t="shared" si="5"/>
        <v>5</v>
      </c>
      <c r="AL363" s="25">
        <f>'MASTER STOCK'!I360</f>
        <v>41000</v>
      </c>
      <c r="AM363" s="27">
        <f>'MASTER STOCK'!L360</f>
        <v>42000</v>
      </c>
      <c r="AN363" s="27">
        <f t="shared" si="6"/>
        <v>0</v>
      </c>
      <c r="AO363" s="26">
        <f t="shared" si="7"/>
        <v>0</v>
      </c>
      <c r="AP363" s="114">
        <f t="shared" si="8"/>
        <v>0</v>
      </c>
      <c r="AQ363" s="10"/>
    </row>
    <row r="364">
      <c r="A364" s="20" t="str">
        <f>'MASTER STOCK'!F361</f>
        <v>SEMEN SINGA MERAH</v>
      </c>
      <c r="B364" s="21">
        <f>'OKT 25'!AJ364:AJ747</f>
        <v>4</v>
      </c>
      <c r="C364" s="10"/>
      <c r="D364" s="10"/>
      <c r="E364" s="22">
        <v>1.0</v>
      </c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22">
        <v>1.0</v>
      </c>
      <c r="AC364" s="10"/>
      <c r="AD364" s="10"/>
      <c r="AE364" s="10"/>
      <c r="AF364" s="10"/>
      <c r="AG364" s="22"/>
      <c r="AH364" s="23">
        <f t="shared" si="3"/>
        <v>2</v>
      </c>
      <c r="AI364" s="24">
        <v>0.0</v>
      </c>
      <c r="AJ364" s="23">
        <f t="shared" si="4"/>
        <v>2</v>
      </c>
      <c r="AK364" s="23">
        <f t="shared" si="5"/>
        <v>2</v>
      </c>
      <c r="AL364" s="25">
        <f>'MASTER STOCK'!I361</f>
        <v>43000</v>
      </c>
      <c r="AM364" s="27">
        <f>'MASTER STOCK'!L361</f>
        <v>44000</v>
      </c>
      <c r="AN364" s="27">
        <f t="shared" si="6"/>
        <v>88000</v>
      </c>
      <c r="AO364" s="26">
        <f t="shared" si="7"/>
        <v>2000</v>
      </c>
      <c r="AP364" s="114">
        <f t="shared" si="8"/>
        <v>86000</v>
      </c>
      <c r="AQ364" s="10"/>
    </row>
    <row r="365">
      <c r="A365" s="20" t="str">
        <f>'MASTER STOCK'!F362</f>
        <v>WATERMUR 3/4</v>
      </c>
      <c r="B365" s="21">
        <f>'OKT 25'!AJ365:AJ748</f>
        <v>5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23">
        <f t="shared" si="3"/>
        <v>0</v>
      </c>
      <c r="AI365" s="24">
        <v>0.0</v>
      </c>
      <c r="AJ365" s="23">
        <f t="shared" si="4"/>
        <v>5</v>
      </c>
      <c r="AK365" s="23">
        <f t="shared" si="5"/>
        <v>5</v>
      </c>
      <c r="AL365" s="25">
        <f>'MASTER STOCK'!I362</f>
        <v>4700</v>
      </c>
      <c r="AM365" s="27">
        <f>'MASTER STOCK'!L362</f>
        <v>7000</v>
      </c>
      <c r="AN365" s="27">
        <f t="shared" si="6"/>
        <v>0</v>
      </c>
      <c r="AO365" s="26">
        <f t="shared" si="7"/>
        <v>0</v>
      </c>
      <c r="AP365" s="114">
        <f t="shared" si="8"/>
        <v>0</v>
      </c>
      <c r="AQ365" s="10"/>
    </row>
    <row r="366">
      <c r="A366" s="20" t="str">
        <f>'MASTER STOCK'!F363</f>
        <v>SOLDER GAGANG KAYU 40W</v>
      </c>
      <c r="B366" s="21">
        <f>'OKT 25'!AJ366:AJ749</f>
        <v>5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23">
        <f t="shared" si="3"/>
        <v>0</v>
      </c>
      <c r="AI366" s="24">
        <v>0.0</v>
      </c>
      <c r="AJ366" s="23">
        <f t="shared" si="4"/>
        <v>5</v>
      </c>
      <c r="AK366" s="23">
        <f t="shared" si="5"/>
        <v>5</v>
      </c>
      <c r="AL366" s="25">
        <f>'MASTER STOCK'!I363</f>
        <v>9000</v>
      </c>
      <c r="AM366" s="27">
        <f>'MASTER STOCK'!L363</f>
        <v>12000</v>
      </c>
      <c r="AN366" s="27">
        <f t="shared" si="6"/>
        <v>0</v>
      </c>
      <c r="AO366" s="26">
        <f t="shared" si="7"/>
        <v>0</v>
      </c>
      <c r="AP366" s="114">
        <f t="shared" si="8"/>
        <v>0</v>
      </c>
      <c r="AQ366" s="10"/>
    </row>
    <row r="367">
      <c r="A367" s="20" t="str">
        <f>'MASTER STOCK'!F364</f>
        <v>KUAS GRT 3"</v>
      </c>
      <c r="B367" s="21">
        <f>'OKT 25'!AJ367:AJ750</f>
        <v>12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23">
        <f t="shared" si="3"/>
        <v>0</v>
      </c>
      <c r="AI367" s="24">
        <v>0.0</v>
      </c>
      <c r="AJ367" s="23">
        <f t="shared" si="4"/>
        <v>12</v>
      </c>
      <c r="AK367" s="23">
        <f t="shared" si="5"/>
        <v>12</v>
      </c>
      <c r="AL367" s="25">
        <f>'MASTER STOCK'!I364</f>
        <v>4000</v>
      </c>
      <c r="AM367" s="27">
        <f>'MASTER STOCK'!L364</f>
        <v>7500</v>
      </c>
      <c r="AN367" s="27">
        <f t="shared" si="6"/>
        <v>0</v>
      </c>
      <c r="AO367" s="26">
        <f t="shared" si="7"/>
        <v>0</v>
      </c>
      <c r="AP367" s="114">
        <f t="shared" si="8"/>
        <v>0</v>
      </c>
      <c r="AQ367" s="10"/>
    </row>
    <row r="368">
      <c r="A368" s="20" t="str">
        <f>'MASTER STOCK'!F365</f>
        <v>PENGAMAN REGULATOR</v>
      </c>
      <c r="B368" s="21">
        <f>'OKT 25'!AJ368:AJ751</f>
        <v>3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23">
        <f t="shared" si="3"/>
        <v>0</v>
      </c>
      <c r="AI368" s="24">
        <v>0.0</v>
      </c>
      <c r="AJ368" s="23">
        <f t="shared" si="4"/>
        <v>3</v>
      </c>
      <c r="AK368" s="23">
        <f t="shared" si="5"/>
        <v>3</v>
      </c>
      <c r="AL368" s="25">
        <f>'MASTER STOCK'!I365</f>
        <v>7500</v>
      </c>
      <c r="AM368" s="27">
        <f>'MASTER STOCK'!L365</f>
        <v>12000</v>
      </c>
      <c r="AN368" s="27">
        <f t="shared" si="6"/>
        <v>0</v>
      </c>
      <c r="AO368" s="26">
        <f t="shared" si="7"/>
        <v>0</v>
      </c>
      <c r="AP368" s="114">
        <f t="shared" si="8"/>
        <v>0</v>
      </c>
      <c r="AQ368" s="10"/>
    </row>
    <row r="369">
      <c r="A369" s="20" t="str">
        <f>'MASTER STOCK'!F366</f>
        <v>KLEM REGULATOR</v>
      </c>
      <c r="B369" s="21">
        <f>'OKT 25'!AJ369:AJ752</f>
        <v>20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23">
        <f t="shared" si="3"/>
        <v>0</v>
      </c>
      <c r="AI369" s="24">
        <v>0.0</v>
      </c>
      <c r="AJ369" s="23">
        <f t="shared" si="4"/>
        <v>20</v>
      </c>
      <c r="AK369" s="23">
        <f t="shared" si="5"/>
        <v>20</v>
      </c>
      <c r="AL369" s="25">
        <f>'MASTER STOCK'!I366</f>
        <v>1200</v>
      </c>
      <c r="AM369" s="27">
        <f>'MASTER STOCK'!L366</f>
        <v>2500</v>
      </c>
      <c r="AN369" s="27">
        <f t="shared" si="6"/>
        <v>0</v>
      </c>
      <c r="AO369" s="26">
        <f t="shared" si="7"/>
        <v>0</v>
      </c>
      <c r="AP369" s="114">
        <f t="shared" si="8"/>
        <v>0</v>
      </c>
      <c r="AQ369" s="10"/>
    </row>
    <row r="370">
      <c r="A370" s="20" t="str">
        <f>'MASTER STOCK'!F367</f>
        <v>TIMBA STANDART</v>
      </c>
      <c r="B370" s="21">
        <f>'OKT 25'!AJ370:AJ753</f>
        <v>10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23">
        <f t="shared" si="3"/>
        <v>0</v>
      </c>
      <c r="AI370" s="24">
        <v>0.0</v>
      </c>
      <c r="AJ370" s="23">
        <f t="shared" si="4"/>
        <v>10</v>
      </c>
      <c r="AK370" s="23">
        <f t="shared" si="5"/>
        <v>10</v>
      </c>
      <c r="AL370" s="25">
        <f>'MASTER STOCK'!I367</f>
        <v>5000</v>
      </c>
      <c r="AM370" s="27">
        <f>'MASTER STOCK'!L367</f>
        <v>8000</v>
      </c>
      <c r="AN370" s="27">
        <f t="shared" si="6"/>
        <v>0</v>
      </c>
      <c r="AO370" s="26">
        <f t="shared" si="7"/>
        <v>0</v>
      </c>
      <c r="AP370" s="114">
        <f t="shared" si="8"/>
        <v>0</v>
      </c>
      <c r="AQ370" s="10"/>
    </row>
    <row r="371">
      <c r="A371" s="20" t="str">
        <f>'MASTER STOCK'!F368</f>
        <v>KNEE DRAT DALAM 1/2 DIM</v>
      </c>
      <c r="B371" s="21">
        <f>'OKT 25'!AJ371:AJ754</f>
        <v>15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23">
        <f t="shared" si="3"/>
        <v>0</v>
      </c>
      <c r="AI371" s="24">
        <v>0.0</v>
      </c>
      <c r="AJ371" s="23">
        <f t="shared" si="4"/>
        <v>15</v>
      </c>
      <c r="AK371" s="23">
        <f t="shared" si="5"/>
        <v>15</v>
      </c>
      <c r="AL371" s="25">
        <f>'MASTER STOCK'!I368</f>
        <v>1400</v>
      </c>
      <c r="AM371" s="27">
        <f>'MASTER STOCK'!L368</f>
        <v>3500</v>
      </c>
      <c r="AN371" s="27">
        <f t="shared" si="6"/>
        <v>0</v>
      </c>
      <c r="AO371" s="26">
        <f t="shared" si="7"/>
        <v>0</v>
      </c>
      <c r="AP371" s="114">
        <f t="shared" si="8"/>
        <v>0</v>
      </c>
      <c r="AQ371" s="10"/>
    </row>
    <row r="372">
      <c r="A372" s="20" t="str">
        <f>'MASTER STOCK'!F369</f>
        <v>AMPLAS UK 60 </v>
      </c>
      <c r="B372" s="21">
        <f>'OKT 25'!AJ372:AJ755</f>
        <v>10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23">
        <f t="shared" si="3"/>
        <v>0</v>
      </c>
      <c r="AI372" s="24">
        <v>0.0</v>
      </c>
      <c r="AJ372" s="23">
        <f t="shared" si="4"/>
        <v>10</v>
      </c>
      <c r="AK372" s="23">
        <f t="shared" si="5"/>
        <v>10</v>
      </c>
      <c r="AL372" s="25">
        <f>'MASTER STOCK'!I369</f>
        <v>4500</v>
      </c>
      <c r="AM372" s="27">
        <f>'MASTER STOCK'!L369</f>
        <v>7000</v>
      </c>
      <c r="AN372" s="27">
        <f t="shared" si="6"/>
        <v>0</v>
      </c>
      <c r="AO372" s="26">
        <f t="shared" si="7"/>
        <v>0</v>
      </c>
      <c r="AP372" s="114">
        <f t="shared" si="8"/>
        <v>0</v>
      </c>
      <c r="AQ372" s="10"/>
    </row>
    <row r="373">
      <c r="A373" s="20" t="str">
        <f>'MASTER STOCK'!F370</f>
        <v>AMPLAS UK 150</v>
      </c>
      <c r="B373" s="21">
        <f>'OKT 25'!AJ373:AJ756</f>
        <v>10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23">
        <f t="shared" si="3"/>
        <v>0</v>
      </c>
      <c r="AI373" s="24">
        <v>0.0</v>
      </c>
      <c r="AJ373" s="23">
        <f t="shared" si="4"/>
        <v>10</v>
      </c>
      <c r="AK373" s="23">
        <f t="shared" si="5"/>
        <v>10</v>
      </c>
      <c r="AL373" s="25">
        <f>'MASTER STOCK'!I370</f>
        <v>4500</v>
      </c>
      <c r="AM373" s="27">
        <f>'MASTER STOCK'!L370</f>
        <v>7000</v>
      </c>
      <c r="AN373" s="27">
        <f t="shared" si="6"/>
        <v>0</v>
      </c>
      <c r="AO373" s="26">
        <f t="shared" si="7"/>
        <v>0</v>
      </c>
      <c r="AP373" s="114">
        <f t="shared" si="8"/>
        <v>0</v>
      </c>
      <c r="AQ373" s="10"/>
    </row>
    <row r="374">
      <c r="A374" s="20" t="str">
        <f>'MASTER STOCK'!F371</f>
        <v>AMPLAS UK 240</v>
      </c>
      <c r="B374" s="21">
        <f>'OKT 25'!AJ374:AJ757</f>
        <v>10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23">
        <f t="shared" si="3"/>
        <v>0</v>
      </c>
      <c r="AI374" s="24">
        <v>0.0</v>
      </c>
      <c r="AJ374" s="23">
        <f t="shared" si="4"/>
        <v>10</v>
      </c>
      <c r="AK374" s="23">
        <f t="shared" si="5"/>
        <v>10</v>
      </c>
      <c r="AL374" s="25">
        <f>'MASTER STOCK'!I371</f>
        <v>4500</v>
      </c>
      <c r="AM374" s="27">
        <f>'MASTER STOCK'!L371</f>
        <v>7000</v>
      </c>
      <c r="AN374" s="27">
        <f t="shared" si="6"/>
        <v>0</v>
      </c>
      <c r="AO374" s="26">
        <f t="shared" si="7"/>
        <v>0</v>
      </c>
      <c r="AP374" s="114">
        <f t="shared" si="8"/>
        <v>0</v>
      </c>
      <c r="AQ374" s="10"/>
    </row>
    <row r="375">
      <c r="A375" s="20" t="str">
        <f>'MASTER STOCK'!F372</f>
        <v>WATERMUR DD 3/4</v>
      </c>
      <c r="B375" s="21">
        <f>'OKT 25'!AJ375:AJ758</f>
        <v>5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23">
        <f t="shared" si="3"/>
        <v>0</v>
      </c>
      <c r="AI375" s="24">
        <v>0.0</v>
      </c>
      <c r="AJ375" s="23">
        <f t="shared" si="4"/>
        <v>5</v>
      </c>
      <c r="AK375" s="23">
        <f t="shared" si="5"/>
        <v>5</v>
      </c>
      <c r="AL375" s="25">
        <f>'MASTER STOCK'!I372</f>
        <v>6000</v>
      </c>
      <c r="AM375" s="27">
        <f>'MASTER STOCK'!L372</f>
        <v>8000</v>
      </c>
      <c r="AN375" s="27">
        <f t="shared" si="6"/>
        <v>0</v>
      </c>
      <c r="AO375" s="26">
        <f t="shared" si="7"/>
        <v>0</v>
      </c>
      <c r="AP375" s="114">
        <f t="shared" si="8"/>
        <v>0</v>
      </c>
      <c r="AQ375" s="10"/>
    </row>
    <row r="376">
      <c r="A376" s="20" t="str">
        <f>'MASTER STOCK'!F373</f>
        <v>BENDRAT 5KG</v>
      </c>
      <c r="B376" s="21">
        <f>'OKT 25'!AJ376:AJ759</f>
        <v>5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23">
        <f t="shared" si="3"/>
        <v>0</v>
      </c>
      <c r="AI376" s="24">
        <v>0.0</v>
      </c>
      <c r="AJ376" s="23">
        <f t="shared" si="4"/>
        <v>5</v>
      </c>
      <c r="AK376" s="23">
        <f t="shared" si="5"/>
        <v>5</v>
      </c>
      <c r="AL376" s="25">
        <f>'MASTER STOCK'!I373</f>
        <v>19000</v>
      </c>
      <c r="AM376" s="27">
        <f>'MASTER STOCK'!L373</f>
        <v>25000</v>
      </c>
      <c r="AN376" s="27">
        <f t="shared" si="6"/>
        <v>0</v>
      </c>
      <c r="AO376" s="26">
        <f t="shared" si="7"/>
        <v>0</v>
      </c>
      <c r="AP376" s="114">
        <f t="shared" si="8"/>
        <v>0</v>
      </c>
      <c r="AQ376" s="10"/>
    </row>
    <row r="377">
      <c r="A377" s="20" t="str">
        <f>'MASTER STOCK'!F374</f>
        <v>S MERDEKA 5</v>
      </c>
      <c r="B377" s="21">
        <f>'OKT 25'!AJ377:AJ760</f>
        <v>5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23">
        <f t="shared" si="3"/>
        <v>0</v>
      </c>
      <c r="AI377" s="24">
        <v>0.0</v>
      </c>
      <c r="AJ377" s="23">
        <f t="shared" si="4"/>
        <v>5</v>
      </c>
      <c r="AK377" s="23">
        <f t="shared" si="5"/>
        <v>5</v>
      </c>
      <c r="AL377" s="25">
        <f>'MASTER STOCK'!I374</f>
        <v>41500</v>
      </c>
      <c r="AM377" s="27">
        <f>'MASTER STOCK'!L374</f>
        <v>4300</v>
      </c>
      <c r="AN377" s="27">
        <f t="shared" si="6"/>
        <v>0</v>
      </c>
      <c r="AO377" s="26">
        <f t="shared" si="7"/>
        <v>0</v>
      </c>
      <c r="AP377" s="114">
        <f t="shared" si="8"/>
        <v>0</v>
      </c>
      <c r="AQ377" s="10"/>
    </row>
    <row r="378">
      <c r="A378" s="20" t="str">
        <f>'MASTER STOCK'!F375</f>
        <v/>
      </c>
      <c r="B378" s="21" t="str">
        <f>'OKT 25'!AJ378:AJ761</f>
        <v/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23">
        <f t="shared" si="3"/>
        <v>0</v>
      </c>
      <c r="AI378" s="24">
        <v>0.0</v>
      </c>
      <c r="AJ378" s="23">
        <f t="shared" si="4"/>
        <v>0</v>
      </c>
      <c r="AK378" s="23">
        <f t="shared" si="5"/>
        <v>0</v>
      </c>
      <c r="AL378" s="25" t="str">
        <f>'MASTER STOCK'!I375</f>
        <v/>
      </c>
      <c r="AM378" s="33"/>
      <c r="AN378" s="33"/>
      <c r="AO378" s="114">
        <f t="shared" si="7"/>
        <v>0</v>
      </c>
      <c r="AP378" s="114">
        <f t="shared" si="8"/>
        <v>0</v>
      </c>
      <c r="AQ378" s="10"/>
    </row>
    <row r="379">
      <c r="A379" s="20" t="str">
        <f>'MASTER STOCK'!F376</f>
        <v/>
      </c>
      <c r="B379" s="21" t="str">
        <f>'OKT 25'!AJ379:AJ762</f>
        <v/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23">
        <f t="shared" si="3"/>
        <v>0</v>
      </c>
      <c r="AI379" s="24">
        <v>0.0</v>
      </c>
      <c r="AJ379" s="23">
        <f t="shared" si="4"/>
        <v>0</v>
      </c>
      <c r="AK379" s="23">
        <f t="shared" si="5"/>
        <v>0</v>
      </c>
      <c r="AL379" s="25" t="str">
        <f>'MASTER STOCK'!I376</f>
        <v/>
      </c>
      <c r="AM379" s="33"/>
      <c r="AN379" s="33"/>
      <c r="AO379" s="114">
        <f t="shared" si="7"/>
        <v>0</v>
      </c>
      <c r="AP379" s="114">
        <f t="shared" si="8"/>
        <v>0</v>
      </c>
      <c r="AQ379" s="10"/>
    </row>
    <row r="380">
      <c r="A380" s="20" t="str">
        <f>'MASTER STOCK'!F377</f>
        <v/>
      </c>
      <c r="B380" s="21" t="str">
        <f>'OKT 25'!AJ380:AJ763</f>
        <v/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33"/>
      <c r="AM380" s="33"/>
      <c r="AN380" s="33"/>
      <c r="AO380" s="23">
        <f t="shared" si="7"/>
        <v>0</v>
      </c>
      <c r="AP380" s="23">
        <f t="shared" si="8"/>
        <v>0</v>
      </c>
      <c r="AQ380" s="10"/>
    </row>
    <row r="381">
      <c r="A381" s="20" t="str">
        <f>'MASTER STOCK'!F378</f>
        <v/>
      </c>
      <c r="B381" s="21" t="str">
        <f>'OKT 25'!AJ381:AJ764</f>
        <v/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33"/>
      <c r="AM381" s="33"/>
      <c r="AN381" s="33"/>
      <c r="AO381" s="23">
        <f t="shared" si="7"/>
        <v>0</v>
      </c>
      <c r="AP381" s="23">
        <f t="shared" si="8"/>
        <v>0</v>
      </c>
      <c r="AQ381" s="10"/>
    </row>
    <row r="382">
      <c r="A382" s="20" t="str">
        <f>'MASTER STOCK'!F379</f>
        <v/>
      </c>
      <c r="B382" s="21" t="str">
        <f>'OKT 25'!AJ382:AJ765</f>
        <v/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33"/>
      <c r="AM382" s="33"/>
      <c r="AN382" s="33"/>
      <c r="AO382" s="23">
        <f t="shared" si="7"/>
        <v>0</v>
      </c>
      <c r="AP382" s="23">
        <f t="shared" si="8"/>
        <v>0</v>
      </c>
      <c r="AQ382" s="10"/>
    </row>
    <row r="383">
      <c r="A383" s="20" t="str">
        <f>'MASTER STOCK'!F380</f>
        <v/>
      </c>
      <c r="B383" s="21" t="str">
        <f>'OKT 25'!AJ383:AJ766</f>
        <v/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33"/>
      <c r="AM383" s="33"/>
      <c r="AN383" s="33"/>
      <c r="AO383" s="23">
        <f t="shared" si="7"/>
        <v>0</v>
      </c>
      <c r="AP383" s="23">
        <f t="shared" si="8"/>
        <v>0</v>
      </c>
      <c r="AQ383" s="10"/>
    </row>
    <row r="384">
      <c r="A384" s="20" t="str">
        <f>'MASTER STOCK'!F381</f>
        <v/>
      </c>
      <c r="B384" s="21" t="str">
        <f>'OKT 25'!AJ384:AJ767</f>
        <v/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33"/>
      <c r="AM384" s="33"/>
      <c r="AN384" s="33"/>
      <c r="AO384" s="23">
        <f t="shared" si="7"/>
        <v>0</v>
      </c>
      <c r="AP384" s="23">
        <f t="shared" si="8"/>
        <v>0</v>
      </c>
      <c r="AQ384" s="10"/>
    </row>
    <row r="385">
      <c r="A385" s="20" t="str">
        <f>'MASTER STOCK'!F382</f>
        <v/>
      </c>
      <c r="B385" s="21" t="str">
        <f>'OKT 25'!AJ385:AJ768</f>
        <v/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33"/>
      <c r="AM385" s="33"/>
      <c r="AN385" s="33"/>
      <c r="AO385" s="23">
        <f t="shared" si="7"/>
        <v>0</v>
      </c>
      <c r="AP385" s="23">
        <f t="shared" si="8"/>
        <v>0</v>
      </c>
      <c r="AQ385" s="10"/>
    </row>
    <row r="386">
      <c r="A386" s="20" t="str">
        <f>'MASTER STOCK'!F383</f>
        <v/>
      </c>
      <c r="B386" s="21" t="str">
        <f>'OKT 25'!AJ386:AJ769</f>
        <v/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33"/>
      <c r="AM386" s="33"/>
      <c r="AN386" s="33"/>
      <c r="AO386" s="23">
        <f t="shared" si="7"/>
        <v>0</v>
      </c>
      <c r="AP386" s="23">
        <f t="shared" si="8"/>
        <v>0</v>
      </c>
      <c r="AQ386" s="10"/>
    </row>
    <row r="387">
      <c r="A387" s="20" t="str">
        <f>'MASTER STOCK'!F384</f>
        <v/>
      </c>
      <c r="B387" s="21" t="str">
        <f>'OKT 25'!AJ387:AJ770</f>
        <v/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33"/>
      <c r="AM387" s="33"/>
      <c r="AN387" s="33"/>
      <c r="AO387" s="23">
        <f t="shared" si="7"/>
        <v>0</v>
      </c>
      <c r="AP387" s="23">
        <f t="shared" si="8"/>
        <v>0</v>
      </c>
      <c r="AQ387" s="10"/>
    </row>
    <row r="388">
      <c r="A388" s="20" t="str">
        <f>'MASTER STOCK'!F385</f>
        <v/>
      </c>
      <c r="B388" s="21" t="str">
        <f>'OKT 25'!AJ388:AJ771</f>
        <v/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33"/>
      <c r="AM388" s="33"/>
      <c r="AN388" s="33"/>
      <c r="AO388" s="23">
        <f t="shared" si="7"/>
        <v>0</v>
      </c>
      <c r="AP388" s="23">
        <f t="shared" si="8"/>
        <v>0</v>
      </c>
      <c r="AQ388" s="10"/>
    </row>
    <row r="389">
      <c r="A389" s="20" t="str">
        <f>'MASTER STOCK'!F386</f>
        <v/>
      </c>
      <c r="B389" s="21" t="str">
        <f>'OKT 25'!AJ389:AJ772</f>
        <v/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33"/>
      <c r="AM389" s="33"/>
      <c r="AN389" s="33"/>
      <c r="AO389" s="23">
        <f t="shared" si="7"/>
        <v>0</v>
      </c>
      <c r="AP389" s="23">
        <f t="shared" si="8"/>
        <v>0</v>
      </c>
      <c r="AQ389" s="10"/>
    </row>
    <row r="390">
      <c r="A390" s="20" t="str">
        <f>'MASTER STOCK'!F387</f>
        <v/>
      </c>
      <c r="B390" s="21" t="str">
        <f>'OKT 25'!AJ390:AJ773</f>
        <v/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33"/>
      <c r="AM390" s="33"/>
      <c r="AN390" s="33"/>
      <c r="AO390" s="23">
        <f t="shared" si="7"/>
        <v>0</v>
      </c>
      <c r="AP390" s="23">
        <f t="shared" si="8"/>
        <v>0</v>
      </c>
      <c r="AQ390" s="10"/>
    </row>
    <row r="391">
      <c r="A391" s="20" t="str">
        <f>'MASTER STOCK'!F388</f>
        <v/>
      </c>
      <c r="B391" s="21" t="str">
        <f>'OKT 25'!AJ391:AJ774</f>
        <v/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33"/>
      <c r="AM391" s="33"/>
      <c r="AN391" s="33"/>
      <c r="AO391" s="23">
        <f t="shared" si="7"/>
        <v>0</v>
      </c>
      <c r="AP391" s="23">
        <f t="shared" si="8"/>
        <v>0</v>
      </c>
      <c r="AQ391" s="10"/>
    </row>
    <row r="392">
      <c r="A392" s="20" t="str">
        <f>'MASTER STOCK'!F389</f>
        <v/>
      </c>
      <c r="B392" s="21" t="str">
        <f>'OKT 25'!AJ392:AJ775</f>
        <v/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33"/>
      <c r="AM392" s="33"/>
      <c r="AN392" s="33"/>
      <c r="AO392" s="23">
        <f t="shared" si="7"/>
        <v>0</v>
      </c>
      <c r="AP392" s="23">
        <f t="shared" si="8"/>
        <v>0</v>
      </c>
      <c r="AQ392" s="10"/>
    </row>
    <row r="393">
      <c r="A393" s="20" t="str">
        <f>'MASTER STOCK'!F390</f>
        <v/>
      </c>
      <c r="B393" s="21" t="str">
        <f>'OKT 25'!AJ393:AJ776</f>
        <v/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33"/>
      <c r="AM393" s="33"/>
      <c r="AN393" s="33"/>
      <c r="AO393" s="23">
        <f t="shared" si="7"/>
        <v>0</v>
      </c>
      <c r="AP393" s="23">
        <f t="shared" si="8"/>
        <v>0</v>
      </c>
      <c r="AQ393" s="10"/>
    </row>
    <row r="394">
      <c r="A394" s="20" t="str">
        <f>'MASTER STOCK'!F391</f>
        <v/>
      </c>
      <c r="B394" s="21" t="str">
        <f>'OKT 25'!AJ394:AJ777</f>
        <v/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33"/>
      <c r="AM394" s="33"/>
      <c r="AN394" s="33"/>
      <c r="AO394" s="23">
        <f t="shared" si="7"/>
        <v>0</v>
      </c>
      <c r="AP394" s="23">
        <f t="shared" si="8"/>
        <v>0</v>
      </c>
      <c r="AQ394" s="10"/>
    </row>
    <row r="395">
      <c r="A395" s="20" t="str">
        <f>'MASTER STOCK'!F392</f>
        <v/>
      </c>
      <c r="B395" s="21" t="str">
        <f>'OKT 25'!AJ395:AJ778</f>
        <v/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33"/>
      <c r="AM395" s="33"/>
      <c r="AN395" s="33"/>
      <c r="AO395" s="23">
        <f t="shared" si="7"/>
        <v>0</v>
      </c>
      <c r="AP395" s="23">
        <f t="shared" si="8"/>
        <v>0</v>
      </c>
      <c r="AQ395" s="10"/>
    </row>
    <row r="396">
      <c r="A396" s="20" t="str">
        <f>'MASTER STOCK'!F393</f>
        <v/>
      </c>
      <c r="B396" s="21" t="str">
        <f>'OKT 25'!AJ396:AJ779</f>
        <v/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33"/>
      <c r="AM396" s="33"/>
      <c r="AN396" s="33"/>
      <c r="AO396" s="23">
        <f t="shared" si="7"/>
        <v>0</v>
      </c>
      <c r="AP396" s="23">
        <f t="shared" si="8"/>
        <v>0</v>
      </c>
      <c r="AQ396" s="10"/>
    </row>
    <row r="397">
      <c r="A397" s="20" t="str">
        <f>'MASTER STOCK'!F394</f>
        <v/>
      </c>
      <c r="B397" s="21" t="str">
        <f>'OKT 25'!AJ397:AJ780</f>
        <v/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33"/>
      <c r="AM397" s="33"/>
      <c r="AN397" s="33"/>
      <c r="AO397" s="23">
        <f t="shared" si="7"/>
        <v>0</v>
      </c>
      <c r="AP397" s="23">
        <f t="shared" si="8"/>
        <v>0</v>
      </c>
      <c r="AQ397" s="10"/>
    </row>
    <row r="398">
      <c r="A398" s="20" t="str">
        <f>'MASTER STOCK'!F395</f>
        <v/>
      </c>
      <c r="B398" s="21" t="str">
        <f>'OKT 25'!AJ398:AJ781</f>
        <v/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33"/>
      <c r="AM398" s="33"/>
      <c r="AN398" s="33"/>
      <c r="AO398" s="23">
        <f t="shared" si="7"/>
        <v>0</v>
      </c>
      <c r="AP398" s="23">
        <f t="shared" si="8"/>
        <v>0</v>
      </c>
      <c r="AQ398" s="10"/>
    </row>
    <row r="399">
      <c r="A399" s="20" t="str">
        <f>'MASTER STOCK'!F396</f>
        <v/>
      </c>
      <c r="B399" s="21" t="str">
        <f>'OKT 25'!AJ399:AJ782</f>
        <v/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33"/>
      <c r="AM399" s="33"/>
      <c r="AN399" s="33"/>
      <c r="AO399" s="23">
        <f t="shared" si="7"/>
        <v>0</v>
      </c>
      <c r="AP399" s="23">
        <f t="shared" si="8"/>
        <v>0</v>
      </c>
      <c r="AQ399" s="10"/>
    </row>
    <row r="400">
      <c r="A400" s="10"/>
      <c r="B400" s="101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33"/>
      <c r="AM400" s="33"/>
      <c r="AN400" s="33"/>
      <c r="AO400" s="23">
        <f t="shared" si="7"/>
        <v>0</v>
      </c>
      <c r="AP400" s="23">
        <f t="shared" si="8"/>
        <v>0</v>
      </c>
      <c r="AQ400" s="10"/>
    </row>
    <row r="401">
      <c r="A401" s="10"/>
      <c r="B401" s="101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33"/>
      <c r="AM401" s="33"/>
      <c r="AN401" s="33"/>
      <c r="AO401" s="23">
        <f t="shared" si="7"/>
        <v>0</v>
      </c>
      <c r="AP401" s="23">
        <f t="shared" si="8"/>
        <v>0</v>
      </c>
      <c r="AQ401" s="10"/>
    </row>
    <row r="402">
      <c r="A402" s="10"/>
      <c r="B402" s="101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33"/>
      <c r="AM402" s="33"/>
      <c r="AN402" s="33"/>
      <c r="AO402" s="23">
        <f t="shared" si="7"/>
        <v>0</v>
      </c>
      <c r="AP402" s="23">
        <f t="shared" si="8"/>
        <v>0</v>
      </c>
      <c r="AQ402" s="10"/>
    </row>
    <row r="403">
      <c r="A403" s="10"/>
      <c r="B403" s="101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33"/>
      <c r="AM403" s="33"/>
      <c r="AN403" s="33"/>
      <c r="AO403" s="23">
        <f t="shared" si="7"/>
        <v>0</v>
      </c>
      <c r="AP403" s="23">
        <f t="shared" si="8"/>
        <v>0</v>
      </c>
      <c r="AQ403" s="10"/>
    </row>
    <row r="404">
      <c r="A404" s="10"/>
      <c r="B404" s="101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33"/>
      <c r="AM404" s="33"/>
      <c r="AN404" s="33"/>
      <c r="AO404" s="23">
        <f t="shared" si="7"/>
        <v>0</v>
      </c>
      <c r="AP404" s="23">
        <f t="shared" si="8"/>
        <v>0</v>
      </c>
      <c r="AQ404" s="10"/>
    </row>
    <row r="405">
      <c r="A405" s="10"/>
      <c r="B405" s="101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33"/>
      <c r="AM405" s="33"/>
      <c r="AN405" s="33"/>
      <c r="AO405" s="23">
        <f t="shared" si="7"/>
        <v>0</v>
      </c>
      <c r="AP405" s="23">
        <f t="shared" si="8"/>
        <v>0</v>
      </c>
      <c r="AQ405" s="10"/>
    </row>
    <row r="406">
      <c r="A406" s="10"/>
      <c r="B406" s="101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33"/>
      <c r="AM406" s="33"/>
      <c r="AN406" s="33"/>
      <c r="AO406" s="23">
        <f t="shared" si="7"/>
        <v>0</v>
      </c>
      <c r="AP406" s="23">
        <f t="shared" si="8"/>
        <v>0</v>
      </c>
      <c r="AQ406" s="10"/>
    </row>
    <row r="407">
      <c r="A407" s="10"/>
      <c r="B407" s="101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33"/>
      <c r="AM407" s="33"/>
      <c r="AN407" s="33"/>
      <c r="AO407" s="23">
        <f t="shared" si="7"/>
        <v>0</v>
      </c>
      <c r="AP407" s="23">
        <f t="shared" si="8"/>
        <v>0</v>
      </c>
      <c r="AQ407" s="10"/>
    </row>
    <row r="408">
      <c r="A408" s="10"/>
      <c r="B408" s="101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33"/>
      <c r="AM408" s="33"/>
      <c r="AN408" s="33"/>
      <c r="AO408" s="23">
        <f t="shared" si="7"/>
        <v>0</v>
      </c>
      <c r="AP408" s="23">
        <f t="shared" si="8"/>
        <v>0</v>
      </c>
      <c r="AQ408" s="10"/>
    </row>
    <row r="409">
      <c r="A409" s="40"/>
      <c r="B409" s="42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1"/>
      <c r="AM409" s="41"/>
      <c r="AN409" s="41"/>
      <c r="AO409" s="40"/>
      <c r="AP409" s="40"/>
      <c r="AQ409" s="40"/>
    </row>
    <row r="410">
      <c r="A410" s="40"/>
      <c r="B410" s="42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1"/>
      <c r="AM410" s="41"/>
      <c r="AN410" s="41"/>
      <c r="AO410" s="40"/>
      <c r="AP410" s="40"/>
      <c r="AQ410" s="40"/>
    </row>
    <row r="411">
      <c r="A411" s="40"/>
      <c r="B411" s="42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1"/>
      <c r="AM411" s="41"/>
      <c r="AN411" s="41"/>
      <c r="AO411" s="40"/>
      <c r="AP411" s="40"/>
      <c r="AQ411" s="40"/>
    </row>
    <row r="412">
      <c r="A412" s="40"/>
      <c r="B412" s="42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1"/>
      <c r="AM412" s="41"/>
      <c r="AN412" s="41"/>
      <c r="AO412" s="40"/>
      <c r="AP412" s="40"/>
      <c r="AQ412" s="40"/>
    </row>
    <row r="413">
      <c r="A413" s="40"/>
      <c r="B413" s="42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1"/>
      <c r="AM413" s="41"/>
      <c r="AN413" s="41"/>
      <c r="AO413" s="40"/>
      <c r="AP413" s="40"/>
      <c r="AQ413" s="40"/>
    </row>
    <row r="414">
      <c r="A414" s="40"/>
      <c r="B414" s="42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1"/>
      <c r="AM414" s="41"/>
      <c r="AN414" s="41"/>
      <c r="AO414" s="40"/>
      <c r="AP414" s="40"/>
      <c r="AQ414" s="40"/>
    </row>
    <row r="415">
      <c r="A415" s="40"/>
      <c r="B415" s="42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1"/>
      <c r="AM415" s="41"/>
      <c r="AN415" s="41"/>
      <c r="AO415" s="40"/>
      <c r="AP415" s="40"/>
      <c r="AQ415" s="40"/>
    </row>
    <row r="416">
      <c r="A416" s="40"/>
      <c r="B416" s="42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1"/>
      <c r="AM416" s="41"/>
      <c r="AN416" s="41"/>
      <c r="AO416" s="40"/>
      <c r="AP416" s="40"/>
      <c r="AQ416" s="40"/>
    </row>
    <row r="417">
      <c r="A417" s="40"/>
      <c r="B417" s="42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1"/>
      <c r="AM417" s="41"/>
      <c r="AN417" s="41"/>
      <c r="AO417" s="40"/>
      <c r="AP417" s="40"/>
      <c r="AQ417" s="40"/>
    </row>
    <row r="418">
      <c r="A418" s="40"/>
      <c r="B418" s="42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1"/>
      <c r="AM418" s="41"/>
      <c r="AN418" s="41"/>
      <c r="AO418" s="40"/>
      <c r="AP418" s="40"/>
      <c r="AQ418" s="40"/>
    </row>
    <row r="419">
      <c r="A419" s="40"/>
      <c r="B419" s="42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1"/>
      <c r="AM419" s="41"/>
      <c r="AN419" s="41"/>
      <c r="AO419" s="40"/>
      <c r="AP419" s="40"/>
      <c r="AQ419" s="40"/>
    </row>
    <row r="420">
      <c r="A420" s="40"/>
      <c r="B420" s="42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1"/>
      <c r="AM420" s="41"/>
      <c r="AN420" s="41"/>
      <c r="AO420" s="40"/>
      <c r="AP420" s="40"/>
      <c r="AQ420" s="40"/>
    </row>
    <row r="421">
      <c r="A421" s="40"/>
      <c r="B421" s="42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1"/>
      <c r="AM421" s="41"/>
      <c r="AN421" s="41"/>
      <c r="AO421" s="40"/>
      <c r="AP421" s="40"/>
      <c r="AQ421" s="40"/>
    </row>
    <row r="422">
      <c r="A422" s="40"/>
      <c r="B422" s="42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1"/>
      <c r="AM422" s="41"/>
      <c r="AN422" s="41"/>
      <c r="AO422" s="40"/>
      <c r="AP422" s="40"/>
      <c r="AQ422" s="40"/>
    </row>
    <row r="423">
      <c r="A423" s="40"/>
      <c r="B423" s="42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1"/>
      <c r="AM423" s="41"/>
      <c r="AN423" s="41"/>
      <c r="AO423" s="40"/>
      <c r="AP423" s="40"/>
      <c r="AQ423" s="40"/>
    </row>
    <row r="424">
      <c r="A424" s="40"/>
      <c r="B424" s="42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1"/>
      <c r="AM424" s="41"/>
      <c r="AN424" s="41"/>
      <c r="AO424" s="40"/>
      <c r="AP424" s="40"/>
      <c r="AQ424" s="40"/>
    </row>
    <row r="425">
      <c r="A425" s="40"/>
      <c r="B425" s="42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1"/>
      <c r="AM425" s="41"/>
      <c r="AN425" s="41"/>
      <c r="AO425" s="40"/>
      <c r="AP425" s="40"/>
      <c r="AQ425" s="40"/>
    </row>
    <row r="426">
      <c r="A426" s="40"/>
      <c r="B426" s="42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1"/>
      <c r="AM426" s="41"/>
      <c r="AN426" s="41"/>
      <c r="AO426" s="40"/>
      <c r="AP426" s="40"/>
      <c r="AQ426" s="40"/>
    </row>
    <row r="427">
      <c r="A427" s="40"/>
      <c r="B427" s="42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1"/>
      <c r="AM427" s="41"/>
      <c r="AN427" s="41"/>
      <c r="AO427" s="40"/>
      <c r="AP427" s="40"/>
      <c r="AQ427" s="40"/>
    </row>
    <row r="428">
      <c r="A428" s="40"/>
      <c r="B428" s="42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1"/>
      <c r="AM428" s="41"/>
      <c r="AN428" s="41"/>
      <c r="AO428" s="40"/>
      <c r="AP428" s="40"/>
      <c r="AQ428" s="40"/>
    </row>
    <row r="429">
      <c r="A429" s="40"/>
      <c r="B429" s="42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1"/>
      <c r="AM429" s="41"/>
      <c r="AN429" s="41"/>
      <c r="AO429" s="40"/>
      <c r="AP429" s="40"/>
      <c r="AQ429" s="40"/>
    </row>
    <row r="430">
      <c r="A430" s="40"/>
      <c r="B430" s="42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1"/>
      <c r="AM430" s="41"/>
      <c r="AN430" s="41"/>
      <c r="AO430" s="40"/>
      <c r="AP430" s="40"/>
      <c r="AQ430" s="40"/>
    </row>
    <row r="431">
      <c r="A431" s="40"/>
      <c r="B431" s="42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1"/>
      <c r="AM431" s="41"/>
      <c r="AN431" s="41"/>
      <c r="AO431" s="40"/>
      <c r="AP431" s="40"/>
      <c r="AQ431" s="40"/>
    </row>
    <row r="432">
      <c r="A432" s="40"/>
      <c r="B432" s="42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1"/>
      <c r="AM432" s="41"/>
      <c r="AN432" s="41"/>
      <c r="AO432" s="40"/>
      <c r="AP432" s="40"/>
      <c r="AQ432" s="40"/>
    </row>
    <row r="433">
      <c r="A433" s="40"/>
      <c r="B433" s="42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1"/>
      <c r="AM433" s="41"/>
      <c r="AN433" s="41"/>
      <c r="AO433" s="40"/>
      <c r="AP433" s="40"/>
      <c r="AQ433" s="40"/>
    </row>
    <row r="434">
      <c r="A434" s="40"/>
      <c r="B434" s="42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1"/>
      <c r="AM434" s="41"/>
      <c r="AN434" s="41"/>
      <c r="AO434" s="40"/>
      <c r="AP434" s="40"/>
      <c r="AQ434" s="40"/>
    </row>
    <row r="435">
      <c r="A435" s="40"/>
      <c r="B435" s="42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1"/>
      <c r="AM435" s="41"/>
      <c r="AN435" s="41"/>
      <c r="AO435" s="40"/>
      <c r="AP435" s="40"/>
      <c r="AQ435" s="40"/>
    </row>
    <row r="436">
      <c r="A436" s="40"/>
      <c r="B436" s="42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1"/>
      <c r="AM436" s="41"/>
      <c r="AN436" s="41"/>
      <c r="AO436" s="40"/>
      <c r="AP436" s="40"/>
      <c r="AQ436" s="40"/>
    </row>
    <row r="437">
      <c r="A437" s="40"/>
      <c r="B437" s="42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1"/>
      <c r="AM437" s="41"/>
      <c r="AN437" s="41"/>
      <c r="AO437" s="40"/>
      <c r="AP437" s="40"/>
      <c r="AQ437" s="40"/>
    </row>
    <row r="438">
      <c r="A438" s="40"/>
      <c r="B438" s="42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1"/>
      <c r="AM438" s="41"/>
      <c r="AN438" s="41"/>
      <c r="AO438" s="40"/>
      <c r="AP438" s="40"/>
      <c r="AQ438" s="40"/>
    </row>
    <row r="439">
      <c r="A439" s="40"/>
      <c r="B439" s="42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1"/>
      <c r="AM439" s="41"/>
      <c r="AN439" s="41"/>
      <c r="AO439" s="40"/>
      <c r="AP439" s="40"/>
      <c r="AQ439" s="40"/>
    </row>
    <row r="440">
      <c r="A440" s="40"/>
      <c r="B440" s="42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1"/>
      <c r="AM440" s="41"/>
      <c r="AN440" s="41"/>
      <c r="AO440" s="40"/>
      <c r="AP440" s="40"/>
      <c r="AQ440" s="40"/>
    </row>
    <row r="441">
      <c r="A441" s="40"/>
      <c r="B441" s="42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1"/>
      <c r="AM441" s="41"/>
      <c r="AN441" s="41"/>
      <c r="AO441" s="40"/>
      <c r="AP441" s="40"/>
      <c r="AQ441" s="40"/>
    </row>
    <row r="442">
      <c r="A442" s="40"/>
      <c r="B442" s="42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1"/>
      <c r="AM442" s="41"/>
      <c r="AN442" s="41"/>
      <c r="AO442" s="40"/>
      <c r="AP442" s="40"/>
      <c r="AQ442" s="40"/>
    </row>
    <row r="443">
      <c r="A443" s="40"/>
      <c r="B443" s="42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1"/>
      <c r="AM443" s="41"/>
      <c r="AN443" s="41"/>
      <c r="AO443" s="40"/>
      <c r="AP443" s="40"/>
      <c r="AQ443" s="40"/>
    </row>
    <row r="444">
      <c r="A444" s="40"/>
      <c r="B444" s="42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1"/>
      <c r="AM444" s="41"/>
      <c r="AN444" s="41"/>
      <c r="AO444" s="40"/>
      <c r="AP444" s="40"/>
      <c r="AQ444" s="40"/>
    </row>
    <row r="445">
      <c r="A445" s="40"/>
      <c r="B445" s="42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1"/>
      <c r="AM445" s="41"/>
      <c r="AN445" s="41"/>
      <c r="AO445" s="40"/>
      <c r="AP445" s="40"/>
      <c r="AQ445" s="40"/>
    </row>
    <row r="446">
      <c r="A446" s="40"/>
      <c r="B446" s="42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1"/>
      <c r="AM446" s="41"/>
      <c r="AN446" s="41"/>
      <c r="AO446" s="40"/>
      <c r="AP446" s="40"/>
      <c r="AQ446" s="40"/>
    </row>
    <row r="447">
      <c r="A447" s="40"/>
      <c r="B447" s="42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1"/>
      <c r="AM447" s="41"/>
      <c r="AN447" s="41"/>
      <c r="AO447" s="40"/>
      <c r="AP447" s="40"/>
      <c r="AQ447" s="40"/>
    </row>
    <row r="448">
      <c r="A448" s="40"/>
      <c r="B448" s="42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1"/>
      <c r="AM448" s="41"/>
      <c r="AN448" s="41"/>
      <c r="AO448" s="40"/>
      <c r="AP448" s="40"/>
      <c r="AQ448" s="40"/>
    </row>
    <row r="449">
      <c r="A449" s="40"/>
      <c r="B449" s="42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1"/>
      <c r="AM449" s="41"/>
      <c r="AN449" s="41"/>
      <c r="AO449" s="40"/>
      <c r="AP449" s="40"/>
      <c r="AQ449" s="40"/>
    </row>
    <row r="450">
      <c r="A450" s="40"/>
      <c r="B450" s="42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1"/>
      <c r="AM450" s="41"/>
      <c r="AN450" s="41"/>
      <c r="AO450" s="40"/>
      <c r="AP450" s="40"/>
      <c r="AQ450" s="40"/>
    </row>
    <row r="451">
      <c r="A451" s="40"/>
      <c r="B451" s="42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1"/>
      <c r="AM451" s="41"/>
      <c r="AN451" s="41"/>
      <c r="AO451" s="40"/>
      <c r="AP451" s="40"/>
      <c r="AQ451" s="40"/>
    </row>
    <row r="452">
      <c r="A452" s="40"/>
      <c r="B452" s="42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1"/>
      <c r="AM452" s="41"/>
      <c r="AN452" s="41"/>
      <c r="AO452" s="40"/>
      <c r="AP452" s="40"/>
      <c r="AQ452" s="40"/>
    </row>
    <row r="453">
      <c r="A453" s="40"/>
      <c r="B453" s="42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1"/>
      <c r="AM453" s="41"/>
      <c r="AN453" s="41"/>
      <c r="AO453" s="40"/>
      <c r="AP453" s="40"/>
      <c r="AQ453" s="40"/>
    </row>
    <row r="454">
      <c r="A454" s="40"/>
      <c r="B454" s="42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1"/>
      <c r="AM454" s="41"/>
      <c r="AN454" s="41"/>
      <c r="AO454" s="40"/>
      <c r="AP454" s="40"/>
      <c r="AQ454" s="40"/>
    </row>
    <row r="455">
      <c r="A455" s="40"/>
      <c r="B455" s="42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1"/>
      <c r="AM455" s="41"/>
      <c r="AN455" s="41"/>
      <c r="AO455" s="40"/>
      <c r="AP455" s="40"/>
      <c r="AQ455" s="40"/>
    </row>
    <row r="456">
      <c r="A456" s="40"/>
      <c r="B456" s="42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1"/>
      <c r="AM456" s="41"/>
      <c r="AN456" s="41"/>
      <c r="AO456" s="40"/>
      <c r="AP456" s="40"/>
      <c r="AQ456" s="40"/>
    </row>
    <row r="457">
      <c r="A457" s="40"/>
      <c r="B457" s="42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1"/>
      <c r="AM457" s="41"/>
      <c r="AN457" s="41"/>
      <c r="AO457" s="40"/>
      <c r="AP457" s="40"/>
      <c r="AQ457" s="40"/>
    </row>
    <row r="458">
      <c r="A458" s="40"/>
      <c r="B458" s="42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1"/>
      <c r="AM458" s="41"/>
      <c r="AN458" s="41"/>
      <c r="AO458" s="40"/>
      <c r="AP458" s="40"/>
      <c r="AQ458" s="40"/>
    </row>
    <row r="459">
      <c r="A459" s="40"/>
      <c r="B459" s="42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1"/>
      <c r="AM459" s="41"/>
      <c r="AN459" s="41"/>
      <c r="AO459" s="40"/>
      <c r="AP459" s="40"/>
      <c r="AQ459" s="40"/>
    </row>
    <row r="460">
      <c r="A460" s="40"/>
      <c r="B460" s="42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1"/>
      <c r="AM460" s="41"/>
      <c r="AN460" s="41"/>
      <c r="AO460" s="40"/>
      <c r="AP460" s="40"/>
      <c r="AQ460" s="40"/>
    </row>
    <row r="461">
      <c r="A461" s="40"/>
      <c r="B461" s="42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1"/>
      <c r="AM461" s="41"/>
      <c r="AN461" s="41"/>
      <c r="AO461" s="40"/>
      <c r="AP461" s="40"/>
      <c r="AQ461" s="40"/>
    </row>
    <row r="462">
      <c r="A462" s="40"/>
      <c r="B462" s="42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1"/>
      <c r="AM462" s="41"/>
      <c r="AN462" s="41"/>
      <c r="AO462" s="40"/>
      <c r="AP462" s="40"/>
      <c r="AQ462" s="40"/>
    </row>
    <row r="463">
      <c r="A463" s="40"/>
      <c r="B463" s="42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1"/>
      <c r="AM463" s="41"/>
      <c r="AN463" s="41"/>
      <c r="AO463" s="40"/>
      <c r="AP463" s="40"/>
      <c r="AQ463" s="40"/>
    </row>
    <row r="464">
      <c r="A464" s="40"/>
      <c r="B464" s="42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1"/>
      <c r="AM464" s="41"/>
      <c r="AN464" s="41"/>
      <c r="AO464" s="40"/>
      <c r="AP464" s="40"/>
      <c r="AQ464" s="40"/>
    </row>
    <row r="465">
      <c r="A465" s="40"/>
      <c r="B465" s="42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1"/>
      <c r="AM465" s="41"/>
      <c r="AN465" s="41"/>
      <c r="AO465" s="40"/>
      <c r="AP465" s="40"/>
      <c r="AQ465" s="40"/>
    </row>
    <row r="466">
      <c r="A466" s="40"/>
      <c r="B466" s="42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1"/>
      <c r="AM466" s="41"/>
      <c r="AN466" s="41"/>
      <c r="AO466" s="40"/>
      <c r="AP466" s="40"/>
      <c r="AQ466" s="40"/>
    </row>
    <row r="467">
      <c r="A467" s="40"/>
      <c r="B467" s="42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1"/>
      <c r="AM467" s="41"/>
      <c r="AN467" s="41"/>
      <c r="AO467" s="40"/>
      <c r="AP467" s="40"/>
      <c r="AQ467" s="40"/>
    </row>
    <row r="468">
      <c r="A468" s="40"/>
      <c r="B468" s="42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1"/>
      <c r="AM468" s="41"/>
      <c r="AN468" s="41"/>
      <c r="AO468" s="40"/>
      <c r="AP468" s="40"/>
      <c r="AQ468" s="40"/>
    </row>
    <row r="469">
      <c r="A469" s="40"/>
      <c r="B469" s="42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1"/>
      <c r="AM469" s="41"/>
      <c r="AN469" s="41"/>
      <c r="AO469" s="40"/>
      <c r="AP469" s="40"/>
      <c r="AQ469" s="40"/>
    </row>
    <row r="470">
      <c r="A470" s="40"/>
      <c r="B470" s="42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1"/>
      <c r="AM470" s="41"/>
      <c r="AN470" s="41"/>
      <c r="AO470" s="40"/>
      <c r="AP470" s="40"/>
      <c r="AQ470" s="40"/>
    </row>
    <row r="471">
      <c r="A471" s="40"/>
      <c r="B471" s="42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1"/>
      <c r="AM471" s="41"/>
      <c r="AN471" s="41"/>
      <c r="AO471" s="40"/>
      <c r="AP471" s="40"/>
      <c r="AQ471" s="40"/>
    </row>
    <row r="472">
      <c r="A472" s="40"/>
      <c r="B472" s="42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1"/>
      <c r="AM472" s="41"/>
      <c r="AN472" s="41"/>
      <c r="AO472" s="40"/>
      <c r="AP472" s="40"/>
      <c r="AQ472" s="40"/>
    </row>
    <row r="473">
      <c r="A473" s="40"/>
      <c r="B473" s="42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1"/>
      <c r="AM473" s="41"/>
      <c r="AN473" s="41"/>
      <c r="AO473" s="40"/>
      <c r="AP473" s="40"/>
      <c r="AQ473" s="40"/>
    </row>
    <row r="474">
      <c r="A474" s="40"/>
      <c r="B474" s="42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1"/>
      <c r="AM474" s="41"/>
      <c r="AN474" s="41"/>
      <c r="AO474" s="40"/>
      <c r="AP474" s="40"/>
      <c r="AQ474" s="40"/>
    </row>
    <row r="475">
      <c r="A475" s="40"/>
      <c r="B475" s="42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1"/>
      <c r="AM475" s="41"/>
      <c r="AN475" s="41"/>
      <c r="AO475" s="40"/>
      <c r="AP475" s="40"/>
      <c r="AQ475" s="40"/>
    </row>
    <row r="476">
      <c r="A476" s="40"/>
      <c r="B476" s="42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1"/>
      <c r="AM476" s="41"/>
      <c r="AN476" s="41"/>
      <c r="AO476" s="40"/>
      <c r="AP476" s="40"/>
      <c r="AQ476" s="40"/>
    </row>
    <row r="477">
      <c r="A477" s="40"/>
      <c r="B477" s="42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1"/>
      <c r="AM477" s="41"/>
      <c r="AN477" s="41"/>
      <c r="AO477" s="40"/>
      <c r="AP477" s="40"/>
      <c r="AQ477" s="40"/>
    </row>
    <row r="478">
      <c r="A478" s="40"/>
      <c r="B478" s="42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1"/>
      <c r="AM478" s="41"/>
      <c r="AN478" s="41"/>
      <c r="AO478" s="40"/>
      <c r="AP478" s="40"/>
      <c r="AQ478" s="40"/>
    </row>
    <row r="479">
      <c r="A479" s="40"/>
      <c r="B479" s="42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1"/>
      <c r="AM479" s="41"/>
      <c r="AN479" s="41"/>
      <c r="AO479" s="40"/>
      <c r="AP479" s="40"/>
      <c r="AQ479" s="40"/>
    </row>
    <row r="480">
      <c r="A480" s="40"/>
      <c r="B480" s="42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1"/>
      <c r="AM480" s="41"/>
      <c r="AN480" s="41"/>
      <c r="AO480" s="40"/>
      <c r="AP480" s="40"/>
      <c r="AQ480" s="40"/>
    </row>
    <row r="481">
      <c r="A481" s="40"/>
      <c r="B481" s="42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1"/>
      <c r="AM481" s="41"/>
      <c r="AN481" s="41"/>
      <c r="AO481" s="40"/>
      <c r="AP481" s="40"/>
      <c r="AQ481" s="40"/>
    </row>
    <row r="482">
      <c r="A482" s="40"/>
      <c r="B482" s="42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1"/>
      <c r="AM482" s="41"/>
      <c r="AN482" s="41"/>
      <c r="AO482" s="40"/>
      <c r="AP482" s="40"/>
      <c r="AQ482" s="40"/>
    </row>
    <row r="483">
      <c r="A483" s="40"/>
      <c r="B483" s="42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1"/>
      <c r="AM483" s="41"/>
      <c r="AN483" s="41"/>
      <c r="AO483" s="40"/>
      <c r="AP483" s="40"/>
      <c r="AQ483" s="40"/>
    </row>
    <row r="484">
      <c r="A484" s="40"/>
      <c r="B484" s="42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1"/>
      <c r="AM484" s="41"/>
      <c r="AN484" s="41"/>
      <c r="AO484" s="40"/>
      <c r="AP484" s="40"/>
      <c r="AQ484" s="40"/>
    </row>
    <row r="485">
      <c r="A485" s="40"/>
      <c r="B485" s="42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1"/>
      <c r="AM485" s="41"/>
      <c r="AN485" s="41"/>
      <c r="AO485" s="40"/>
      <c r="AP485" s="40"/>
      <c r="AQ485" s="40"/>
    </row>
    <row r="486">
      <c r="A486" s="40"/>
      <c r="B486" s="42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1"/>
      <c r="AM486" s="41"/>
      <c r="AN486" s="41"/>
      <c r="AO486" s="40"/>
      <c r="AP486" s="40"/>
      <c r="AQ486" s="40"/>
    </row>
    <row r="487">
      <c r="A487" s="40"/>
      <c r="B487" s="42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1"/>
      <c r="AM487" s="41"/>
      <c r="AN487" s="41"/>
      <c r="AO487" s="40"/>
      <c r="AP487" s="40"/>
      <c r="AQ487" s="40"/>
    </row>
    <row r="488">
      <c r="A488" s="40"/>
      <c r="B488" s="42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1"/>
      <c r="AM488" s="41"/>
      <c r="AN488" s="41"/>
      <c r="AO488" s="40"/>
      <c r="AP488" s="40"/>
      <c r="AQ488" s="40"/>
    </row>
    <row r="489">
      <c r="A489" s="40"/>
      <c r="B489" s="42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1"/>
      <c r="AM489" s="41"/>
      <c r="AN489" s="41"/>
      <c r="AO489" s="40"/>
      <c r="AP489" s="40"/>
      <c r="AQ489" s="40"/>
    </row>
    <row r="490">
      <c r="A490" s="40"/>
      <c r="B490" s="42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1"/>
      <c r="AM490" s="41"/>
      <c r="AN490" s="41"/>
      <c r="AO490" s="40"/>
      <c r="AP490" s="40"/>
      <c r="AQ490" s="40"/>
    </row>
    <row r="491">
      <c r="A491" s="40"/>
      <c r="B491" s="42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1"/>
      <c r="AM491" s="41"/>
      <c r="AN491" s="41"/>
      <c r="AO491" s="40"/>
      <c r="AP491" s="40"/>
      <c r="AQ491" s="40"/>
    </row>
    <row r="492">
      <c r="A492" s="40"/>
      <c r="B492" s="42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1"/>
      <c r="AM492" s="41"/>
      <c r="AN492" s="41"/>
      <c r="AO492" s="40"/>
      <c r="AP492" s="40"/>
      <c r="AQ492" s="40"/>
    </row>
    <row r="493">
      <c r="A493" s="40"/>
      <c r="B493" s="42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1"/>
      <c r="AM493" s="41"/>
      <c r="AN493" s="41"/>
      <c r="AO493" s="40"/>
      <c r="AP493" s="40"/>
      <c r="AQ493" s="40"/>
    </row>
    <row r="494">
      <c r="A494" s="40"/>
      <c r="B494" s="42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1"/>
      <c r="AM494" s="41"/>
      <c r="AN494" s="41"/>
      <c r="AO494" s="40"/>
      <c r="AP494" s="40"/>
      <c r="AQ494" s="40"/>
    </row>
    <row r="495">
      <c r="A495" s="40"/>
      <c r="B495" s="42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1"/>
      <c r="AM495" s="41"/>
      <c r="AN495" s="41"/>
      <c r="AO495" s="40"/>
      <c r="AP495" s="40"/>
      <c r="AQ495" s="40"/>
    </row>
    <row r="496">
      <c r="A496" s="40"/>
      <c r="B496" s="42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1"/>
      <c r="AM496" s="41"/>
      <c r="AN496" s="41"/>
      <c r="AO496" s="40"/>
      <c r="AP496" s="40"/>
      <c r="AQ496" s="40"/>
    </row>
    <row r="497">
      <c r="A497" s="40"/>
      <c r="B497" s="42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1"/>
      <c r="AM497" s="41"/>
      <c r="AN497" s="41"/>
      <c r="AO497" s="40"/>
      <c r="AP497" s="40"/>
      <c r="AQ497" s="40"/>
    </row>
    <row r="498">
      <c r="A498" s="40"/>
      <c r="B498" s="42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1"/>
      <c r="AM498" s="41"/>
      <c r="AN498" s="41"/>
      <c r="AO498" s="40"/>
      <c r="AP498" s="40"/>
      <c r="AQ498" s="40"/>
    </row>
    <row r="499">
      <c r="A499" s="40"/>
      <c r="B499" s="42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1"/>
      <c r="AM499" s="41"/>
      <c r="AN499" s="41"/>
      <c r="AO499" s="40"/>
      <c r="AP499" s="40"/>
      <c r="AQ499" s="40"/>
    </row>
    <row r="500">
      <c r="A500" s="40"/>
      <c r="B500" s="42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1"/>
      <c r="AM500" s="41"/>
      <c r="AN500" s="41"/>
      <c r="AO500" s="40"/>
      <c r="AP500" s="40"/>
      <c r="AQ500" s="40"/>
    </row>
    <row r="501">
      <c r="A501" s="40"/>
      <c r="B501" s="42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1"/>
      <c r="AM501" s="41"/>
      <c r="AN501" s="41"/>
      <c r="AO501" s="40"/>
      <c r="AP501" s="40"/>
      <c r="AQ501" s="40"/>
    </row>
    <row r="502">
      <c r="A502" s="40"/>
      <c r="B502" s="42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1"/>
      <c r="AM502" s="41"/>
      <c r="AN502" s="41"/>
      <c r="AO502" s="40"/>
      <c r="AP502" s="40"/>
      <c r="AQ502" s="40"/>
    </row>
    <row r="503">
      <c r="A503" s="40"/>
      <c r="B503" s="42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1"/>
      <c r="AM503" s="41"/>
      <c r="AN503" s="41"/>
      <c r="AO503" s="40"/>
      <c r="AP503" s="40"/>
      <c r="AQ503" s="40"/>
    </row>
    <row r="504">
      <c r="A504" s="40"/>
      <c r="B504" s="42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1"/>
      <c r="AM504" s="41"/>
      <c r="AN504" s="41"/>
      <c r="AO504" s="40"/>
      <c r="AP504" s="40"/>
      <c r="AQ504" s="40"/>
    </row>
    <row r="505">
      <c r="A505" s="40"/>
      <c r="B505" s="42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1"/>
      <c r="AM505" s="41"/>
      <c r="AN505" s="41"/>
      <c r="AO505" s="40"/>
      <c r="AP505" s="40"/>
      <c r="AQ505" s="40"/>
    </row>
    <row r="506">
      <c r="A506" s="40"/>
      <c r="B506" s="42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1"/>
      <c r="AM506" s="41"/>
      <c r="AN506" s="41"/>
      <c r="AO506" s="40"/>
      <c r="AP506" s="40"/>
      <c r="AQ506" s="40"/>
    </row>
    <row r="507">
      <c r="A507" s="40"/>
      <c r="B507" s="42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1"/>
      <c r="AM507" s="41"/>
      <c r="AN507" s="41"/>
      <c r="AO507" s="40"/>
      <c r="AP507" s="40"/>
      <c r="AQ507" s="40"/>
    </row>
    <row r="508">
      <c r="A508" s="40"/>
      <c r="B508" s="42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1"/>
      <c r="AM508" s="41"/>
      <c r="AN508" s="41"/>
      <c r="AO508" s="40"/>
      <c r="AP508" s="40"/>
      <c r="AQ508" s="40"/>
    </row>
    <row r="509">
      <c r="A509" s="40"/>
      <c r="B509" s="42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1"/>
      <c r="AM509" s="41"/>
      <c r="AN509" s="41"/>
      <c r="AO509" s="40"/>
      <c r="AP509" s="40"/>
      <c r="AQ509" s="40"/>
    </row>
    <row r="510">
      <c r="A510" s="40"/>
      <c r="B510" s="42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1"/>
      <c r="AM510" s="41"/>
      <c r="AN510" s="41"/>
      <c r="AO510" s="40"/>
      <c r="AP510" s="40"/>
      <c r="AQ510" s="40"/>
    </row>
    <row r="511">
      <c r="A511" s="40"/>
      <c r="B511" s="42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1"/>
      <c r="AM511" s="41"/>
      <c r="AN511" s="41"/>
      <c r="AO511" s="40"/>
      <c r="AP511" s="40"/>
      <c r="AQ511" s="40"/>
    </row>
    <row r="512">
      <c r="A512" s="40"/>
      <c r="B512" s="42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1"/>
      <c r="AM512" s="41"/>
      <c r="AN512" s="41"/>
      <c r="AO512" s="40"/>
      <c r="AP512" s="40"/>
      <c r="AQ512" s="40"/>
    </row>
    <row r="513">
      <c r="A513" s="40"/>
      <c r="B513" s="42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1"/>
      <c r="AM513" s="41"/>
      <c r="AN513" s="41"/>
      <c r="AO513" s="40"/>
      <c r="AP513" s="40"/>
      <c r="AQ513" s="40"/>
    </row>
    <row r="514">
      <c r="A514" s="40"/>
      <c r="B514" s="42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1"/>
      <c r="AM514" s="41"/>
      <c r="AN514" s="41"/>
      <c r="AO514" s="40"/>
      <c r="AP514" s="40"/>
      <c r="AQ514" s="40"/>
    </row>
    <row r="515">
      <c r="A515" s="40"/>
      <c r="B515" s="42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1"/>
      <c r="AM515" s="41"/>
      <c r="AN515" s="41"/>
      <c r="AO515" s="40"/>
      <c r="AP515" s="40"/>
      <c r="AQ515" s="40"/>
    </row>
    <row r="516">
      <c r="A516" s="40"/>
      <c r="B516" s="42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1"/>
      <c r="AM516" s="41"/>
      <c r="AN516" s="41"/>
      <c r="AO516" s="40"/>
      <c r="AP516" s="40"/>
      <c r="AQ516" s="40"/>
    </row>
    <row r="517">
      <c r="A517" s="40"/>
      <c r="B517" s="42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1"/>
      <c r="AM517" s="41"/>
      <c r="AN517" s="41"/>
      <c r="AO517" s="40"/>
      <c r="AP517" s="40"/>
      <c r="AQ517" s="40"/>
    </row>
    <row r="518">
      <c r="A518" s="40"/>
      <c r="B518" s="42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1"/>
      <c r="AM518" s="41"/>
      <c r="AN518" s="41"/>
      <c r="AO518" s="40"/>
      <c r="AP518" s="40"/>
      <c r="AQ518" s="40"/>
    </row>
    <row r="519">
      <c r="A519" s="40"/>
      <c r="B519" s="42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1"/>
      <c r="AM519" s="41"/>
      <c r="AN519" s="41"/>
      <c r="AO519" s="40"/>
      <c r="AP519" s="40"/>
      <c r="AQ519" s="40"/>
    </row>
    <row r="520">
      <c r="A520" s="40"/>
      <c r="B520" s="42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1"/>
      <c r="AM520" s="41"/>
      <c r="AN520" s="41"/>
      <c r="AO520" s="40"/>
      <c r="AP520" s="40"/>
      <c r="AQ520" s="40"/>
    </row>
    <row r="521">
      <c r="A521" s="40"/>
      <c r="B521" s="42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1"/>
      <c r="AM521" s="41"/>
      <c r="AN521" s="41"/>
      <c r="AO521" s="40"/>
      <c r="AP521" s="40"/>
      <c r="AQ521" s="40"/>
    </row>
    <row r="522">
      <c r="A522" s="40"/>
      <c r="B522" s="42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1"/>
      <c r="AM522" s="41"/>
      <c r="AN522" s="41"/>
      <c r="AO522" s="40"/>
      <c r="AP522" s="40"/>
      <c r="AQ522" s="40"/>
    </row>
    <row r="523">
      <c r="A523" s="40"/>
      <c r="B523" s="42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1"/>
      <c r="AM523" s="41"/>
      <c r="AN523" s="41"/>
      <c r="AO523" s="40"/>
      <c r="AP523" s="40"/>
      <c r="AQ523" s="40"/>
    </row>
    <row r="524">
      <c r="A524" s="40"/>
      <c r="B524" s="42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1"/>
      <c r="AM524" s="41"/>
      <c r="AN524" s="41"/>
      <c r="AO524" s="40"/>
      <c r="AP524" s="40"/>
      <c r="AQ524" s="40"/>
    </row>
    <row r="525">
      <c r="A525" s="40"/>
      <c r="B525" s="42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1"/>
      <c r="AM525" s="41"/>
      <c r="AN525" s="41"/>
      <c r="AO525" s="40"/>
      <c r="AP525" s="40"/>
      <c r="AQ525" s="40"/>
    </row>
    <row r="526">
      <c r="A526" s="40"/>
      <c r="B526" s="42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1"/>
      <c r="AM526" s="41"/>
      <c r="AN526" s="41"/>
      <c r="AO526" s="40"/>
      <c r="AP526" s="40"/>
      <c r="AQ526" s="40"/>
    </row>
    <row r="527">
      <c r="A527" s="40"/>
      <c r="B527" s="42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1"/>
      <c r="AM527" s="41"/>
      <c r="AN527" s="41"/>
      <c r="AO527" s="40"/>
      <c r="AP527" s="40"/>
      <c r="AQ527" s="40"/>
    </row>
    <row r="528">
      <c r="A528" s="40"/>
      <c r="B528" s="42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1"/>
      <c r="AM528" s="41"/>
      <c r="AN528" s="41"/>
      <c r="AO528" s="40"/>
      <c r="AP528" s="40"/>
      <c r="AQ528" s="40"/>
    </row>
    <row r="529">
      <c r="A529" s="40"/>
      <c r="B529" s="42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1"/>
      <c r="AM529" s="41"/>
      <c r="AN529" s="41"/>
      <c r="AO529" s="40"/>
      <c r="AP529" s="40"/>
      <c r="AQ529" s="40"/>
    </row>
    <row r="530">
      <c r="A530" s="40"/>
      <c r="B530" s="42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1"/>
      <c r="AM530" s="41"/>
      <c r="AN530" s="41"/>
      <c r="AO530" s="40"/>
      <c r="AP530" s="40"/>
      <c r="AQ530" s="40"/>
    </row>
    <row r="531">
      <c r="A531" s="40"/>
      <c r="B531" s="42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1"/>
      <c r="AM531" s="41"/>
      <c r="AN531" s="41"/>
      <c r="AO531" s="40"/>
      <c r="AP531" s="40"/>
      <c r="AQ531" s="40"/>
    </row>
    <row r="532">
      <c r="A532" s="40"/>
      <c r="B532" s="42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1"/>
      <c r="AM532" s="41"/>
      <c r="AN532" s="41"/>
      <c r="AO532" s="40"/>
      <c r="AP532" s="40"/>
      <c r="AQ532" s="40"/>
    </row>
    <row r="533">
      <c r="A533" s="40"/>
      <c r="B533" s="42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1"/>
      <c r="AM533" s="41"/>
      <c r="AN533" s="41"/>
      <c r="AO533" s="40"/>
      <c r="AP533" s="40"/>
      <c r="AQ533" s="40"/>
    </row>
    <row r="534">
      <c r="A534" s="40"/>
      <c r="B534" s="42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1"/>
      <c r="AM534" s="41"/>
      <c r="AN534" s="41"/>
      <c r="AO534" s="40"/>
      <c r="AP534" s="40"/>
      <c r="AQ534" s="40"/>
    </row>
    <row r="535">
      <c r="A535" s="40"/>
      <c r="B535" s="42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1"/>
      <c r="AM535" s="41"/>
      <c r="AN535" s="41"/>
      <c r="AO535" s="40"/>
      <c r="AP535" s="40"/>
      <c r="AQ535" s="40"/>
    </row>
    <row r="536">
      <c r="A536" s="40"/>
      <c r="B536" s="42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1"/>
      <c r="AM536" s="41"/>
      <c r="AN536" s="41"/>
      <c r="AO536" s="40"/>
      <c r="AP536" s="40"/>
      <c r="AQ536" s="40"/>
    </row>
    <row r="537">
      <c r="A537" s="40"/>
      <c r="B537" s="42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1"/>
      <c r="AM537" s="41"/>
      <c r="AN537" s="41"/>
      <c r="AO537" s="40"/>
      <c r="AP537" s="40"/>
      <c r="AQ537" s="40"/>
    </row>
    <row r="538">
      <c r="A538" s="40"/>
      <c r="B538" s="42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1"/>
      <c r="AM538" s="41"/>
      <c r="AN538" s="41"/>
      <c r="AO538" s="40"/>
      <c r="AP538" s="40"/>
      <c r="AQ538" s="40"/>
    </row>
    <row r="539">
      <c r="A539" s="40"/>
      <c r="B539" s="42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1"/>
      <c r="AM539" s="41"/>
      <c r="AN539" s="41"/>
      <c r="AO539" s="40"/>
      <c r="AP539" s="40"/>
      <c r="AQ539" s="40"/>
    </row>
    <row r="540">
      <c r="A540" s="40"/>
      <c r="B540" s="42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1"/>
      <c r="AM540" s="41"/>
      <c r="AN540" s="41"/>
      <c r="AO540" s="40"/>
      <c r="AP540" s="40"/>
      <c r="AQ540" s="40"/>
    </row>
    <row r="541">
      <c r="A541" s="40"/>
      <c r="B541" s="42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1"/>
      <c r="AM541" s="41"/>
      <c r="AN541" s="41"/>
      <c r="AO541" s="40"/>
      <c r="AP541" s="40"/>
      <c r="AQ541" s="40"/>
    </row>
    <row r="542">
      <c r="A542" s="40"/>
      <c r="B542" s="42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1"/>
      <c r="AM542" s="41"/>
      <c r="AN542" s="41"/>
      <c r="AO542" s="40"/>
      <c r="AP542" s="40"/>
      <c r="AQ542" s="40"/>
    </row>
    <row r="543">
      <c r="A543" s="40"/>
      <c r="B543" s="42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1"/>
      <c r="AM543" s="41"/>
      <c r="AN543" s="41"/>
      <c r="AO543" s="40"/>
      <c r="AP543" s="40"/>
      <c r="AQ543" s="40"/>
    </row>
    <row r="544">
      <c r="A544" s="40"/>
      <c r="B544" s="42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1"/>
      <c r="AM544" s="41"/>
      <c r="AN544" s="41"/>
      <c r="AO544" s="40"/>
      <c r="AP544" s="40"/>
      <c r="AQ544" s="40"/>
    </row>
    <row r="545">
      <c r="A545" s="40"/>
      <c r="B545" s="42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1"/>
      <c r="AM545" s="41"/>
      <c r="AN545" s="41"/>
      <c r="AO545" s="40"/>
      <c r="AP545" s="40"/>
      <c r="AQ545" s="40"/>
    </row>
    <row r="546">
      <c r="A546" s="40"/>
      <c r="B546" s="42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1"/>
      <c r="AM546" s="41"/>
      <c r="AN546" s="41"/>
      <c r="AO546" s="40"/>
      <c r="AP546" s="40"/>
      <c r="AQ546" s="40"/>
    </row>
    <row r="547">
      <c r="A547" s="40"/>
      <c r="B547" s="42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1"/>
      <c r="AM547" s="41"/>
      <c r="AN547" s="41"/>
      <c r="AO547" s="40"/>
      <c r="AP547" s="40"/>
      <c r="AQ547" s="40"/>
    </row>
    <row r="548">
      <c r="A548" s="40"/>
      <c r="B548" s="42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1"/>
      <c r="AM548" s="41"/>
      <c r="AN548" s="41"/>
      <c r="AO548" s="40"/>
      <c r="AP548" s="40"/>
      <c r="AQ548" s="40"/>
    </row>
    <row r="549">
      <c r="A549" s="40"/>
      <c r="B549" s="42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1"/>
      <c r="AM549" s="41"/>
      <c r="AN549" s="41"/>
      <c r="AO549" s="40"/>
      <c r="AP549" s="40"/>
      <c r="AQ549" s="40"/>
    </row>
    <row r="550">
      <c r="A550" s="40"/>
      <c r="B550" s="42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1"/>
      <c r="AM550" s="41"/>
      <c r="AN550" s="41"/>
      <c r="AO550" s="40"/>
      <c r="AP550" s="40"/>
      <c r="AQ550" s="40"/>
    </row>
    <row r="551">
      <c r="A551" s="40"/>
      <c r="B551" s="42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1"/>
      <c r="AM551" s="41"/>
      <c r="AN551" s="41"/>
      <c r="AO551" s="40"/>
      <c r="AP551" s="40"/>
      <c r="AQ551" s="40"/>
    </row>
    <row r="552">
      <c r="A552" s="40"/>
      <c r="B552" s="42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1"/>
      <c r="AM552" s="41"/>
      <c r="AN552" s="41"/>
      <c r="AO552" s="40"/>
      <c r="AP552" s="40"/>
      <c r="AQ552" s="40"/>
    </row>
    <row r="553">
      <c r="A553" s="40"/>
      <c r="B553" s="42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1"/>
      <c r="AM553" s="41"/>
      <c r="AN553" s="41"/>
      <c r="AO553" s="40"/>
      <c r="AP553" s="40"/>
      <c r="AQ553" s="40"/>
    </row>
    <row r="554">
      <c r="A554" s="40"/>
      <c r="B554" s="42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1"/>
      <c r="AM554" s="41"/>
      <c r="AN554" s="41"/>
      <c r="AO554" s="40"/>
      <c r="AP554" s="40"/>
      <c r="AQ554" s="40"/>
    </row>
    <row r="555">
      <c r="A555" s="40"/>
      <c r="B555" s="42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1"/>
      <c r="AM555" s="41"/>
      <c r="AN555" s="41"/>
      <c r="AO555" s="40"/>
      <c r="AP555" s="40"/>
      <c r="AQ555" s="40"/>
    </row>
    <row r="556">
      <c r="A556" s="40"/>
      <c r="B556" s="42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1"/>
      <c r="AM556" s="41"/>
      <c r="AN556" s="41"/>
      <c r="AO556" s="40"/>
      <c r="AP556" s="40"/>
      <c r="AQ556" s="40"/>
    </row>
    <row r="557">
      <c r="A557" s="40"/>
      <c r="B557" s="42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1"/>
      <c r="AM557" s="41"/>
      <c r="AN557" s="41"/>
      <c r="AO557" s="40"/>
      <c r="AP557" s="40"/>
      <c r="AQ557" s="40"/>
    </row>
    <row r="558">
      <c r="A558" s="40"/>
      <c r="B558" s="42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1"/>
      <c r="AM558" s="41"/>
      <c r="AN558" s="41"/>
      <c r="AO558" s="40"/>
      <c r="AP558" s="40"/>
      <c r="AQ558" s="40"/>
    </row>
    <row r="559">
      <c r="A559" s="40"/>
      <c r="B559" s="42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1"/>
      <c r="AM559" s="41"/>
      <c r="AN559" s="41"/>
      <c r="AO559" s="40"/>
      <c r="AP559" s="40"/>
      <c r="AQ559" s="40"/>
    </row>
    <row r="560">
      <c r="A560" s="40"/>
      <c r="B560" s="42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1"/>
      <c r="AM560" s="41"/>
      <c r="AN560" s="41"/>
      <c r="AO560" s="40"/>
      <c r="AP560" s="40"/>
      <c r="AQ560" s="40"/>
    </row>
    <row r="561">
      <c r="A561" s="40"/>
      <c r="B561" s="42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1"/>
      <c r="AM561" s="41"/>
      <c r="AN561" s="41"/>
      <c r="AO561" s="40"/>
      <c r="AP561" s="40"/>
      <c r="AQ561" s="40"/>
    </row>
    <row r="562">
      <c r="A562" s="40"/>
      <c r="B562" s="42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1"/>
      <c r="AM562" s="41"/>
      <c r="AN562" s="41"/>
      <c r="AO562" s="40"/>
      <c r="AP562" s="40"/>
      <c r="AQ562" s="40"/>
    </row>
    <row r="563">
      <c r="A563" s="40"/>
      <c r="B563" s="42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1"/>
      <c r="AM563" s="41"/>
      <c r="AN563" s="41"/>
      <c r="AO563" s="40"/>
      <c r="AP563" s="40"/>
      <c r="AQ563" s="40"/>
    </row>
    <row r="564">
      <c r="A564" s="40"/>
      <c r="B564" s="42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1"/>
      <c r="AM564" s="41"/>
      <c r="AN564" s="41"/>
      <c r="AO564" s="40"/>
      <c r="AP564" s="40"/>
      <c r="AQ564" s="40"/>
    </row>
    <row r="565">
      <c r="A565" s="40"/>
      <c r="B565" s="42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1"/>
      <c r="AM565" s="41"/>
      <c r="AN565" s="41"/>
      <c r="AO565" s="40"/>
      <c r="AP565" s="40"/>
      <c r="AQ565" s="40"/>
    </row>
    <row r="566">
      <c r="A566" s="40"/>
      <c r="B566" s="42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1"/>
      <c r="AM566" s="41"/>
      <c r="AN566" s="41"/>
      <c r="AO566" s="40"/>
      <c r="AP566" s="40"/>
      <c r="AQ566" s="40"/>
    </row>
    <row r="567">
      <c r="A567" s="40"/>
      <c r="B567" s="42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1"/>
      <c r="AM567" s="41"/>
      <c r="AN567" s="41"/>
      <c r="AO567" s="40"/>
      <c r="AP567" s="40"/>
      <c r="AQ567" s="40"/>
    </row>
    <row r="568">
      <c r="A568" s="40"/>
      <c r="B568" s="42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1"/>
      <c r="AM568" s="41"/>
      <c r="AN568" s="41"/>
      <c r="AO568" s="40"/>
      <c r="AP568" s="40"/>
      <c r="AQ568" s="40"/>
    </row>
    <row r="569">
      <c r="A569" s="40"/>
      <c r="B569" s="42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1"/>
      <c r="AM569" s="41"/>
      <c r="AN569" s="41"/>
      <c r="AO569" s="40"/>
      <c r="AP569" s="40"/>
      <c r="AQ569" s="40"/>
    </row>
    <row r="570">
      <c r="A570" s="40"/>
      <c r="B570" s="42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1"/>
      <c r="AM570" s="41"/>
      <c r="AN570" s="41"/>
      <c r="AO570" s="40"/>
      <c r="AP570" s="40"/>
      <c r="AQ570" s="40"/>
    </row>
    <row r="571">
      <c r="A571" s="40"/>
      <c r="B571" s="42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1"/>
      <c r="AM571" s="41"/>
      <c r="AN571" s="41"/>
      <c r="AO571" s="40"/>
      <c r="AP571" s="40"/>
      <c r="AQ571" s="40"/>
    </row>
    <row r="572">
      <c r="A572" s="40"/>
      <c r="B572" s="42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1"/>
      <c r="AM572" s="41"/>
      <c r="AN572" s="41"/>
      <c r="AO572" s="40"/>
      <c r="AP572" s="40"/>
      <c r="AQ572" s="40"/>
    </row>
    <row r="573">
      <c r="A573" s="40"/>
      <c r="B573" s="42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1"/>
      <c r="AM573" s="41"/>
      <c r="AN573" s="41"/>
      <c r="AO573" s="40"/>
      <c r="AP573" s="40"/>
      <c r="AQ573" s="40"/>
    </row>
    <row r="574">
      <c r="A574" s="40"/>
      <c r="B574" s="42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1"/>
      <c r="AM574" s="41"/>
      <c r="AN574" s="41"/>
      <c r="AO574" s="40"/>
      <c r="AP574" s="40"/>
      <c r="AQ574" s="40"/>
    </row>
    <row r="575">
      <c r="A575" s="40"/>
      <c r="B575" s="42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1"/>
      <c r="AM575" s="41"/>
      <c r="AN575" s="41"/>
      <c r="AO575" s="40"/>
      <c r="AP575" s="40"/>
      <c r="AQ575" s="40"/>
    </row>
    <row r="576">
      <c r="A576" s="40"/>
      <c r="B576" s="42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1"/>
      <c r="AM576" s="41"/>
      <c r="AN576" s="41"/>
      <c r="AO576" s="40"/>
      <c r="AP576" s="40"/>
      <c r="AQ576" s="40"/>
    </row>
    <row r="577">
      <c r="A577" s="40"/>
      <c r="B577" s="42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1"/>
      <c r="AM577" s="41"/>
      <c r="AN577" s="41"/>
      <c r="AO577" s="40"/>
      <c r="AP577" s="40"/>
      <c r="AQ577" s="40"/>
    </row>
    <row r="578">
      <c r="A578" s="40"/>
      <c r="B578" s="42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1"/>
      <c r="AM578" s="41"/>
      <c r="AN578" s="41"/>
      <c r="AO578" s="40"/>
      <c r="AP578" s="40"/>
      <c r="AQ578" s="40"/>
    </row>
    <row r="579">
      <c r="A579" s="40"/>
      <c r="B579" s="42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1"/>
      <c r="AM579" s="41"/>
      <c r="AN579" s="41"/>
      <c r="AO579" s="40"/>
      <c r="AP579" s="40"/>
      <c r="AQ579" s="40"/>
    </row>
    <row r="580">
      <c r="A580" s="40"/>
      <c r="B580" s="42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1"/>
      <c r="AM580" s="41"/>
      <c r="AN580" s="41"/>
      <c r="AO580" s="40"/>
      <c r="AP580" s="40"/>
      <c r="AQ580" s="40"/>
    </row>
    <row r="581">
      <c r="A581" s="40"/>
      <c r="B581" s="42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1"/>
      <c r="AM581" s="41"/>
      <c r="AN581" s="41"/>
      <c r="AO581" s="40"/>
      <c r="AP581" s="40"/>
      <c r="AQ581" s="40"/>
    </row>
    <row r="582">
      <c r="A582" s="40"/>
      <c r="B582" s="42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1"/>
      <c r="AM582" s="41"/>
      <c r="AN582" s="41"/>
      <c r="AO582" s="40"/>
      <c r="AP582" s="40"/>
      <c r="AQ582" s="40"/>
    </row>
    <row r="583">
      <c r="A583" s="40"/>
      <c r="B583" s="42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1"/>
      <c r="AM583" s="41"/>
      <c r="AN583" s="41"/>
      <c r="AO583" s="40"/>
      <c r="AP583" s="40"/>
      <c r="AQ583" s="40"/>
    </row>
    <row r="584">
      <c r="A584" s="40"/>
      <c r="B584" s="42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1"/>
      <c r="AM584" s="41"/>
      <c r="AN584" s="41"/>
      <c r="AO584" s="40"/>
      <c r="AP584" s="40"/>
      <c r="AQ584" s="40"/>
    </row>
    <row r="585">
      <c r="A585" s="40"/>
      <c r="B585" s="42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1"/>
      <c r="AM585" s="41"/>
      <c r="AN585" s="41"/>
      <c r="AO585" s="40"/>
      <c r="AP585" s="40"/>
      <c r="AQ585" s="40"/>
    </row>
    <row r="586">
      <c r="A586" s="40"/>
      <c r="B586" s="42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1"/>
      <c r="AM586" s="41"/>
      <c r="AN586" s="41"/>
      <c r="AO586" s="40"/>
      <c r="AP586" s="40"/>
      <c r="AQ586" s="40"/>
    </row>
    <row r="587">
      <c r="A587" s="40"/>
      <c r="B587" s="42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1"/>
      <c r="AM587" s="41"/>
      <c r="AN587" s="41"/>
      <c r="AO587" s="40"/>
      <c r="AP587" s="40"/>
      <c r="AQ587" s="40"/>
    </row>
    <row r="588">
      <c r="A588" s="40"/>
      <c r="B588" s="42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1"/>
      <c r="AM588" s="41"/>
      <c r="AN588" s="41"/>
      <c r="AO588" s="40"/>
      <c r="AP588" s="40"/>
      <c r="AQ588" s="40"/>
    </row>
    <row r="589">
      <c r="A589" s="40"/>
      <c r="B589" s="42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1"/>
      <c r="AM589" s="41"/>
      <c r="AN589" s="41"/>
      <c r="AO589" s="40"/>
      <c r="AP589" s="40"/>
      <c r="AQ589" s="40"/>
    </row>
    <row r="590">
      <c r="A590" s="40"/>
      <c r="B590" s="42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1"/>
      <c r="AM590" s="41"/>
      <c r="AN590" s="41"/>
      <c r="AO590" s="40"/>
      <c r="AP590" s="40"/>
      <c r="AQ590" s="40"/>
    </row>
    <row r="591">
      <c r="A591" s="40"/>
      <c r="B591" s="42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1"/>
      <c r="AM591" s="41"/>
      <c r="AN591" s="41"/>
      <c r="AO591" s="40"/>
      <c r="AP591" s="40"/>
      <c r="AQ591" s="40"/>
    </row>
    <row r="592">
      <c r="A592" s="40"/>
      <c r="B592" s="42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1"/>
      <c r="AM592" s="41"/>
      <c r="AN592" s="41"/>
      <c r="AO592" s="40"/>
      <c r="AP592" s="40"/>
      <c r="AQ592" s="40"/>
    </row>
    <row r="593">
      <c r="A593" s="40"/>
      <c r="B593" s="42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1"/>
      <c r="AM593" s="41"/>
      <c r="AN593" s="41"/>
      <c r="AO593" s="40"/>
      <c r="AP593" s="40"/>
      <c r="AQ593" s="40"/>
    </row>
    <row r="594">
      <c r="A594" s="40"/>
      <c r="B594" s="42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1"/>
      <c r="AM594" s="41"/>
      <c r="AN594" s="41"/>
      <c r="AO594" s="40"/>
      <c r="AP594" s="40"/>
      <c r="AQ594" s="40"/>
    </row>
    <row r="595">
      <c r="A595" s="40"/>
      <c r="B595" s="42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1"/>
      <c r="AM595" s="41"/>
      <c r="AN595" s="41"/>
      <c r="AO595" s="40"/>
      <c r="AP595" s="40"/>
      <c r="AQ595" s="40"/>
    </row>
    <row r="596">
      <c r="A596" s="40"/>
      <c r="B596" s="42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1"/>
      <c r="AM596" s="41"/>
      <c r="AN596" s="41"/>
      <c r="AO596" s="40"/>
      <c r="AP596" s="40"/>
      <c r="AQ596" s="40"/>
    </row>
    <row r="597">
      <c r="A597" s="40"/>
      <c r="B597" s="42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1"/>
      <c r="AM597" s="41"/>
      <c r="AN597" s="41"/>
      <c r="AO597" s="40"/>
      <c r="AP597" s="40"/>
      <c r="AQ597" s="40"/>
    </row>
    <row r="598">
      <c r="A598" s="40"/>
      <c r="B598" s="42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1"/>
      <c r="AM598" s="41"/>
      <c r="AN598" s="41"/>
      <c r="AO598" s="40"/>
      <c r="AP598" s="40"/>
      <c r="AQ598" s="40"/>
    </row>
    <row r="599">
      <c r="A599" s="40"/>
      <c r="B599" s="42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1"/>
      <c r="AM599" s="41"/>
      <c r="AN599" s="41"/>
      <c r="AO599" s="40"/>
      <c r="AP599" s="40"/>
      <c r="AQ599" s="40"/>
    </row>
    <row r="600">
      <c r="A600" s="40"/>
      <c r="B600" s="42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1"/>
      <c r="AM600" s="41"/>
      <c r="AN600" s="41"/>
      <c r="AO600" s="40"/>
      <c r="AP600" s="40"/>
      <c r="AQ600" s="40"/>
    </row>
    <row r="601">
      <c r="A601" s="40"/>
      <c r="B601" s="42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1"/>
      <c r="AM601" s="41"/>
      <c r="AN601" s="41"/>
      <c r="AO601" s="40"/>
      <c r="AP601" s="40"/>
      <c r="AQ601" s="40"/>
    </row>
    <row r="602">
      <c r="A602" s="40"/>
      <c r="B602" s="42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1"/>
      <c r="AM602" s="41"/>
      <c r="AN602" s="41"/>
      <c r="AO602" s="40"/>
      <c r="AP602" s="40"/>
      <c r="AQ602" s="40"/>
    </row>
    <row r="603">
      <c r="A603" s="40"/>
      <c r="B603" s="42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1"/>
      <c r="AM603" s="41"/>
      <c r="AN603" s="41"/>
      <c r="AO603" s="40"/>
      <c r="AP603" s="40"/>
      <c r="AQ603" s="40"/>
    </row>
    <row r="604">
      <c r="A604" s="40"/>
      <c r="B604" s="42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1"/>
      <c r="AM604" s="41"/>
      <c r="AN604" s="41"/>
      <c r="AO604" s="40"/>
      <c r="AP604" s="40"/>
      <c r="AQ604" s="40"/>
    </row>
    <row r="605">
      <c r="A605" s="40"/>
      <c r="B605" s="42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1"/>
      <c r="AM605" s="41"/>
      <c r="AN605" s="41"/>
      <c r="AO605" s="40"/>
      <c r="AP605" s="40"/>
      <c r="AQ605" s="40"/>
    </row>
    <row r="606">
      <c r="A606" s="40"/>
      <c r="B606" s="42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1"/>
      <c r="AM606" s="41"/>
      <c r="AN606" s="41"/>
      <c r="AO606" s="40"/>
      <c r="AP606" s="40"/>
      <c r="AQ606" s="40"/>
    </row>
    <row r="607">
      <c r="A607" s="40"/>
      <c r="B607" s="42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1"/>
      <c r="AM607" s="41"/>
      <c r="AN607" s="41"/>
      <c r="AO607" s="40"/>
      <c r="AP607" s="40"/>
      <c r="AQ607" s="40"/>
    </row>
    <row r="608">
      <c r="A608" s="40"/>
      <c r="B608" s="42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1"/>
      <c r="AM608" s="41"/>
      <c r="AN608" s="41"/>
      <c r="AO608" s="40"/>
      <c r="AP608" s="40"/>
      <c r="AQ608" s="40"/>
    </row>
    <row r="609">
      <c r="A609" s="40"/>
      <c r="B609" s="42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1"/>
      <c r="AM609" s="41"/>
      <c r="AN609" s="41"/>
      <c r="AO609" s="40"/>
      <c r="AP609" s="40"/>
      <c r="AQ609" s="40"/>
    </row>
    <row r="610">
      <c r="A610" s="40"/>
      <c r="B610" s="42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1"/>
      <c r="AM610" s="41"/>
      <c r="AN610" s="41"/>
      <c r="AO610" s="40"/>
      <c r="AP610" s="40"/>
      <c r="AQ610" s="40"/>
    </row>
    <row r="611">
      <c r="A611" s="40"/>
      <c r="B611" s="42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1"/>
      <c r="AM611" s="41"/>
      <c r="AN611" s="41"/>
      <c r="AO611" s="40"/>
      <c r="AP611" s="40"/>
      <c r="AQ611" s="40"/>
    </row>
    <row r="612">
      <c r="A612" s="40"/>
      <c r="B612" s="42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1"/>
      <c r="AM612" s="41"/>
      <c r="AN612" s="41"/>
      <c r="AO612" s="40"/>
      <c r="AP612" s="40"/>
      <c r="AQ612" s="40"/>
    </row>
    <row r="613">
      <c r="A613" s="40"/>
      <c r="B613" s="42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1"/>
      <c r="AM613" s="41"/>
      <c r="AN613" s="41"/>
      <c r="AO613" s="40"/>
      <c r="AP613" s="40"/>
      <c r="AQ613" s="40"/>
    </row>
    <row r="614">
      <c r="A614" s="40"/>
      <c r="B614" s="42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1"/>
      <c r="AM614" s="41"/>
      <c r="AN614" s="41"/>
      <c r="AO614" s="40"/>
      <c r="AP614" s="40"/>
      <c r="AQ614" s="40"/>
    </row>
    <row r="615">
      <c r="A615" s="40"/>
      <c r="B615" s="42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1"/>
      <c r="AM615" s="41"/>
      <c r="AN615" s="41"/>
      <c r="AO615" s="40"/>
      <c r="AP615" s="40"/>
      <c r="AQ615" s="40"/>
    </row>
    <row r="616">
      <c r="A616" s="40"/>
      <c r="B616" s="42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1"/>
      <c r="AM616" s="41"/>
      <c r="AN616" s="41"/>
      <c r="AO616" s="40"/>
      <c r="AP616" s="40"/>
      <c r="AQ616" s="40"/>
    </row>
    <row r="617">
      <c r="A617" s="40"/>
      <c r="B617" s="42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1"/>
      <c r="AM617" s="41"/>
      <c r="AN617" s="41"/>
      <c r="AO617" s="40"/>
      <c r="AP617" s="40"/>
      <c r="AQ617" s="40"/>
    </row>
    <row r="618">
      <c r="A618" s="40"/>
      <c r="B618" s="42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1"/>
      <c r="AM618" s="41"/>
      <c r="AN618" s="41"/>
      <c r="AO618" s="40"/>
      <c r="AP618" s="40"/>
      <c r="AQ618" s="40"/>
    </row>
    <row r="619">
      <c r="A619" s="40"/>
      <c r="B619" s="42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1"/>
      <c r="AM619" s="41"/>
      <c r="AN619" s="41"/>
      <c r="AO619" s="40"/>
      <c r="AP619" s="40"/>
      <c r="AQ619" s="40"/>
    </row>
    <row r="620">
      <c r="A620" s="40"/>
      <c r="B620" s="42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1"/>
      <c r="AM620" s="41"/>
      <c r="AN620" s="41"/>
      <c r="AO620" s="40"/>
      <c r="AP620" s="40"/>
      <c r="AQ620" s="40"/>
    </row>
    <row r="621">
      <c r="A621" s="40"/>
      <c r="B621" s="42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1"/>
      <c r="AM621" s="41"/>
      <c r="AN621" s="41"/>
      <c r="AO621" s="40"/>
      <c r="AP621" s="40"/>
      <c r="AQ621" s="40"/>
    </row>
    <row r="622">
      <c r="A622" s="40"/>
      <c r="B622" s="42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1"/>
      <c r="AM622" s="41"/>
      <c r="AN622" s="41"/>
      <c r="AO622" s="40"/>
      <c r="AP622" s="40"/>
      <c r="AQ622" s="40"/>
    </row>
    <row r="623">
      <c r="A623" s="40"/>
      <c r="B623" s="42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1"/>
      <c r="AM623" s="41"/>
      <c r="AN623" s="41"/>
      <c r="AO623" s="40"/>
      <c r="AP623" s="40"/>
      <c r="AQ623" s="40"/>
    </row>
    <row r="624">
      <c r="A624" s="40"/>
      <c r="B624" s="42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1"/>
      <c r="AM624" s="41"/>
      <c r="AN624" s="41"/>
      <c r="AO624" s="40"/>
      <c r="AP624" s="40"/>
      <c r="AQ624" s="40"/>
    </row>
    <row r="625">
      <c r="A625" s="40"/>
      <c r="B625" s="42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1"/>
      <c r="AM625" s="41"/>
      <c r="AN625" s="41"/>
      <c r="AO625" s="40"/>
      <c r="AP625" s="40"/>
      <c r="AQ625" s="40"/>
    </row>
    <row r="626">
      <c r="A626" s="40"/>
      <c r="B626" s="42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1"/>
      <c r="AM626" s="41"/>
      <c r="AN626" s="41"/>
      <c r="AO626" s="40"/>
      <c r="AP626" s="40"/>
      <c r="AQ626" s="40"/>
    </row>
    <row r="627">
      <c r="A627" s="40"/>
      <c r="B627" s="42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1"/>
      <c r="AM627" s="41"/>
      <c r="AN627" s="41"/>
      <c r="AO627" s="40"/>
      <c r="AP627" s="40"/>
      <c r="AQ627" s="40"/>
    </row>
    <row r="628">
      <c r="A628" s="40"/>
      <c r="B628" s="42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1"/>
      <c r="AM628" s="41"/>
      <c r="AN628" s="41"/>
      <c r="AO628" s="40"/>
      <c r="AP628" s="40"/>
      <c r="AQ628" s="40"/>
    </row>
    <row r="629">
      <c r="A629" s="40"/>
      <c r="B629" s="42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1"/>
      <c r="AM629" s="41"/>
      <c r="AN629" s="41"/>
      <c r="AO629" s="40"/>
      <c r="AP629" s="40"/>
      <c r="AQ629" s="40"/>
    </row>
    <row r="630">
      <c r="A630" s="40"/>
      <c r="B630" s="42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1"/>
      <c r="AM630" s="41"/>
      <c r="AN630" s="41"/>
      <c r="AO630" s="40"/>
      <c r="AP630" s="40"/>
      <c r="AQ630" s="40"/>
    </row>
    <row r="631">
      <c r="A631" s="40"/>
      <c r="B631" s="42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1"/>
      <c r="AM631" s="41"/>
      <c r="AN631" s="41"/>
      <c r="AO631" s="40"/>
      <c r="AP631" s="40"/>
      <c r="AQ631" s="40"/>
    </row>
    <row r="632">
      <c r="A632" s="40"/>
      <c r="B632" s="42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1"/>
      <c r="AM632" s="41"/>
      <c r="AN632" s="41"/>
      <c r="AO632" s="40"/>
      <c r="AP632" s="40"/>
      <c r="AQ632" s="40"/>
    </row>
    <row r="633">
      <c r="A633" s="40"/>
      <c r="B633" s="42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1"/>
      <c r="AM633" s="41"/>
      <c r="AN633" s="41"/>
      <c r="AO633" s="40"/>
      <c r="AP633" s="40"/>
      <c r="AQ633" s="40"/>
    </row>
    <row r="634">
      <c r="A634" s="40"/>
      <c r="B634" s="42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1"/>
      <c r="AM634" s="41"/>
      <c r="AN634" s="41"/>
      <c r="AO634" s="40"/>
      <c r="AP634" s="40"/>
      <c r="AQ634" s="40"/>
    </row>
    <row r="635">
      <c r="A635" s="40"/>
      <c r="B635" s="42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1"/>
      <c r="AM635" s="41"/>
      <c r="AN635" s="41"/>
      <c r="AO635" s="40"/>
      <c r="AP635" s="40"/>
      <c r="AQ635" s="40"/>
    </row>
    <row r="636">
      <c r="A636" s="40"/>
      <c r="B636" s="42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1"/>
      <c r="AM636" s="41"/>
      <c r="AN636" s="41"/>
      <c r="AO636" s="40"/>
      <c r="AP636" s="40"/>
      <c r="AQ636" s="40"/>
    </row>
    <row r="637">
      <c r="A637" s="40"/>
      <c r="B637" s="42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1"/>
      <c r="AM637" s="41"/>
      <c r="AN637" s="41"/>
      <c r="AO637" s="40"/>
      <c r="AP637" s="40"/>
      <c r="AQ637" s="40"/>
    </row>
    <row r="638">
      <c r="A638" s="40"/>
      <c r="B638" s="42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1"/>
      <c r="AM638" s="41"/>
      <c r="AN638" s="41"/>
      <c r="AO638" s="40"/>
      <c r="AP638" s="40"/>
      <c r="AQ638" s="40"/>
    </row>
    <row r="639">
      <c r="A639" s="40"/>
      <c r="B639" s="42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1"/>
      <c r="AM639" s="41"/>
      <c r="AN639" s="41"/>
      <c r="AO639" s="40"/>
      <c r="AP639" s="40"/>
      <c r="AQ639" s="40"/>
    </row>
    <row r="640">
      <c r="A640" s="40"/>
      <c r="B640" s="42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1"/>
      <c r="AM640" s="41"/>
      <c r="AN640" s="41"/>
      <c r="AO640" s="40"/>
      <c r="AP640" s="40"/>
      <c r="AQ640" s="40"/>
    </row>
    <row r="641">
      <c r="A641" s="40"/>
      <c r="B641" s="42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1"/>
      <c r="AM641" s="41"/>
      <c r="AN641" s="41"/>
      <c r="AO641" s="40"/>
      <c r="AP641" s="40"/>
      <c r="AQ641" s="40"/>
    </row>
    <row r="642">
      <c r="A642" s="40"/>
      <c r="B642" s="42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1"/>
      <c r="AM642" s="41"/>
      <c r="AN642" s="41"/>
      <c r="AO642" s="40"/>
      <c r="AP642" s="40"/>
      <c r="AQ642" s="40"/>
    </row>
    <row r="643">
      <c r="A643" s="40"/>
      <c r="B643" s="42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1"/>
      <c r="AM643" s="41"/>
      <c r="AN643" s="41"/>
      <c r="AO643" s="40"/>
      <c r="AP643" s="40"/>
      <c r="AQ643" s="40"/>
    </row>
    <row r="644">
      <c r="A644" s="40"/>
      <c r="B644" s="42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1"/>
      <c r="AM644" s="41"/>
      <c r="AN644" s="41"/>
      <c r="AO644" s="40"/>
      <c r="AP644" s="40"/>
      <c r="AQ644" s="40"/>
    </row>
    <row r="645">
      <c r="A645" s="40"/>
      <c r="B645" s="42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1"/>
      <c r="AM645" s="41"/>
      <c r="AN645" s="41"/>
      <c r="AO645" s="40"/>
      <c r="AP645" s="40"/>
      <c r="AQ645" s="40"/>
    </row>
    <row r="646">
      <c r="A646" s="40"/>
      <c r="B646" s="42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1"/>
      <c r="AM646" s="41"/>
      <c r="AN646" s="41"/>
      <c r="AO646" s="40"/>
      <c r="AP646" s="40"/>
      <c r="AQ646" s="40"/>
    </row>
    <row r="647">
      <c r="A647" s="40"/>
      <c r="B647" s="42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1"/>
      <c r="AM647" s="41"/>
      <c r="AN647" s="41"/>
      <c r="AO647" s="40"/>
      <c r="AP647" s="40"/>
      <c r="AQ647" s="40"/>
    </row>
    <row r="648">
      <c r="A648" s="40"/>
      <c r="B648" s="42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1"/>
      <c r="AM648" s="41"/>
      <c r="AN648" s="41"/>
      <c r="AO648" s="40"/>
      <c r="AP648" s="40"/>
      <c r="AQ648" s="40"/>
    </row>
    <row r="649">
      <c r="A649" s="40"/>
      <c r="B649" s="42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1"/>
      <c r="AM649" s="41"/>
      <c r="AN649" s="41"/>
      <c r="AO649" s="40"/>
      <c r="AP649" s="40"/>
      <c r="AQ649" s="40"/>
    </row>
    <row r="650">
      <c r="A650" s="40"/>
      <c r="B650" s="42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1"/>
      <c r="AM650" s="41"/>
      <c r="AN650" s="41"/>
      <c r="AO650" s="40"/>
      <c r="AP650" s="40"/>
      <c r="AQ650" s="40"/>
    </row>
    <row r="651">
      <c r="A651" s="40"/>
      <c r="B651" s="42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1"/>
      <c r="AM651" s="41"/>
      <c r="AN651" s="41"/>
      <c r="AO651" s="40"/>
      <c r="AP651" s="40"/>
      <c r="AQ651" s="40"/>
    </row>
    <row r="652">
      <c r="A652" s="40"/>
      <c r="B652" s="42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1"/>
      <c r="AM652" s="41"/>
      <c r="AN652" s="41"/>
      <c r="AO652" s="40"/>
      <c r="AP652" s="40"/>
      <c r="AQ652" s="40"/>
    </row>
    <row r="653">
      <c r="A653" s="40"/>
      <c r="B653" s="42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1"/>
      <c r="AM653" s="41"/>
      <c r="AN653" s="41"/>
      <c r="AO653" s="40"/>
      <c r="AP653" s="40"/>
      <c r="AQ653" s="40"/>
    </row>
    <row r="654">
      <c r="A654" s="40"/>
      <c r="B654" s="42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1"/>
      <c r="AM654" s="41"/>
      <c r="AN654" s="41"/>
      <c r="AO654" s="40"/>
      <c r="AP654" s="40"/>
      <c r="AQ654" s="40"/>
    </row>
    <row r="655">
      <c r="A655" s="40"/>
      <c r="B655" s="42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1"/>
      <c r="AM655" s="41"/>
      <c r="AN655" s="41"/>
      <c r="AO655" s="40"/>
      <c r="AP655" s="40"/>
      <c r="AQ655" s="40"/>
    </row>
    <row r="656">
      <c r="A656" s="40"/>
      <c r="B656" s="42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1"/>
      <c r="AM656" s="41"/>
      <c r="AN656" s="41"/>
      <c r="AO656" s="40"/>
      <c r="AP656" s="40"/>
      <c r="AQ656" s="40"/>
    </row>
    <row r="657">
      <c r="A657" s="40"/>
      <c r="B657" s="42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1"/>
      <c r="AM657" s="41"/>
      <c r="AN657" s="41"/>
      <c r="AO657" s="40"/>
      <c r="AP657" s="40"/>
      <c r="AQ657" s="40"/>
    </row>
    <row r="658">
      <c r="A658" s="40"/>
      <c r="B658" s="42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1"/>
      <c r="AM658" s="41"/>
      <c r="AN658" s="41"/>
      <c r="AO658" s="40"/>
      <c r="AP658" s="40"/>
      <c r="AQ658" s="40"/>
    </row>
    <row r="659">
      <c r="A659" s="40"/>
      <c r="B659" s="42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1"/>
      <c r="AM659" s="41"/>
      <c r="AN659" s="41"/>
      <c r="AO659" s="40"/>
      <c r="AP659" s="40"/>
      <c r="AQ659" s="40"/>
    </row>
    <row r="660">
      <c r="A660" s="40"/>
      <c r="B660" s="42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1"/>
      <c r="AM660" s="41"/>
      <c r="AN660" s="41"/>
      <c r="AO660" s="40"/>
      <c r="AP660" s="40"/>
      <c r="AQ660" s="40"/>
    </row>
    <row r="661">
      <c r="A661" s="40"/>
      <c r="B661" s="42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1"/>
      <c r="AM661" s="41"/>
      <c r="AN661" s="41"/>
      <c r="AO661" s="40"/>
      <c r="AP661" s="40"/>
      <c r="AQ661" s="40"/>
    </row>
    <row r="662">
      <c r="A662" s="40"/>
      <c r="B662" s="42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1"/>
      <c r="AM662" s="41"/>
      <c r="AN662" s="41"/>
      <c r="AO662" s="40"/>
      <c r="AP662" s="40"/>
      <c r="AQ662" s="40"/>
    </row>
    <row r="663">
      <c r="A663" s="40"/>
      <c r="B663" s="42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1"/>
      <c r="AM663" s="41"/>
      <c r="AN663" s="41"/>
      <c r="AO663" s="40"/>
      <c r="AP663" s="40"/>
      <c r="AQ663" s="40"/>
    </row>
    <row r="664">
      <c r="A664" s="40"/>
      <c r="B664" s="42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1"/>
      <c r="AM664" s="41"/>
      <c r="AN664" s="41"/>
      <c r="AO664" s="40"/>
      <c r="AP664" s="40"/>
      <c r="AQ664" s="40"/>
    </row>
    <row r="665">
      <c r="A665" s="40"/>
      <c r="B665" s="42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1"/>
      <c r="AM665" s="41"/>
      <c r="AN665" s="41"/>
      <c r="AO665" s="40"/>
      <c r="AP665" s="40"/>
      <c r="AQ665" s="40"/>
    </row>
    <row r="666">
      <c r="A666" s="40"/>
      <c r="B666" s="42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1"/>
      <c r="AM666" s="41"/>
      <c r="AN666" s="41"/>
      <c r="AO666" s="40"/>
      <c r="AP666" s="40"/>
      <c r="AQ666" s="40"/>
    </row>
    <row r="667">
      <c r="A667" s="40"/>
      <c r="B667" s="42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1"/>
      <c r="AM667" s="41"/>
      <c r="AN667" s="41"/>
      <c r="AO667" s="40"/>
      <c r="AP667" s="40"/>
      <c r="AQ667" s="40"/>
    </row>
    <row r="668">
      <c r="A668" s="40"/>
      <c r="B668" s="42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1"/>
      <c r="AM668" s="41"/>
      <c r="AN668" s="41"/>
      <c r="AO668" s="40"/>
      <c r="AP668" s="40"/>
      <c r="AQ668" s="40"/>
    </row>
    <row r="669">
      <c r="A669" s="40"/>
      <c r="B669" s="42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1"/>
      <c r="AM669" s="41"/>
      <c r="AN669" s="41"/>
      <c r="AO669" s="40"/>
      <c r="AP669" s="40"/>
      <c r="AQ669" s="40"/>
    </row>
    <row r="670">
      <c r="A670" s="40"/>
      <c r="B670" s="42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1"/>
      <c r="AM670" s="41"/>
      <c r="AN670" s="41"/>
      <c r="AO670" s="40"/>
      <c r="AP670" s="40"/>
      <c r="AQ670" s="40"/>
    </row>
    <row r="671">
      <c r="A671" s="40"/>
      <c r="B671" s="42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1"/>
      <c r="AM671" s="41"/>
      <c r="AN671" s="41"/>
      <c r="AO671" s="40"/>
      <c r="AP671" s="40"/>
      <c r="AQ671" s="40"/>
    </row>
    <row r="672">
      <c r="A672" s="40"/>
      <c r="B672" s="42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1"/>
      <c r="AM672" s="41"/>
      <c r="AN672" s="41"/>
      <c r="AO672" s="40"/>
      <c r="AP672" s="40"/>
      <c r="AQ672" s="40"/>
    </row>
    <row r="673">
      <c r="A673" s="40"/>
      <c r="B673" s="42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1"/>
      <c r="AM673" s="41"/>
      <c r="AN673" s="41"/>
      <c r="AO673" s="40"/>
      <c r="AP673" s="40"/>
      <c r="AQ673" s="40"/>
    </row>
    <row r="674">
      <c r="A674" s="40"/>
      <c r="B674" s="42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1"/>
      <c r="AM674" s="41"/>
      <c r="AN674" s="41"/>
      <c r="AO674" s="40"/>
      <c r="AP674" s="40"/>
      <c r="AQ674" s="40"/>
    </row>
    <row r="675">
      <c r="A675" s="40"/>
      <c r="B675" s="42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1"/>
      <c r="AM675" s="41"/>
      <c r="AN675" s="41"/>
      <c r="AO675" s="40"/>
      <c r="AP675" s="40"/>
      <c r="AQ675" s="40"/>
    </row>
    <row r="676">
      <c r="A676" s="40"/>
      <c r="B676" s="42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1"/>
      <c r="AM676" s="41"/>
      <c r="AN676" s="41"/>
      <c r="AO676" s="40"/>
      <c r="AP676" s="40"/>
      <c r="AQ676" s="40"/>
    </row>
    <row r="677">
      <c r="A677" s="40"/>
      <c r="B677" s="42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1"/>
      <c r="AM677" s="41"/>
      <c r="AN677" s="41"/>
      <c r="AO677" s="40"/>
      <c r="AP677" s="40"/>
      <c r="AQ677" s="40"/>
    </row>
    <row r="678">
      <c r="A678" s="40"/>
      <c r="B678" s="42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1"/>
      <c r="AM678" s="41"/>
      <c r="AN678" s="41"/>
      <c r="AO678" s="40"/>
      <c r="AP678" s="40"/>
      <c r="AQ678" s="40"/>
    </row>
    <row r="679">
      <c r="A679" s="40"/>
      <c r="B679" s="42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1"/>
      <c r="AM679" s="41"/>
      <c r="AN679" s="41"/>
      <c r="AO679" s="40"/>
      <c r="AP679" s="40"/>
      <c r="AQ679" s="40"/>
    </row>
    <row r="680">
      <c r="A680" s="40"/>
      <c r="B680" s="42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1"/>
      <c r="AM680" s="41"/>
      <c r="AN680" s="41"/>
      <c r="AO680" s="40"/>
      <c r="AP680" s="40"/>
      <c r="AQ680" s="40"/>
    </row>
    <row r="681">
      <c r="A681" s="40"/>
      <c r="B681" s="42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1"/>
      <c r="AM681" s="41"/>
      <c r="AN681" s="41"/>
      <c r="AO681" s="40"/>
      <c r="AP681" s="40"/>
      <c r="AQ681" s="40"/>
    </row>
    <row r="682">
      <c r="A682" s="40"/>
      <c r="B682" s="42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1"/>
      <c r="AM682" s="41"/>
      <c r="AN682" s="41"/>
      <c r="AO682" s="40"/>
      <c r="AP682" s="40"/>
      <c r="AQ682" s="40"/>
    </row>
    <row r="683">
      <c r="A683" s="40"/>
      <c r="B683" s="42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1"/>
      <c r="AM683" s="41"/>
      <c r="AN683" s="41"/>
      <c r="AO683" s="40"/>
      <c r="AP683" s="40"/>
      <c r="AQ683" s="40"/>
    </row>
    <row r="684">
      <c r="A684" s="40"/>
      <c r="B684" s="42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1"/>
      <c r="AM684" s="41"/>
      <c r="AN684" s="41"/>
      <c r="AO684" s="40"/>
      <c r="AP684" s="40"/>
      <c r="AQ684" s="40"/>
    </row>
    <row r="685">
      <c r="A685" s="40"/>
      <c r="B685" s="42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1"/>
      <c r="AM685" s="41"/>
      <c r="AN685" s="41"/>
      <c r="AO685" s="40"/>
      <c r="AP685" s="40"/>
      <c r="AQ685" s="40"/>
    </row>
    <row r="686">
      <c r="A686" s="40"/>
      <c r="B686" s="42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1"/>
      <c r="AM686" s="41"/>
      <c r="AN686" s="41"/>
      <c r="AO686" s="40"/>
      <c r="AP686" s="40"/>
      <c r="AQ686" s="40"/>
    </row>
    <row r="687">
      <c r="A687" s="40"/>
      <c r="B687" s="42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1"/>
      <c r="AM687" s="41"/>
      <c r="AN687" s="41"/>
      <c r="AO687" s="40"/>
      <c r="AP687" s="40"/>
      <c r="AQ687" s="40"/>
    </row>
    <row r="688">
      <c r="A688" s="40"/>
      <c r="B688" s="42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1"/>
      <c r="AM688" s="41"/>
      <c r="AN688" s="41"/>
      <c r="AO688" s="40"/>
      <c r="AP688" s="40"/>
      <c r="AQ688" s="40"/>
    </row>
    <row r="689">
      <c r="A689" s="40"/>
      <c r="B689" s="42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1"/>
      <c r="AM689" s="41"/>
      <c r="AN689" s="41"/>
      <c r="AO689" s="40"/>
      <c r="AP689" s="40"/>
      <c r="AQ689" s="40"/>
    </row>
    <row r="690">
      <c r="A690" s="40"/>
      <c r="B690" s="42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1"/>
      <c r="AM690" s="41"/>
      <c r="AN690" s="41"/>
      <c r="AO690" s="40"/>
      <c r="AP690" s="40"/>
      <c r="AQ690" s="40"/>
    </row>
    <row r="691">
      <c r="A691" s="40"/>
      <c r="B691" s="42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1"/>
      <c r="AM691" s="41"/>
      <c r="AN691" s="41"/>
      <c r="AO691" s="40"/>
      <c r="AP691" s="40"/>
      <c r="AQ691" s="40"/>
    </row>
    <row r="692">
      <c r="A692" s="40"/>
      <c r="B692" s="42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1"/>
      <c r="AM692" s="41"/>
      <c r="AN692" s="41"/>
      <c r="AO692" s="40"/>
      <c r="AP692" s="40"/>
      <c r="AQ692" s="40"/>
    </row>
    <row r="693">
      <c r="A693" s="40"/>
      <c r="B693" s="42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1"/>
      <c r="AM693" s="41"/>
      <c r="AN693" s="41"/>
      <c r="AO693" s="40"/>
      <c r="AP693" s="40"/>
      <c r="AQ693" s="40"/>
    </row>
    <row r="694">
      <c r="A694" s="40"/>
      <c r="B694" s="42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1"/>
      <c r="AM694" s="41"/>
      <c r="AN694" s="41"/>
      <c r="AO694" s="40"/>
      <c r="AP694" s="40"/>
      <c r="AQ694" s="40"/>
    </row>
    <row r="695">
      <c r="A695" s="40"/>
      <c r="B695" s="42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1"/>
      <c r="AM695" s="41"/>
      <c r="AN695" s="41"/>
      <c r="AO695" s="40"/>
      <c r="AP695" s="40"/>
      <c r="AQ695" s="40"/>
    </row>
    <row r="696">
      <c r="A696" s="40"/>
      <c r="B696" s="42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1"/>
      <c r="AM696" s="41"/>
      <c r="AN696" s="41"/>
      <c r="AO696" s="40"/>
      <c r="AP696" s="40"/>
      <c r="AQ696" s="40"/>
    </row>
    <row r="697">
      <c r="A697" s="40"/>
      <c r="B697" s="42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1"/>
      <c r="AM697" s="41"/>
      <c r="AN697" s="41"/>
      <c r="AO697" s="40"/>
      <c r="AP697" s="40"/>
      <c r="AQ697" s="40"/>
    </row>
    <row r="698">
      <c r="A698" s="40"/>
      <c r="B698" s="42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1"/>
      <c r="AM698" s="41"/>
      <c r="AN698" s="41"/>
      <c r="AO698" s="40"/>
      <c r="AP698" s="40"/>
      <c r="AQ698" s="40"/>
    </row>
    <row r="699">
      <c r="A699" s="40"/>
      <c r="B699" s="42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1"/>
      <c r="AM699" s="41"/>
      <c r="AN699" s="41"/>
      <c r="AO699" s="40"/>
      <c r="AP699" s="40"/>
      <c r="AQ699" s="40"/>
    </row>
    <row r="700">
      <c r="A700" s="40"/>
      <c r="B700" s="42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1"/>
      <c r="AM700" s="41"/>
      <c r="AN700" s="41"/>
      <c r="AO700" s="40"/>
      <c r="AP700" s="40"/>
      <c r="AQ700" s="40"/>
    </row>
    <row r="701">
      <c r="A701" s="40"/>
      <c r="B701" s="42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1"/>
      <c r="AM701" s="41"/>
      <c r="AN701" s="41"/>
      <c r="AO701" s="40"/>
      <c r="AP701" s="40"/>
      <c r="AQ701" s="40"/>
    </row>
    <row r="702">
      <c r="A702" s="40"/>
      <c r="B702" s="42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1"/>
      <c r="AM702" s="41"/>
      <c r="AN702" s="41"/>
      <c r="AO702" s="40"/>
      <c r="AP702" s="40"/>
      <c r="AQ702" s="40"/>
    </row>
    <row r="703">
      <c r="A703" s="40"/>
      <c r="B703" s="42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1"/>
      <c r="AM703" s="41"/>
      <c r="AN703" s="41"/>
      <c r="AO703" s="40"/>
      <c r="AP703" s="40"/>
      <c r="AQ703" s="40"/>
    </row>
    <row r="704">
      <c r="A704" s="40"/>
      <c r="B704" s="42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1"/>
      <c r="AM704" s="41"/>
      <c r="AN704" s="41"/>
      <c r="AO704" s="40"/>
      <c r="AP704" s="40"/>
      <c r="AQ704" s="40"/>
    </row>
    <row r="705">
      <c r="A705" s="40"/>
      <c r="B705" s="42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1"/>
      <c r="AM705" s="41"/>
      <c r="AN705" s="41"/>
      <c r="AO705" s="40"/>
      <c r="AP705" s="40"/>
      <c r="AQ705" s="40"/>
    </row>
    <row r="706">
      <c r="A706" s="40"/>
      <c r="B706" s="42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1"/>
      <c r="AM706" s="41"/>
      <c r="AN706" s="41"/>
      <c r="AO706" s="40"/>
      <c r="AP706" s="40"/>
      <c r="AQ706" s="40"/>
    </row>
    <row r="707">
      <c r="A707" s="40"/>
      <c r="B707" s="42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1"/>
      <c r="AM707" s="41"/>
      <c r="AN707" s="41"/>
      <c r="AO707" s="40"/>
      <c r="AP707" s="40"/>
      <c r="AQ707" s="40"/>
    </row>
    <row r="708">
      <c r="A708" s="40"/>
      <c r="B708" s="42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1"/>
      <c r="AM708" s="41"/>
      <c r="AN708" s="41"/>
      <c r="AO708" s="40"/>
      <c r="AP708" s="40"/>
      <c r="AQ708" s="40"/>
    </row>
    <row r="709">
      <c r="A709" s="40"/>
      <c r="B709" s="42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1"/>
      <c r="AM709" s="41"/>
      <c r="AN709" s="41"/>
      <c r="AO709" s="40"/>
      <c r="AP709" s="40"/>
      <c r="AQ709" s="40"/>
    </row>
    <row r="710">
      <c r="A710" s="40"/>
      <c r="B710" s="42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1"/>
      <c r="AM710" s="41"/>
      <c r="AN710" s="41"/>
      <c r="AO710" s="40"/>
      <c r="AP710" s="40"/>
      <c r="AQ710" s="40"/>
    </row>
    <row r="711">
      <c r="A711" s="40"/>
      <c r="B711" s="42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1"/>
      <c r="AM711" s="41"/>
      <c r="AN711" s="41"/>
      <c r="AO711" s="40"/>
      <c r="AP711" s="40"/>
      <c r="AQ711" s="40"/>
    </row>
    <row r="712">
      <c r="A712" s="40"/>
      <c r="B712" s="42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1"/>
      <c r="AM712" s="41"/>
      <c r="AN712" s="41"/>
      <c r="AO712" s="40"/>
      <c r="AP712" s="40"/>
      <c r="AQ712" s="40"/>
    </row>
    <row r="713">
      <c r="A713" s="40"/>
      <c r="B713" s="42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1"/>
      <c r="AM713" s="41"/>
      <c r="AN713" s="41"/>
      <c r="AO713" s="40"/>
      <c r="AP713" s="40"/>
      <c r="AQ713" s="40"/>
    </row>
    <row r="714">
      <c r="A714" s="40"/>
      <c r="B714" s="42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1"/>
      <c r="AM714" s="41"/>
      <c r="AN714" s="41"/>
      <c r="AO714" s="40"/>
      <c r="AP714" s="40"/>
      <c r="AQ714" s="40"/>
    </row>
    <row r="715">
      <c r="A715" s="40"/>
      <c r="B715" s="42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1"/>
      <c r="AM715" s="41"/>
      <c r="AN715" s="41"/>
      <c r="AO715" s="40"/>
      <c r="AP715" s="40"/>
      <c r="AQ715" s="40"/>
    </row>
    <row r="716">
      <c r="A716" s="40"/>
      <c r="B716" s="42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1"/>
      <c r="AM716" s="41"/>
      <c r="AN716" s="41"/>
      <c r="AO716" s="40"/>
      <c r="AP716" s="40"/>
      <c r="AQ716" s="40"/>
    </row>
    <row r="717">
      <c r="A717" s="40"/>
      <c r="B717" s="42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1"/>
      <c r="AM717" s="41"/>
      <c r="AN717" s="41"/>
      <c r="AO717" s="40"/>
      <c r="AP717" s="40"/>
      <c r="AQ717" s="40"/>
    </row>
    <row r="718">
      <c r="A718" s="40"/>
      <c r="B718" s="42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1"/>
      <c r="AM718" s="41"/>
      <c r="AN718" s="41"/>
      <c r="AO718" s="40"/>
      <c r="AP718" s="40"/>
      <c r="AQ718" s="40"/>
    </row>
    <row r="719">
      <c r="A719" s="40"/>
      <c r="B719" s="42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1"/>
      <c r="AM719" s="41"/>
      <c r="AN719" s="41"/>
      <c r="AO719" s="40"/>
      <c r="AP719" s="40"/>
      <c r="AQ719" s="40"/>
    </row>
    <row r="720">
      <c r="A720" s="40"/>
      <c r="B720" s="42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1"/>
      <c r="AM720" s="41"/>
      <c r="AN720" s="41"/>
      <c r="AO720" s="40"/>
      <c r="AP720" s="40"/>
      <c r="AQ720" s="40"/>
    </row>
    <row r="721">
      <c r="A721" s="40"/>
      <c r="B721" s="42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1"/>
      <c r="AM721" s="41"/>
      <c r="AN721" s="41"/>
      <c r="AO721" s="40"/>
      <c r="AP721" s="40"/>
      <c r="AQ721" s="40"/>
    </row>
    <row r="722">
      <c r="A722" s="40"/>
      <c r="B722" s="42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1"/>
      <c r="AM722" s="41"/>
      <c r="AN722" s="41"/>
      <c r="AO722" s="40"/>
      <c r="AP722" s="40"/>
      <c r="AQ722" s="40"/>
    </row>
    <row r="723">
      <c r="A723" s="40"/>
      <c r="B723" s="42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1"/>
      <c r="AM723" s="41"/>
      <c r="AN723" s="41"/>
      <c r="AO723" s="40"/>
      <c r="AP723" s="40"/>
      <c r="AQ723" s="40"/>
    </row>
    <row r="724">
      <c r="A724" s="40"/>
      <c r="B724" s="42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1"/>
      <c r="AM724" s="41"/>
      <c r="AN724" s="41"/>
      <c r="AO724" s="40"/>
      <c r="AP724" s="40"/>
      <c r="AQ724" s="40"/>
    </row>
    <row r="725">
      <c r="A725" s="40"/>
      <c r="B725" s="42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1"/>
      <c r="AM725" s="41"/>
      <c r="AN725" s="41"/>
      <c r="AO725" s="40"/>
      <c r="AP725" s="40"/>
      <c r="AQ725" s="40"/>
    </row>
    <row r="726">
      <c r="A726" s="40"/>
      <c r="B726" s="42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1"/>
      <c r="AM726" s="41"/>
      <c r="AN726" s="41"/>
      <c r="AO726" s="40"/>
      <c r="AP726" s="40"/>
      <c r="AQ726" s="40"/>
    </row>
    <row r="727">
      <c r="A727" s="40"/>
      <c r="B727" s="42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1"/>
      <c r="AM727" s="41"/>
      <c r="AN727" s="41"/>
      <c r="AO727" s="40"/>
      <c r="AP727" s="40"/>
      <c r="AQ727" s="40"/>
    </row>
    <row r="728">
      <c r="A728" s="40"/>
      <c r="B728" s="42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1"/>
      <c r="AM728" s="41"/>
      <c r="AN728" s="41"/>
      <c r="AO728" s="40"/>
      <c r="AP728" s="40"/>
      <c r="AQ728" s="40"/>
    </row>
    <row r="729">
      <c r="A729" s="40"/>
      <c r="B729" s="42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1"/>
      <c r="AM729" s="41"/>
      <c r="AN729" s="41"/>
      <c r="AO729" s="40"/>
      <c r="AP729" s="40"/>
      <c r="AQ729" s="40"/>
    </row>
    <row r="730">
      <c r="A730" s="40"/>
      <c r="B730" s="42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1"/>
      <c r="AM730" s="41"/>
      <c r="AN730" s="41"/>
      <c r="AO730" s="40"/>
      <c r="AP730" s="40"/>
      <c r="AQ730" s="40"/>
    </row>
    <row r="731">
      <c r="A731" s="40"/>
      <c r="B731" s="42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1"/>
      <c r="AM731" s="41"/>
      <c r="AN731" s="41"/>
      <c r="AO731" s="40"/>
      <c r="AP731" s="40"/>
      <c r="AQ731" s="40"/>
    </row>
    <row r="732">
      <c r="A732" s="40"/>
      <c r="B732" s="42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1"/>
      <c r="AM732" s="41"/>
      <c r="AN732" s="41"/>
      <c r="AO732" s="40"/>
      <c r="AP732" s="40"/>
      <c r="AQ732" s="40"/>
    </row>
    <row r="733">
      <c r="A733" s="40"/>
      <c r="B733" s="42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1"/>
      <c r="AM733" s="41"/>
      <c r="AN733" s="41"/>
      <c r="AO733" s="40"/>
      <c r="AP733" s="40"/>
      <c r="AQ733" s="40"/>
    </row>
    <row r="734">
      <c r="A734" s="40"/>
      <c r="B734" s="42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1"/>
      <c r="AM734" s="41"/>
      <c r="AN734" s="41"/>
      <c r="AO734" s="40"/>
      <c r="AP734" s="40"/>
      <c r="AQ734" s="40"/>
    </row>
    <row r="735">
      <c r="A735" s="40"/>
      <c r="B735" s="42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1"/>
      <c r="AM735" s="41"/>
      <c r="AN735" s="41"/>
      <c r="AO735" s="40"/>
      <c r="AP735" s="40"/>
      <c r="AQ735" s="40"/>
    </row>
    <row r="736">
      <c r="A736" s="40"/>
      <c r="B736" s="42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1"/>
      <c r="AM736" s="41"/>
      <c r="AN736" s="41"/>
      <c r="AO736" s="40"/>
      <c r="AP736" s="40"/>
      <c r="AQ736" s="40"/>
    </row>
    <row r="737">
      <c r="A737" s="40"/>
      <c r="B737" s="42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1"/>
      <c r="AM737" s="41"/>
      <c r="AN737" s="41"/>
      <c r="AO737" s="40"/>
      <c r="AP737" s="40"/>
      <c r="AQ737" s="40"/>
    </row>
    <row r="738">
      <c r="A738" s="40"/>
      <c r="B738" s="42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1"/>
      <c r="AM738" s="41"/>
      <c r="AN738" s="41"/>
      <c r="AO738" s="40"/>
      <c r="AP738" s="40"/>
      <c r="AQ738" s="40"/>
    </row>
    <row r="739">
      <c r="A739" s="40"/>
      <c r="B739" s="42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1"/>
      <c r="AM739" s="41"/>
      <c r="AN739" s="41"/>
      <c r="AO739" s="40"/>
      <c r="AP739" s="40"/>
      <c r="AQ739" s="40"/>
    </row>
    <row r="740">
      <c r="A740" s="40"/>
      <c r="B740" s="42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1"/>
      <c r="AM740" s="41"/>
      <c r="AN740" s="41"/>
      <c r="AO740" s="40"/>
      <c r="AP740" s="40"/>
      <c r="AQ740" s="40"/>
    </row>
    <row r="741">
      <c r="A741" s="40"/>
      <c r="B741" s="42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1"/>
      <c r="AM741" s="41"/>
      <c r="AN741" s="41"/>
      <c r="AO741" s="40"/>
      <c r="AP741" s="40"/>
      <c r="AQ741" s="40"/>
    </row>
    <row r="742">
      <c r="A742" s="40"/>
      <c r="B742" s="42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1"/>
      <c r="AM742" s="41"/>
      <c r="AN742" s="41"/>
      <c r="AO742" s="40"/>
      <c r="AP742" s="40"/>
      <c r="AQ742" s="40"/>
    </row>
    <row r="743">
      <c r="A743" s="40"/>
      <c r="B743" s="42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1"/>
      <c r="AM743" s="41"/>
      <c r="AN743" s="41"/>
      <c r="AO743" s="40"/>
      <c r="AP743" s="40"/>
      <c r="AQ743" s="40"/>
    </row>
    <row r="744">
      <c r="A744" s="40"/>
      <c r="B744" s="42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1"/>
      <c r="AM744" s="41"/>
      <c r="AN744" s="41"/>
      <c r="AO744" s="40"/>
      <c r="AP744" s="40"/>
      <c r="AQ744" s="40"/>
    </row>
    <row r="745">
      <c r="A745" s="40"/>
      <c r="B745" s="42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1"/>
      <c r="AM745" s="41"/>
      <c r="AN745" s="41"/>
      <c r="AO745" s="40"/>
      <c r="AP745" s="40"/>
      <c r="AQ745" s="40"/>
    </row>
    <row r="746">
      <c r="A746" s="40"/>
      <c r="B746" s="42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1"/>
      <c r="AM746" s="41"/>
      <c r="AN746" s="41"/>
      <c r="AO746" s="40"/>
      <c r="AP746" s="40"/>
      <c r="AQ746" s="40"/>
    </row>
    <row r="747">
      <c r="A747" s="40"/>
      <c r="B747" s="42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1"/>
      <c r="AM747" s="41"/>
      <c r="AN747" s="41"/>
      <c r="AO747" s="40"/>
      <c r="AP747" s="40"/>
      <c r="AQ747" s="40"/>
    </row>
    <row r="748">
      <c r="A748" s="40"/>
      <c r="B748" s="42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1"/>
      <c r="AM748" s="41"/>
      <c r="AN748" s="41"/>
      <c r="AO748" s="40"/>
      <c r="AP748" s="40"/>
      <c r="AQ748" s="40"/>
    </row>
    <row r="749">
      <c r="A749" s="40"/>
      <c r="B749" s="42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1"/>
      <c r="AM749" s="41"/>
      <c r="AN749" s="41"/>
      <c r="AO749" s="40"/>
      <c r="AP749" s="40"/>
      <c r="AQ749" s="40"/>
    </row>
    <row r="750">
      <c r="A750" s="40"/>
      <c r="B750" s="42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1"/>
      <c r="AM750" s="41"/>
      <c r="AN750" s="41"/>
      <c r="AO750" s="40"/>
      <c r="AP750" s="40"/>
      <c r="AQ750" s="40"/>
    </row>
    <row r="751">
      <c r="A751" s="40"/>
      <c r="B751" s="42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1"/>
      <c r="AM751" s="41"/>
      <c r="AN751" s="41"/>
      <c r="AO751" s="40"/>
      <c r="AP751" s="40"/>
      <c r="AQ751" s="40"/>
    </row>
    <row r="752">
      <c r="A752" s="40"/>
      <c r="B752" s="42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1"/>
      <c r="AM752" s="41"/>
      <c r="AN752" s="41"/>
      <c r="AO752" s="40"/>
      <c r="AP752" s="40"/>
      <c r="AQ752" s="40"/>
    </row>
    <row r="753">
      <c r="A753" s="40"/>
      <c r="B753" s="42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1"/>
      <c r="AM753" s="41"/>
      <c r="AN753" s="41"/>
      <c r="AO753" s="40"/>
      <c r="AP753" s="40"/>
      <c r="AQ753" s="40"/>
    </row>
    <row r="754">
      <c r="A754" s="40"/>
      <c r="B754" s="42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1"/>
      <c r="AM754" s="41"/>
      <c r="AN754" s="41"/>
      <c r="AO754" s="40"/>
      <c r="AP754" s="40"/>
      <c r="AQ754" s="40"/>
    </row>
    <row r="755">
      <c r="A755" s="40"/>
      <c r="B755" s="42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1"/>
      <c r="AM755" s="41"/>
      <c r="AN755" s="41"/>
      <c r="AO755" s="40"/>
      <c r="AP755" s="40"/>
      <c r="AQ755" s="40"/>
    </row>
    <row r="756">
      <c r="A756" s="40"/>
      <c r="B756" s="42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1"/>
      <c r="AM756" s="41"/>
      <c r="AN756" s="41"/>
      <c r="AO756" s="40"/>
      <c r="AP756" s="40"/>
      <c r="AQ756" s="40"/>
    </row>
    <row r="757">
      <c r="A757" s="40"/>
      <c r="B757" s="42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1"/>
      <c r="AM757" s="41"/>
      <c r="AN757" s="41"/>
      <c r="AO757" s="40"/>
      <c r="AP757" s="40"/>
      <c r="AQ757" s="40"/>
    </row>
    <row r="758">
      <c r="A758" s="40"/>
      <c r="B758" s="42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1"/>
      <c r="AM758" s="41"/>
      <c r="AN758" s="41"/>
      <c r="AO758" s="40"/>
      <c r="AP758" s="40"/>
      <c r="AQ758" s="40"/>
    </row>
    <row r="759">
      <c r="A759" s="40"/>
      <c r="B759" s="42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1"/>
      <c r="AM759" s="41"/>
      <c r="AN759" s="41"/>
      <c r="AO759" s="40"/>
      <c r="AP759" s="40"/>
      <c r="AQ759" s="40"/>
    </row>
    <row r="760">
      <c r="A760" s="40"/>
      <c r="B760" s="42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1"/>
      <c r="AM760" s="41"/>
      <c r="AN760" s="41"/>
      <c r="AO760" s="40"/>
      <c r="AP760" s="40"/>
      <c r="AQ760" s="40"/>
    </row>
    <row r="761">
      <c r="A761" s="40"/>
      <c r="B761" s="42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1"/>
      <c r="AM761" s="41"/>
      <c r="AN761" s="41"/>
      <c r="AO761" s="40"/>
      <c r="AP761" s="40"/>
      <c r="AQ761" s="40"/>
    </row>
    <row r="762">
      <c r="A762" s="40"/>
      <c r="B762" s="42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1"/>
      <c r="AM762" s="41"/>
      <c r="AN762" s="41"/>
      <c r="AO762" s="40"/>
      <c r="AP762" s="40"/>
      <c r="AQ762" s="40"/>
    </row>
    <row r="763">
      <c r="A763" s="40"/>
      <c r="B763" s="42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1"/>
      <c r="AM763" s="41"/>
      <c r="AN763" s="41"/>
      <c r="AO763" s="40"/>
      <c r="AP763" s="40"/>
      <c r="AQ763" s="40"/>
    </row>
    <row r="764">
      <c r="A764" s="40"/>
      <c r="B764" s="42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1"/>
      <c r="AM764" s="41"/>
      <c r="AN764" s="41"/>
      <c r="AO764" s="40"/>
      <c r="AP764" s="40"/>
      <c r="AQ764" s="40"/>
    </row>
    <row r="765">
      <c r="A765" s="40"/>
      <c r="B765" s="42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1"/>
      <c r="AM765" s="41"/>
      <c r="AN765" s="41"/>
      <c r="AO765" s="40"/>
      <c r="AP765" s="40"/>
      <c r="AQ765" s="40"/>
    </row>
    <row r="766">
      <c r="A766" s="40"/>
      <c r="B766" s="42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1"/>
      <c r="AM766" s="41"/>
      <c r="AN766" s="41"/>
      <c r="AO766" s="40"/>
      <c r="AP766" s="40"/>
      <c r="AQ766" s="40"/>
    </row>
    <row r="767">
      <c r="A767" s="40"/>
      <c r="B767" s="42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1"/>
      <c r="AM767" s="41"/>
      <c r="AN767" s="41"/>
      <c r="AO767" s="40"/>
      <c r="AP767" s="40"/>
      <c r="AQ767" s="40"/>
    </row>
    <row r="768">
      <c r="A768" s="40"/>
      <c r="B768" s="42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1"/>
      <c r="AM768" s="41"/>
      <c r="AN768" s="41"/>
      <c r="AO768" s="40"/>
      <c r="AP768" s="40"/>
      <c r="AQ768" s="40"/>
    </row>
    <row r="769">
      <c r="A769" s="40"/>
      <c r="B769" s="42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1"/>
      <c r="AM769" s="41"/>
      <c r="AN769" s="41"/>
      <c r="AO769" s="40"/>
      <c r="AP769" s="40"/>
      <c r="AQ769" s="40"/>
    </row>
    <row r="770">
      <c r="A770" s="40"/>
      <c r="B770" s="42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1"/>
      <c r="AM770" s="41"/>
      <c r="AN770" s="41"/>
      <c r="AO770" s="40"/>
      <c r="AP770" s="40"/>
      <c r="AQ770" s="40"/>
    </row>
    <row r="771">
      <c r="A771" s="40"/>
      <c r="B771" s="42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1"/>
      <c r="AM771" s="41"/>
      <c r="AN771" s="41"/>
      <c r="AO771" s="40"/>
      <c r="AP771" s="40"/>
      <c r="AQ771" s="40"/>
    </row>
    <row r="772">
      <c r="A772" s="40"/>
      <c r="B772" s="42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1"/>
      <c r="AM772" s="41"/>
      <c r="AN772" s="41"/>
      <c r="AO772" s="40"/>
      <c r="AP772" s="40"/>
      <c r="AQ772" s="40"/>
    </row>
    <row r="773">
      <c r="A773" s="40"/>
      <c r="B773" s="42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1"/>
      <c r="AM773" s="41"/>
      <c r="AN773" s="41"/>
      <c r="AO773" s="40"/>
      <c r="AP773" s="40"/>
      <c r="AQ773" s="40"/>
    </row>
    <row r="774">
      <c r="A774" s="40"/>
      <c r="B774" s="42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1"/>
      <c r="AM774" s="41"/>
      <c r="AN774" s="41"/>
      <c r="AO774" s="40"/>
      <c r="AP774" s="40"/>
      <c r="AQ774" s="40"/>
    </row>
    <row r="775">
      <c r="A775" s="40"/>
      <c r="B775" s="42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1"/>
      <c r="AM775" s="41"/>
      <c r="AN775" s="41"/>
      <c r="AO775" s="40"/>
      <c r="AP775" s="40"/>
      <c r="AQ775" s="40"/>
    </row>
    <row r="776">
      <c r="A776" s="40"/>
      <c r="B776" s="42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1"/>
      <c r="AM776" s="41"/>
      <c r="AN776" s="41"/>
      <c r="AO776" s="40"/>
      <c r="AP776" s="40"/>
      <c r="AQ776" s="40"/>
    </row>
    <row r="777">
      <c r="A777" s="40"/>
      <c r="B777" s="42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1"/>
      <c r="AM777" s="41"/>
      <c r="AN777" s="41"/>
      <c r="AO777" s="40"/>
      <c r="AP777" s="40"/>
      <c r="AQ777" s="40"/>
    </row>
    <row r="778">
      <c r="A778" s="40"/>
      <c r="B778" s="42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1"/>
      <c r="AM778" s="41"/>
      <c r="AN778" s="41"/>
      <c r="AO778" s="40"/>
      <c r="AP778" s="40"/>
      <c r="AQ778" s="40"/>
    </row>
    <row r="779">
      <c r="A779" s="40"/>
      <c r="B779" s="42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1"/>
      <c r="AM779" s="41"/>
      <c r="AN779" s="41"/>
      <c r="AO779" s="40"/>
      <c r="AP779" s="40"/>
      <c r="AQ779" s="40"/>
    </row>
    <row r="780">
      <c r="A780" s="40"/>
      <c r="B780" s="42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1"/>
      <c r="AM780" s="41"/>
      <c r="AN780" s="41"/>
      <c r="AO780" s="40"/>
      <c r="AP780" s="40"/>
      <c r="AQ780" s="40"/>
    </row>
    <row r="781">
      <c r="A781" s="40"/>
      <c r="B781" s="42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1"/>
      <c r="AM781" s="41"/>
      <c r="AN781" s="41"/>
      <c r="AO781" s="40"/>
      <c r="AP781" s="40"/>
      <c r="AQ781" s="40"/>
    </row>
    <row r="782">
      <c r="A782" s="40"/>
      <c r="B782" s="42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1"/>
      <c r="AM782" s="41"/>
      <c r="AN782" s="41"/>
      <c r="AO782" s="40"/>
      <c r="AP782" s="40"/>
      <c r="AQ782" s="40"/>
    </row>
    <row r="783">
      <c r="A783" s="40"/>
      <c r="B783" s="42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1"/>
      <c r="AM783" s="41"/>
      <c r="AN783" s="41"/>
      <c r="AO783" s="40"/>
      <c r="AP783" s="40"/>
      <c r="AQ783" s="40"/>
    </row>
    <row r="784">
      <c r="A784" s="40"/>
      <c r="B784" s="42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1"/>
      <c r="AM784" s="41"/>
      <c r="AN784" s="41"/>
      <c r="AO784" s="40"/>
      <c r="AP784" s="40"/>
      <c r="AQ784" s="40"/>
    </row>
    <row r="785">
      <c r="A785" s="40"/>
      <c r="B785" s="42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1"/>
      <c r="AM785" s="41"/>
      <c r="AN785" s="41"/>
      <c r="AO785" s="40"/>
      <c r="AP785" s="40"/>
      <c r="AQ785" s="40"/>
    </row>
    <row r="786">
      <c r="A786" s="40"/>
      <c r="B786" s="42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1"/>
      <c r="AM786" s="41"/>
      <c r="AN786" s="41"/>
      <c r="AO786" s="40"/>
      <c r="AP786" s="40"/>
      <c r="AQ786" s="40"/>
    </row>
    <row r="787">
      <c r="A787" s="40"/>
      <c r="B787" s="42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1"/>
      <c r="AM787" s="41"/>
      <c r="AN787" s="41"/>
      <c r="AO787" s="40"/>
      <c r="AP787" s="40"/>
      <c r="AQ787" s="40"/>
    </row>
    <row r="788">
      <c r="A788" s="40"/>
      <c r="B788" s="42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1"/>
      <c r="AM788" s="41"/>
      <c r="AN788" s="41"/>
      <c r="AO788" s="40"/>
      <c r="AP788" s="40"/>
      <c r="AQ788" s="40"/>
    </row>
    <row r="789">
      <c r="A789" s="40"/>
      <c r="B789" s="42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1"/>
      <c r="AM789" s="41"/>
      <c r="AN789" s="41"/>
      <c r="AO789" s="40"/>
      <c r="AP789" s="40"/>
      <c r="AQ789" s="40"/>
    </row>
    <row r="790">
      <c r="A790" s="40"/>
      <c r="B790" s="42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1"/>
      <c r="AM790" s="41"/>
      <c r="AN790" s="41"/>
      <c r="AO790" s="40"/>
      <c r="AP790" s="40"/>
      <c r="AQ790" s="40"/>
    </row>
    <row r="791">
      <c r="A791" s="40"/>
      <c r="B791" s="42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1"/>
      <c r="AM791" s="41"/>
      <c r="AN791" s="41"/>
      <c r="AO791" s="40"/>
      <c r="AP791" s="40"/>
      <c r="AQ791" s="40"/>
    </row>
    <row r="792">
      <c r="A792" s="40"/>
      <c r="B792" s="42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1"/>
      <c r="AM792" s="41"/>
      <c r="AN792" s="41"/>
      <c r="AO792" s="40"/>
      <c r="AP792" s="40"/>
      <c r="AQ792" s="40"/>
    </row>
    <row r="793">
      <c r="A793" s="40"/>
      <c r="B793" s="42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1"/>
      <c r="AM793" s="41"/>
      <c r="AN793" s="41"/>
      <c r="AO793" s="40"/>
      <c r="AP793" s="40"/>
      <c r="AQ793" s="40"/>
    </row>
    <row r="794">
      <c r="A794" s="40"/>
      <c r="B794" s="42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1"/>
      <c r="AM794" s="41"/>
      <c r="AN794" s="41"/>
      <c r="AO794" s="40"/>
      <c r="AP794" s="40"/>
      <c r="AQ794" s="40"/>
    </row>
    <row r="795">
      <c r="A795" s="40"/>
      <c r="B795" s="42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1"/>
      <c r="AM795" s="41"/>
      <c r="AN795" s="41"/>
      <c r="AO795" s="40"/>
      <c r="AP795" s="40"/>
      <c r="AQ795" s="40"/>
    </row>
    <row r="796">
      <c r="A796" s="40"/>
      <c r="B796" s="42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1"/>
      <c r="AM796" s="41"/>
      <c r="AN796" s="41"/>
      <c r="AO796" s="40"/>
      <c r="AP796" s="40"/>
      <c r="AQ796" s="40"/>
    </row>
    <row r="797">
      <c r="A797" s="40"/>
      <c r="B797" s="42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1"/>
      <c r="AM797" s="41"/>
      <c r="AN797" s="41"/>
      <c r="AO797" s="40"/>
      <c r="AP797" s="40"/>
      <c r="AQ797" s="40"/>
    </row>
    <row r="798">
      <c r="A798" s="40"/>
      <c r="B798" s="42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1"/>
      <c r="AM798" s="41"/>
      <c r="AN798" s="41"/>
      <c r="AO798" s="40"/>
      <c r="AP798" s="40"/>
      <c r="AQ798" s="40"/>
    </row>
    <row r="799">
      <c r="A799" s="40"/>
      <c r="B799" s="42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1"/>
      <c r="AM799" s="41"/>
      <c r="AN799" s="41"/>
      <c r="AO799" s="40"/>
      <c r="AP799" s="40"/>
      <c r="AQ799" s="40"/>
    </row>
    <row r="800">
      <c r="A800" s="40"/>
      <c r="B800" s="42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1"/>
      <c r="AM800" s="41"/>
      <c r="AN800" s="41"/>
      <c r="AO800" s="40"/>
      <c r="AP800" s="40"/>
      <c r="AQ800" s="40"/>
    </row>
    <row r="801">
      <c r="A801" s="40"/>
      <c r="B801" s="42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1"/>
      <c r="AM801" s="41"/>
      <c r="AN801" s="41"/>
      <c r="AO801" s="40"/>
      <c r="AP801" s="40"/>
      <c r="AQ801" s="40"/>
    </row>
    <row r="802">
      <c r="A802" s="40"/>
      <c r="B802" s="42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1"/>
      <c r="AM802" s="41"/>
      <c r="AN802" s="41"/>
      <c r="AO802" s="40"/>
      <c r="AP802" s="40"/>
      <c r="AQ802" s="40"/>
    </row>
    <row r="803">
      <c r="A803" s="40"/>
      <c r="B803" s="42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1"/>
      <c r="AM803" s="41"/>
      <c r="AN803" s="41"/>
      <c r="AO803" s="40"/>
      <c r="AP803" s="40"/>
      <c r="AQ803" s="40"/>
    </row>
    <row r="804">
      <c r="A804" s="40"/>
      <c r="B804" s="42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1"/>
      <c r="AM804" s="41"/>
      <c r="AN804" s="41"/>
      <c r="AO804" s="40"/>
      <c r="AP804" s="40"/>
      <c r="AQ804" s="40"/>
    </row>
    <row r="805">
      <c r="A805" s="40"/>
      <c r="B805" s="42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1"/>
      <c r="AM805" s="41"/>
      <c r="AN805" s="41"/>
      <c r="AO805" s="40"/>
      <c r="AP805" s="40"/>
      <c r="AQ805" s="40"/>
    </row>
    <row r="806">
      <c r="A806" s="40"/>
      <c r="B806" s="42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1"/>
      <c r="AM806" s="41"/>
      <c r="AN806" s="41"/>
      <c r="AO806" s="40"/>
      <c r="AP806" s="40"/>
      <c r="AQ806" s="40"/>
    </row>
    <row r="807">
      <c r="A807" s="40"/>
      <c r="B807" s="42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1"/>
      <c r="AM807" s="41"/>
      <c r="AN807" s="41"/>
      <c r="AO807" s="40"/>
      <c r="AP807" s="40"/>
      <c r="AQ807" s="40"/>
    </row>
    <row r="808">
      <c r="A808" s="40"/>
      <c r="B808" s="42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1"/>
      <c r="AM808" s="41"/>
      <c r="AN808" s="41"/>
      <c r="AO808" s="40"/>
      <c r="AP808" s="40"/>
      <c r="AQ808" s="40"/>
    </row>
    <row r="809">
      <c r="A809" s="40"/>
      <c r="B809" s="42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1"/>
      <c r="AM809" s="41"/>
      <c r="AN809" s="41"/>
      <c r="AO809" s="40"/>
      <c r="AP809" s="40"/>
      <c r="AQ809" s="40"/>
    </row>
    <row r="810">
      <c r="A810" s="40"/>
      <c r="B810" s="42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1"/>
      <c r="AM810" s="41"/>
      <c r="AN810" s="41"/>
      <c r="AO810" s="40"/>
      <c r="AP810" s="40"/>
      <c r="AQ810" s="40"/>
    </row>
    <row r="811">
      <c r="A811" s="40"/>
      <c r="B811" s="42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1"/>
      <c r="AM811" s="41"/>
      <c r="AN811" s="41"/>
      <c r="AO811" s="40"/>
      <c r="AP811" s="40"/>
      <c r="AQ811" s="40"/>
    </row>
    <row r="812">
      <c r="A812" s="40"/>
      <c r="B812" s="42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1"/>
      <c r="AM812" s="41"/>
      <c r="AN812" s="41"/>
      <c r="AO812" s="40"/>
      <c r="AP812" s="40"/>
      <c r="AQ812" s="40"/>
    </row>
    <row r="813">
      <c r="A813" s="40"/>
      <c r="B813" s="42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1"/>
      <c r="AM813" s="41"/>
      <c r="AN813" s="41"/>
      <c r="AO813" s="40"/>
      <c r="AP813" s="40"/>
      <c r="AQ813" s="40"/>
    </row>
    <row r="814">
      <c r="A814" s="40"/>
      <c r="B814" s="42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1"/>
      <c r="AM814" s="41"/>
      <c r="AN814" s="41"/>
      <c r="AO814" s="40"/>
      <c r="AP814" s="40"/>
      <c r="AQ814" s="40"/>
    </row>
    <row r="815">
      <c r="A815" s="40"/>
      <c r="B815" s="42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1"/>
      <c r="AM815" s="41"/>
      <c r="AN815" s="41"/>
      <c r="AO815" s="40"/>
      <c r="AP815" s="40"/>
      <c r="AQ815" s="40"/>
    </row>
    <row r="816">
      <c r="A816" s="40"/>
      <c r="B816" s="42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1"/>
      <c r="AM816" s="41"/>
      <c r="AN816" s="41"/>
      <c r="AO816" s="40"/>
      <c r="AP816" s="40"/>
      <c r="AQ816" s="40"/>
    </row>
    <row r="817">
      <c r="A817" s="40"/>
      <c r="B817" s="42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1"/>
      <c r="AM817" s="41"/>
      <c r="AN817" s="41"/>
      <c r="AO817" s="40"/>
      <c r="AP817" s="40"/>
      <c r="AQ817" s="40"/>
    </row>
    <row r="818">
      <c r="A818" s="40"/>
      <c r="B818" s="42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1"/>
      <c r="AM818" s="41"/>
      <c r="AN818" s="41"/>
      <c r="AO818" s="40"/>
      <c r="AP818" s="40"/>
      <c r="AQ818" s="40"/>
    </row>
    <row r="819">
      <c r="A819" s="40"/>
      <c r="B819" s="42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1"/>
      <c r="AM819" s="41"/>
      <c r="AN819" s="41"/>
      <c r="AO819" s="40"/>
      <c r="AP819" s="40"/>
      <c r="AQ819" s="40"/>
    </row>
    <row r="820">
      <c r="A820" s="40"/>
      <c r="B820" s="42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1"/>
      <c r="AM820" s="41"/>
      <c r="AN820" s="41"/>
      <c r="AO820" s="40"/>
      <c r="AP820" s="40"/>
      <c r="AQ820" s="40"/>
    </row>
    <row r="821">
      <c r="A821" s="40"/>
      <c r="B821" s="42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1"/>
      <c r="AM821" s="41"/>
      <c r="AN821" s="41"/>
      <c r="AO821" s="40"/>
      <c r="AP821" s="40"/>
      <c r="AQ821" s="40"/>
    </row>
    <row r="822">
      <c r="A822" s="40"/>
      <c r="B822" s="42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1"/>
      <c r="AM822" s="41"/>
      <c r="AN822" s="41"/>
      <c r="AO822" s="40"/>
      <c r="AP822" s="40"/>
      <c r="AQ822" s="40"/>
    </row>
    <row r="823">
      <c r="A823" s="40"/>
      <c r="B823" s="42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1"/>
      <c r="AM823" s="41"/>
      <c r="AN823" s="41"/>
      <c r="AO823" s="40"/>
      <c r="AP823" s="40"/>
      <c r="AQ823" s="40"/>
    </row>
    <row r="824">
      <c r="A824" s="40"/>
      <c r="B824" s="42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1"/>
      <c r="AM824" s="41"/>
      <c r="AN824" s="41"/>
      <c r="AO824" s="40"/>
      <c r="AP824" s="40"/>
      <c r="AQ824" s="40"/>
    </row>
    <row r="825">
      <c r="A825" s="40"/>
      <c r="B825" s="42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1"/>
      <c r="AM825" s="41"/>
      <c r="AN825" s="41"/>
      <c r="AO825" s="40"/>
      <c r="AP825" s="40"/>
      <c r="AQ825" s="40"/>
    </row>
    <row r="826">
      <c r="A826" s="40"/>
      <c r="B826" s="42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1"/>
      <c r="AM826" s="41"/>
      <c r="AN826" s="41"/>
      <c r="AO826" s="40"/>
      <c r="AP826" s="40"/>
      <c r="AQ826" s="40"/>
    </row>
    <row r="827">
      <c r="A827" s="40"/>
      <c r="B827" s="42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1"/>
      <c r="AM827" s="41"/>
      <c r="AN827" s="41"/>
      <c r="AO827" s="40"/>
      <c r="AP827" s="40"/>
      <c r="AQ827" s="40"/>
    </row>
    <row r="828">
      <c r="A828" s="40"/>
      <c r="B828" s="42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1"/>
      <c r="AM828" s="41"/>
      <c r="AN828" s="41"/>
      <c r="AO828" s="40"/>
      <c r="AP828" s="40"/>
      <c r="AQ828" s="40"/>
    </row>
    <row r="829">
      <c r="A829" s="40"/>
      <c r="B829" s="42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1"/>
      <c r="AM829" s="41"/>
      <c r="AN829" s="41"/>
      <c r="AO829" s="40"/>
      <c r="AP829" s="40"/>
      <c r="AQ829" s="40"/>
    </row>
    <row r="830">
      <c r="A830" s="40"/>
      <c r="B830" s="42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1"/>
      <c r="AM830" s="41"/>
      <c r="AN830" s="41"/>
      <c r="AO830" s="40"/>
      <c r="AP830" s="40"/>
      <c r="AQ830" s="40"/>
    </row>
    <row r="831">
      <c r="A831" s="40"/>
      <c r="B831" s="42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1"/>
      <c r="AM831" s="41"/>
      <c r="AN831" s="41"/>
      <c r="AO831" s="40"/>
      <c r="AP831" s="40"/>
      <c r="AQ831" s="40"/>
    </row>
    <row r="832">
      <c r="A832" s="40"/>
      <c r="B832" s="42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1"/>
      <c r="AM832" s="41"/>
      <c r="AN832" s="41"/>
      <c r="AO832" s="40"/>
      <c r="AP832" s="40"/>
      <c r="AQ832" s="40"/>
    </row>
    <row r="833">
      <c r="A833" s="40"/>
      <c r="B833" s="42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1"/>
      <c r="AM833" s="41"/>
      <c r="AN833" s="41"/>
      <c r="AO833" s="40"/>
      <c r="AP833" s="40"/>
      <c r="AQ833" s="40"/>
    </row>
    <row r="834">
      <c r="A834" s="40"/>
      <c r="B834" s="42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1"/>
      <c r="AM834" s="41"/>
      <c r="AN834" s="41"/>
      <c r="AO834" s="40"/>
      <c r="AP834" s="40"/>
      <c r="AQ834" s="40"/>
    </row>
    <row r="835">
      <c r="A835" s="40"/>
      <c r="B835" s="42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1"/>
      <c r="AM835" s="41"/>
      <c r="AN835" s="41"/>
      <c r="AO835" s="40"/>
      <c r="AP835" s="40"/>
      <c r="AQ835" s="40"/>
    </row>
    <row r="836">
      <c r="A836" s="40"/>
      <c r="B836" s="42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1"/>
      <c r="AM836" s="41"/>
      <c r="AN836" s="41"/>
      <c r="AO836" s="40"/>
      <c r="AP836" s="40"/>
      <c r="AQ836" s="40"/>
    </row>
    <row r="837">
      <c r="A837" s="40"/>
      <c r="B837" s="42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1"/>
      <c r="AM837" s="41"/>
      <c r="AN837" s="41"/>
      <c r="AO837" s="40"/>
      <c r="AP837" s="40"/>
      <c r="AQ837" s="40"/>
    </row>
    <row r="838">
      <c r="A838" s="40"/>
      <c r="B838" s="42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1"/>
      <c r="AM838" s="41"/>
      <c r="AN838" s="41"/>
      <c r="AO838" s="40"/>
      <c r="AP838" s="40"/>
      <c r="AQ838" s="40"/>
    </row>
    <row r="839">
      <c r="A839" s="40"/>
      <c r="B839" s="42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1"/>
      <c r="AM839" s="41"/>
      <c r="AN839" s="41"/>
      <c r="AO839" s="40"/>
      <c r="AP839" s="40"/>
      <c r="AQ839" s="40"/>
    </row>
    <row r="840">
      <c r="A840" s="40"/>
      <c r="B840" s="42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1"/>
      <c r="AM840" s="41"/>
      <c r="AN840" s="41"/>
      <c r="AO840" s="40"/>
      <c r="AP840" s="40"/>
      <c r="AQ840" s="40"/>
    </row>
    <row r="841">
      <c r="A841" s="40"/>
      <c r="B841" s="42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1"/>
      <c r="AM841" s="41"/>
      <c r="AN841" s="41"/>
      <c r="AO841" s="40"/>
      <c r="AP841" s="40"/>
      <c r="AQ841" s="40"/>
    </row>
    <row r="842">
      <c r="A842" s="40"/>
      <c r="B842" s="42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1"/>
      <c r="AM842" s="41"/>
      <c r="AN842" s="41"/>
      <c r="AO842" s="40"/>
      <c r="AP842" s="40"/>
      <c r="AQ842" s="40"/>
    </row>
    <row r="843">
      <c r="A843" s="40"/>
      <c r="B843" s="42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1"/>
      <c r="AM843" s="41"/>
      <c r="AN843" s="41"/>
      <c r="AO843" s="40"/>
      <c r="AP843" s="40"/>
      <c r="AQ843" s="40"/>
    </row>
    <row r="844">
      <c r="A844" s="40"/>
      <c r="B844" s="42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1"/>
      <c r="AM844" s="41"/>
      <c r="AN844" s="41"/>
      <c r="AO844" s="40"/>
      <c r="AP844" s="40"/>
      <c r="AQ844" s="40"/>
    </row>
    <row r="845">
      <c r="A845" s="40"/>
      <c r="B845" s="42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1"/>
      <c r="AM845" s="41"/>
      <c r="AN845" s="41"/>
      <c r="AO845" s="40"/>
      <c r="AP845" s="40"/>
      <c r="AQ845" s="40"/>
    </row>
    <row r="846">
      <c r="A846" s="40"/>
      <c r="B846" s="42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1"/>
      <c r="AM846" s="41"/>
      <c r="AN846" s="41"/>
      <c r="AO846" s="40"/>
      <c r="AP846" s="40"/>
      <c r="AQ846" s="40"/>
    </row>
    <row r="847">
      <c r="A847" s="40"/>
      <c r="B847" s="42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1"/>
      <c r="AM847" s="41"/>
      <c r="AN847" s="41"/>
      <c r="AO847" s="40"/>
      <c r="AP847" s="40"/>
      <c r="AQ847" s="40"/>
    </row>
    <row r="848">
      <c r="A848" s="40"/>
      <c r="B848" s="42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1"/>
      <c r="AM848" s="41"/>
      <c r="AN848" s="41"/>
      <c r="AO848" s="40"/>
      <c r="AP848" s="40"/>
      <c r="AQ848" s="40"/>
    </row>
    <row r="849">
      <c r="A849" s="40"/>
      <c r="B849" s="42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1"/>
      <c r="AM849" s="41"/>
      <c r="AN849" s="41"/>
      <c r="AO849" s="40"/>
      <c r="AP849" s="40"/>
      <c r="AQ849" s="40"/>
    </row>
    <row r="850">
      <c r="A850" s="40"/>
      <c r="B850" s="42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1"/>
      <c r="AM850" s="41"/>
      <c r="AN850" s="41"/>
      <c r="AO850" s="40"/>
      <c r="AP850" s="40"/>
      <c r="AQ850" s="40"/>
    </row>
    <row r="851">
      <c r="A851" s="40"/>
      <c r="B851" s="42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1"/>
      <c r="AM851" s="41"/>
      <c r="AN851" s="41"/>
      <c r="AO851" s="40"/>
      <c r="AP851" s="40"/>
      <c r="AQ851" s="40"/>
    </row>
    <row r="852">
      <c r="A852" s="40"/>
      <c r="B852" s="42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1"/>
      <c r="AM852" s="41"/>
      <c r="AN852" s="41"/>
      <c r="AO852" s="40"/>
      <c r="AP852" s="40"/>
      <c r="AQ852" s="40"/>
    </row>
    <row r="853">
      <c r="A853" s="40"/>
      <c r="B853" s="42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1"/>
      <c r="AM853" s="41"/>
      <c r="AN853" s="41"/>
      <c r="AO853" s="40"/>
      <c r="AP853" s="40"/>
      <c r="AQ853" s="40"/>
    </row>
    <row r="854">
      <c r="A854" s="40"/>
      <c r="B854" s="42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1"/>
      <c r="AM854" s="41"/>
      <c r="AN854" s="41"/>
      <c r="AO854" s="40"/>
      <c r="AP854" s="40"/>
      <c r="AQ854" s="40"/>
    </row>
    <row r="855">
      <c r="A855" s="40"/>
      <c r="B855" s="42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1"/>
      <c r="AM855" s="41"/>
      <c r="AN855" s="41"/>
      <c r="AO855" s="40"/>
      <c r="AP855" s="40"/>
      <c r="AQ855" s="40"/>
    </row>
    <row r="856">
      <c r="A856" s="40"/>
      <c r="B856" s="42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1"/>
      <c r="AM856" s="41"/>
      <c r="AN856" s="41"/>
      <c r="AO856" s="40"/>
      <c r="AP856" s="40"/>
      <c r="AQ856" s="40"/>
    </row>
    <row r="857">
      <c r="A857" s="40"/>
      <c r="B857" s="42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1"/>
      <c r="AM857" s="41"/>
      <c r="AN857" s="41"/>
      <c r="AO857" s="40"/>
      <c r="AP857" s="40"/>
      <c r="AQ857" s="40"/>
    </row>
    <row r="858">
      <c r="A858" s="40"/>
      <c r="B858" s="42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1"/>
      <c r="AM858" s="41"/>
      <c r="AN858" s="41"/>
      <c r="AO858" s="40"/>
      <c r="AP858" s="40"/>
      <c r="AQ858" s="40"/>
    </row>
    <row r="859">
      <c r="A859" s="40"/>
      <c r="B859" s="42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1"/>
      <c r="AM859" s="41"/>
      <c r="AN859" s="41"/>
      <c r="AO859" s="40"/>
      <c r="AP859" s="40"/>
      <c r="AQ859" s="40"/>
    </row>
    <row r="860">
      <c r="A860" s="40"/>
      <c r="B860" s="42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1"/>
      <c r="AM860" s="41"/>
      <c r="AN860" s="41"/>
      <c r="AO860" s="40"/>
      <c r="AP860" s="40"/>
      <c r="AQ860" s="40"/>
    </row>
    <row r="861">
      <c r="A861" s="40"/>
      <c r="B861" s="42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1"/>
      <c r="AM861" s="41"/>
      <c r="AN861" s="41"/>
      <c r="AO861" s="40"/>
      <c r="AP861" s="40"/>
      <c r="AQ861" s="40"/>
    </row>
    <row r="862">
      <c r="A862" s="40"/>
      <c r="B862" s="42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1"/>
      <c r="AM862" s="41"/>
      <c r="AN862" s="41"/>
      <c r="AO862" s="40"/>
      <c r="AP862" s="40"/>
      <c r="AQ862" s="40"/>
    </row>
    <row r="863">
      <c r="A863" s="40"/>
      <c r="B863" s="42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1"/>
      <c r="AM863" s="41"/>
      <c r="AN863" s="41"/>
      <c r="AO863" s="40"/>
      <c r="AP863" s="40"/>
      <c r="AQ863" s="40"/>
    </row>
    <row r="864">
      <c r="A864" s="40"/>
      <c r="B864" s="42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1"/>
      <c r="AM864" s="41"/>
      <c r="AN864" s="41"/>
      <c r="AO864" s="40"/>
      <c r="AP864" s="40"/>
      <c r="AQ864" s="40"/>
    </row>
    <row r="865">
      <c r="A865" s="40"/>
      <c r="B865" s="42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1"/>
      <c r="AM865" s="41"/>
      <c r="AN865" s="41"/>
      <c r="AO865" s="40"/>
      <c r="AP865" s="40"/>
      <c r="AQ865" s="40"/>
    </row>
    <row r="866">
      <c r="A866" s="40"/>
      <c r="B866" s="42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1"/>
      <c r="AM866" s="41"/>
      <c r="AN866" s="41"/>
      <c r="AO866" s="40"/>
      <c r="AP866" s="40"/>
      <c r="AQ866" s="40"/>
    </row>
    <row r="867">
      <c r="A867" s="40"/>
      <c r="B867" s="42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1"/>
      <c r="AM867" s="41"/>
      <c r="AN867" s="41"/>
      <c r="AO867" s="40"/>
      <c r="AP867" s="40"/>
      <c r="AQ867" s="40"/>
    </row>
    <row r="868">
      <c r="A868" s="40"/>
      <c r="B868" s="42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1"/>
      <c r="AM868" s="41"/>
      <c r="AN868" s="41"/>
      <c r="AO868" s="40"/>
      <c r="AP868" s="40"/>
      <c r="AQ868" s="40"/>
    </row>
    <row r="869">
      <c r="A869" s="40"/>
      <c r="B869" s="42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1"/>
      <c r="AM869" s="41"/>
      <c r="AN869" s="41"/>
      <c r="AO869" s="40"/>
      <c r="AP869" s="40"/>
      <c r="AQ869" s="40"/>
    </row>
    <row r="870">
      <c r="A870" s="40"/>
      <c r="B870" s="42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1"/>
      <c r="AM870" s="41"/>
      <c r="AN870" s="41"/>
      <c r="AO870" s="40"/>
      <c r="AP870" s="40"/>
      <c r="AQ870" s="40"/>
    </row>
    <row r="871">
      <c r="A871" s="40"/>
      <c r="B871" s="42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1"/>
      <c r="AM871" s="41"/>
      <c r="AN871" s="41"/>
      <c r="AO871" s="40"/>
      <c r="AP871" s="40"/>
      <c r="AQ871" s="40"/>
    </row>
    <row r="872">
      <c r="A872" s="40"/>
      <c r="B872" s="42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1"/>
      <c r="AM872" s="41"/>
      <c r="AN872" s="41"/>
      <c r="AO872" s="40"/>
      <c r="AP872" s="40"/>
      <c r="AQ872" s="40"/>
    </row>
    <row r="873">
      <c r="A873" s="40"/>
      <c r="B873" s="42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1"/>
      <c r="AM873" s="41"/>
      <c r="AN873" s="41"/>
      <c r="AO873" s="40"/>
      <c r="AP873" s="40"/>
      <c r="AQ873" s="40"/>
    </row>
    <row r="874">
      <c r="A874" s="40"/>
      <c r="B874" s="42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1"/>
      <c r="AM874" s="41"/>
      <c r="AN874" s="41"/>
      <c r="AO874" s="40"/>
      <c r="AP874" s="40"/>
      <c r="AQ874" s="40"/>
    </row>
    <row r="875">
      <c r="A875" s="40"/>
      <c r="B875" s="42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1"/>
      <c r="AM875" s="41"/>
      <c r="AN875" s="41"/>
      <c r="AO875" s="40"/>
      <c r="AP875" s="40"/>
      <c r="AQ875" s="40"/>
    </row>
    <row r="876">
      <c r="A876" s="40"/>
      <c r="B876" s="42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1"/>
      <c r="AM876" s="41"/>
      <c r="AN876" s="41"/>
      <c r="AO876" s="40"/>
      <c r="AP876" s="40"/>
      <c r="AQ876" s="40"/>
    </row>
    <row r="877">
      <c r="A877" s="40"/>
      <c r="B877" s="42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1"/>
      <c r="AM877" s="41"/>
      <c r="AN877" s="41"/>
      <c r="AO877" s="40"/>
      <c r="AP877" s="40"/>
      <c r="AQ877" s="40"/>
    </row>
    <row r="878">
      <c r="A878" s="40"/>
      <c r="B878" s="42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1"/>
      <c r="AM878" s="41"/>
      <c r="AN878" s="41"/>
      <c r="AO878" s="40"/>
      <c r="AP878" s="40"/>
      <c r="AQ878" s="40"/>
    </row>
    <row r="879">
      <c r="A879" s="40"/>
      <c r="B879" s="42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1"/>
      <c r="AM879" s="41"/>
      <c r="AN879" s="41"/>
      <c r="AO879" s="40"/>
      <c r="AP879" s="40"/>
      <c r="AQ879" s="40"/>
    </row>
    <row r="880">
      <c r="A880" s="40"/>
      <c r="B880" s="42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1"/>
      <c r="AM880" s="41"/>
      <c r="AN880" s="41"/>
      <c r="AO880" s="40"/>
      <c r="AP880" s="40"/>
      <c r="AQ880" s="40"/>
    </row>
    <row r="881">
      <c r="A881" s="40"/>
      <c r="B881" s="42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1"/>
      <c r="AM881" s="41"/>
      <c r="AN881" s="41"/>
      <c r="AO881" s="40"/>
      <c r="AP881" s="40"/>
      <c r="AQ881" s="40"/>
    </row>
    <row r="882">
      <c r="A882" s="40"/>
      <c r="B882" s="42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1"/>
      <c r="AM882" s="41"/>
      <c r="AN882" s="41"/>
      <c r="AO882" s="40"/>
      <c r="AP882" s="40"/>
      <c r="AQ882" s="40"/>
    </row>
    <row r="883">
      <c r="A883" s="40"/>
      <c r="B883" s="42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1"/>
      <c r="AM883" s="41"/>
      <c r="AN883" s="41"/>
      <c r="AO883" s="40"/>
      <c r="AP883" s="40"/>
      <c r="AQ883" s="40"/>
    </row>
    <row r="884">
      <c r="A884" s="40"/>
      <c r="B884" s="42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1"/>
      <c r="AM884" s="41"/>
      <c r="AN884" s="41"/>
      <c r="AO884" s="40"/>
      <c r="AP884" s="40"/>
      <c r="AQ884" s="40"/>
    </row>
    <row r="885">
      <c r="A885" s="40"/>
      <c r="B885" s="42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1"/>
      <c r="AM885" s="41"/>
      <c r="AN885" s="41"/>
      <c r="AO885" s="40"/>
      <c r="AP885" s="40"/>
      <c r="AQ885" s="40"/>
    </row>
    <row r="886">
      <c r="A886" s="40"/>
      <c r="B886" s="42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1"/>
      <c r="AM886" s="41"/>
      <c r="AN886" s="41"/>
      <c r="AO886" s="40"/>
      <c r="AP886" s="40"/>
      <c r="AQ886" s="40"/>
    </row>
    <row r="887">
      <c r="A887" s="40"/>
      <c r="B887" s="42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1"/>
      <c r="AM887" s="41"/>
      <c r="AN887" s="41"/>
      <c r="AO887" s="40"/>
      <c r="AP887" s="40"/>
      <c r="AQ887" s="40"/>
    </row>
    <row r="888">
      <c r="A888" s="40"/>
      <c r="B888" s="42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1"/>
      <c r="AM888" s="41"/>
      <c r="AN888" s="41"/>
      <c r="AO888" s="40"/>
      <c r="AP888" s="40"/>
      <c r="AQ888" s="40"/>
    </row>
    <row r="889">
      <c r="A889" s="40"/>
      <c r="B889" s="42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1"/>
      <c r="AM889" s="41"/>
      <c r="AN889" s="41"/>
      <c r="AO889" s="40"/>
      <c r="AP889" s="40"/>
      <c r="AQ889" s="40"/>
    </row>
    <row r="890">
      <c r="A890" s="40"/>
      <c r="B890" s="42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1"/>
      <c r="AM890" s="41"/>
      <c r="AN890" s="41"/>
      <c r="AO890" s="40"/>
      <c r="AP890" s="40"/>
      <c r="AQ890" s="40"/>
    </row>
    <row r="891">
      <c r="A891" s="40"/>
      <c r="B891" s="42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1"/>
      <c r="AM891" s="41"/>
      <c r="AN891" s="41"/>
      <c r="AO891" s="40"/>
      <c r="AP891" s="40"/>
      <c r="AQ891" s="40"/>
    </row>
    <row r="892">
      <c r="A892" s="40"/>
      <c r="B892" s="42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1"/>
      <c r="AM892" s="41"/>
      <c r="AN892" s="41"/>
      <c r="AO892" s="40"/>
      <c r="AP892" s="40"/>
      <c r="AQ892" s="40"/>
    </row>
    <row r="893">
      <c r="A893" s="40"/>
      <c r="B893" s="42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1"/>
      <c r="AM893" s="41"/>
      <c r="AN893" s="41"/>
      <c r="AO893" s="40"/>
      <c r="AP893" s="40"/>
      <c r="AQ893" s="40"/>
    </row>
    <row r="894">
      <c r="A894" s="40"/>
      <c r="B894" s="42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1"/>
      <c r="AM894" s="41"/>
      <c r="AN894" s="41"/>
      <c r="AO894" s="40"/>
      <c r="AP894" s="40"/>
      <c r="AQ894" s="40"/>
    </row>
    <row r="895">
      <c r="A895" s="40"/>
      <c r="B895" s="42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1"/>
      <c r="AM895" s="41"/>
      <c r="AN895" s="41"/>
      <c r="AO895" s="40"/>
      <c r="AP895" s="40"/>
      <c r="AQ895" s="40"/>
    </row>
    <row r="896">
      <c r="A896" s="40"/>
      <c r="B896" s="42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1"/>
      <c r="AM896" s="41"/>
      <c r="AN896" s="41"/>
      <c r="AO896" s="40"/>
      <c r="AP896" s="40"/>
      <c r="AQ896" s="40"/>
    </row>
    <row r="897">
      <c r="A897" s="40"/>
      <c r="B897" s="42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1"/>
      <c r="AM897" s="41"/>
      <c r="AN897" s="41"/>
      <c r="AO897" s="40"/>
      <c r="AP897" s="40"/>
      <c r="AQ897" s="40"/>
    </row>
    <row r="898">
      <c r="A898" s="40"/>
      <c r="B898" s="42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1"/>
      <c r="AM898" s="41"/>
      <c r="AN898" s="41"/>
      <c r="AO898" s="40"/>
      <c r="AP898" s="40"/>
      <c r="AQ898" s="40"/>
    </row>
    <row r="899">
      <c r="A899" s="40"/>
      <c r="B899" s="42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1"/>
      <c r="AM899" s="41"/>
      <c r="AN899" s="41"/>
      <c r="AO899" s="40"/>
      <c r="AP899" s="40"/>
      <c r="AQ899" s="40"/>
    </row>
    <row r="900">
      <c r="A900" s="40"/>
      <c r="B900" s="42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1"/>
      <c r="AM900" s="41"/>
      <c r="AN900" s="41"/>
      <c r="AO900" s="40"/>
      <c r="AP900" s="40"/>
      <c r="AQ900" s="40"/>
    </row>
    <row r="901">
      <c r="A901" s="40"/>
      <c r="B901" s="42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1"/>
      <c r="AM901" s="41"/>
      <c r="AN901" s="41"/>
      <c r="AO901" s="40"/>
      <c r="AP901" s="40"/>
      <c r="AQ901" s="40"/>
    </row>
    <row r="902">
      <c r="A902" s="40"/>
      <c r="B902" s="42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1"/>
      <c r="AM902" s="41"/>
      <c r="AN902" s="41"/>
      <c r="AO902" s="40"/>
      <c r="AP902" s="40"/>
      <c r="AQ902" s="40"/>
    </row>
    <row r="903">
      <c r="A903" s="40"/>
      <c r="B903" s="42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1"/>
      <c r="AM903" s="41"/>
      <c r="AN903" s="41"/>
      <c r="AO903" s="40"/>
      <c r="AP903" s="40"/>
      <c r="AQ903" s="40"/>
    </row>
    <row r="904">
      <c r="A904" s="40"/>
      <c r="B904" s="42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1"/>
      <c r="AM904" s="41"/>
      <c r="AN904" s="41"/>
      <c r="AO904" s="40"/>
      <c r="AP904" s="40"/>
      <c r="AQ904" s="40"/>
    </row>
    <row r="905">
      <c r="A905" s="40"/>
      <c r="B905" s="42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1"/>
      <c r="AM905" s="41"/>
      <c r="AN905" s="41"/>
      <c r="AO905" s="40"/>
      <c r="AP905" s="40"/>
      <c r="AQ905" s="40"/>
    </row>
    <row r="906">
      <c r="A906" s="40"/>
      <c r="B906" s="42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1"/>
      <c r="AM906" s="41"/>
      <c r="AN906" s="41"/>
      <c r="AO906" s="40"/>
      <c r="AP906" s="40"/>
      <c r="AQ906" s="40"/>
    </row>
    <row r="907">
      <c r="A907" s="40"/>
      <c r="B907" s="42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1"/>
      <c r="AM907" s="41"/>
      <c r="AN907" s="41"/>
      <c r="AO907" s="40"/>
      <c r="AP907" s="40"/>
      <c r="AQ907" s="40"/>
    </row>
    <row r="908">
      <c r="A908" s="40"/>
      <c r="B908" s="42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1"/>
      <c r="AM908" s="41"/>
      <c r="AN908" s="41"/>
      <c r="AO908" s="40"/>
      <c r="AP908" s="40"/>
      <c r="AQ908" s="40"/>
    </row>
    <row r="909">
      <c r="A909" s="40"/>
      <c r="B909" s="42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1"/>
      <c r="AM909" s="41"/>
      <c r="AN909" s="41"/>
      <c r="AO909" s="40"/>
      <c r="AP909" s="40"/>
      <c r="AQ909" s="40"/>
    </row>
    <row r="910">
      <c r="A910" s="40"/>
      <c r="B910" s="42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1"/>
      <c r="AM910" s="41"/>
      <c r="AN910" s="41"/>
      <c r="AO910" s="40"/>
      <c r="AP910" s="40"/>
      <c r="AQ910" s="40"/>
    </row>
    <row r="911">
      <c r="A911" s="40"/>
      <c r="B911" s="42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1"/>
      <c r="AM911" s="41"/>
      <c r="AN911" s="41"/>
      <c r="AO911" s="40"/>
      <c r="AP911" s="40"/>
      <c r="AQ911" s="40"/>
    </row>
    <row r="912">
      <c r="A912" s="40"/>
      <c r="B912" s="42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1"/>
      <c r="AM912" s="41"/>
      <c r="AN912" s="41"/>
      <c r="AO912" s="40"/>
      <c r="AP912" s="40"/>
      <c r="AQ912" s="40"/>
    </row>
    <row r="913">
      <c r="A913" s="40"/>
      <c r="B913" s="42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1"/>
      <c r="AM913" s="41"/>
      <c r="AN913" s="41"/>
      <c r="AO913" s="40"/>
      <c r="AP913" s="40"/>
      <c r="AQ913" s="40"/>
    </row>
    <row r="914">
      <c r="A914" s="40"/>
      <c r="B914" s="42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1"/>
      <c r="AM914" s="41"/>
      <c r="AN914" s="41"/>
      <c r="AO914" s="40"/>
      <c r="AP914" s="40"/>
      <c r="AQ914" s="40"/>
    </row>
    <row r="915">
      <c r="A915" s="40"/>
      <c r="B915" s="42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1"/>
      <c r="AM915" s="41"/>
      <c r="AN915" s="41"/>
      <c r="AO915" s="40"/>
      <c r="AP915" s="40"/>
      <c r="AQ915" s="40"/>
    </row>
    <row r="916">
      <c r="A916" s="40"/>
      <c r="B916" s="42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1"/>
      <c r="AM916" s="41"/>
      <c r="AN916" s="41"/>
      <c r="AO916" s="40"/>
      <c r="AP916" s="40"/>
      <c r="AQ916" s="40"/>
    </row>
    <row r="917">
      <c r="A917" s="40"/>
      <c r="B917" s="42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1"/>
      <c r="AM917" s="41"/>
      <c r="AN917" s="41"/>
      <c r="AO917" s="40"/>
      <c r="AP917" s="40"/>
      <c r="AQ917" s="40"/>
    </row>
    <row r="918">
      <c r="A918" s="40"/>
      <c r="B918" s="42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1"/>
      <c r="AM918" s="41"/>
      <c r="AN918" s="41"/>
      <c r="AO918" s="40"/>
      <c r="AP918" s="40"/>
      <c r="AQ918" s="40"/>
    </row>
    <row r="919">
      <c r="A919" s="40"/>
      <c r="B919" s="42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1"/>
      <c r="AM919" s="41"/>
      <c r="AN919" s="41"/>
      <c r="AO919" s="40"/>
      <c r="AP919" s="40"/>
      <c r="AQ919" s="40"/>
    </row>
    <row r="920">
      <c r="A920" s="40"/>
      <c r="B920" s="42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1"/>
      <c r="AM920" s="41"/>
      <c r="AN920" s="41"/>
      <c r="AO920" s="40"/>
      <c r="AP920" s="40"/>
      <c r="AQ920" s="40"/>
    </row>
    <row r="921">
      <c r="A921" s="40"/>
      <c r="B921" s="42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1"/>
      <c r="AM921" s="41"/>
      <c r="AN921" s="41"/>
      <c r="AO921" s="40"/>
      <c r="AP921" s="40"/>
      <c r="AQ921" s="40"/>
    </row>
    <row r="922">
      <c r="A922" s="40"/>
      <c r="B922" s="42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1"/>
      <c r="AM922" s="41"/>
      <c r="AN922" s="41"/>
      <c r="AO922" s="40"/>
      <c r="AP922" s="40"/>
      <c r="AQ922" s="40"/>
    </row>
    <row r="923">
      <c r="A923" s="40"/>
      <c r="B923" s="42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1"/>
      <c r="AM923" s="41"/>
      <c r="AN923" s="41"/>
      <c r="AO923" s="40"/>
      <c r="AP923" s="40"/>
      <c r="AQ923" s="40"/>
    </row>
    <row r="924">
      <c r="A924" s="40"/>
      <c r="B924" s="42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1"/>
      <c r="AM924" s="41"/>
      <c r="AN924" s="41"/>
      <c r="AO924" s="40"/>
      <c r="AP924" s="40"/>
      <c r="AQ924" s="40"/>
    </row>
    <row r="925">
      <c r="A925" s="40"/>
      <c r="B925" s="42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1"/>
      <c r="AM925" s="41"/>
      <c r="AN925" s="41"/>
      <c r="AO925" s="40"/>
      <c r="AP925" s="40"/>
      <c r="AQ925" s="40"/>
    </row>
    <row r="926">
      <c r="A926" s="40"/>
      <c r="B926" s="42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1"/>
      <c r="AM926" s="41"/>
      <c r="AN926" s="41"/>
      <c r="AO926" s="40"/>
      <c r="AP926" s="40"/>
      <c r="AQ926" s="40"/>
    </row>
    <row r="927">
      <c r="A927" s="40"/>
      <c r="B927" s="42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1"/>
      <c r="AM927" s="41"/>
      <c r="AN927" s="41"/>
      <c r="AO927" s="40"/>
      <c r="AP927" s="40"/>
      <c r="AQ927" s="40"/>
    </row>
    <row r="928">
      <c r="A928" s="40"/>
      <c r="B928" s="42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1"/>
      <c r="AM928" s="41"/>
      <c r="AN928" s="41"/>
      <c r="AO928" s="40"/>
      <c r="AP928" s="40"/>
      <c r="AQ928" s="40"/>
    </row>
    <row r="929">
      <c r="A929" s="40"/>
      <c r="B929" s="42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1"/>
      <c r="AM929" s="41"/>
      <c r="AN929" s="41"/>
      <c r="AO929" s="40"/>
      <c r="AP929" s="40"/>
      <c r="AQ929" s="40"/>
    </row>
    <row r="930">
      <c r="A930" s="40"/>
      <c r="B930" s="42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1"/>
      <c r="AM930" s="41"/>
      <c r="AN930" s="41"/>
      <c r="AO930" s="40"/>
      <c r="AP930" s="40"/>
      <c r="AQ930" s="40"/>
    </row>
    <row r="931">
      <c r="A931" s="40"/>
      <c r="B931" s="42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1"/>
      <c r="AM931" s="41"/>
      <c r="AN931" s="41"/>
      <c r="AO931" s="40"/>
      <c r="AP931" s="40"/>
      <c r="AQ931" s="40"/>
    </row>
    <row r="932">
      <c r="A932" s="40"/>
      <c r="B932" s="42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1"/>
      <c r="AM932" s="41"/>
      <c r="AN932" s="41"/>
      <c r="AO932" s="40"/>
      <c r="AP932" s="40"/>
      <c r="AQ932" s="40"/>
    </row>
    <row r="933">
      <c r="A933" s="40"/>
      <c r="B933" s="42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1"/>
      <c r="AM933" s="41"/>
      <c r="AN933" s="41"/>
      <c r="AO933" s="40"/>
      <c r="AP933" s="40"/>
      <c r="AQ933" s="40"/>
    </row>
    <row r="934">
      <c r="A934" s="40"/>
      <c r="B934" s="42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1"/>
      <c r="AM934" s="41"/>
      <c r="AN934" s="41"/>
      <c r="AO934" s="40"/>
      <c r="AP934" s="40"/>
      <c r="AQ934" s="40"/>
    </row>
    <row r="935">
      <c r="A935" s="40"/>
      <c r="B935" s="42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1"/>
      <c r="AM935" s="41"/>
      <c r="AN935" s="41"/>
      <c r="AO935" s="40"/>
      <c r="AP935" s="40"/>
      <c r="AQ935" s="40"/>
    </row>
    <row r="936">
      <c r="A936" s="40"/>
      <c r="B936" s="42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1"/>
      <c r="AM936" s="41"/>
      <c r="AN936" s="41"/>
      <c r="AO936" s="40"/>
      <c r="AP936" s="40"/>
      <c r="AQ936" s="40"/>
    </row>
    <row r="937">
      <c r="A937" s="40"/>
      <c r="B937" s="42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1"/>
      <c r="AM937" s="41"/>
      <c r="AN937" s="41"/>
      <c r="AO937" s="40"/>
      <c r="AP937" s="40"/>
      <c r="AQ937" s="40"/>
    </row>
    <row r="938">
      <c r="A938" s="40"/>
      <c r="B938" s="42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1"/>
      <c r="AM938" s="41"/>
      <c r="AN938" s="41"/>
      <c r="AO938" s="40"/>
      <c r="AP938" s="40"/>
      <c r="AQ938" s="40"/>
    </row>
    <row r="939">
      <c r="A939" s="40"/>
      <c r="B939" s="42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1"/>
      <c r="AM939" s="41"/>
      <c r="AN939" s="41"/>
      <c r="AO939" s="40"/>
      <c r="AP939" s="40"/>
      <c r="AQ939" s="40"/>
    </row>
    <row r="940">
      <c r="A940" s="40"/>
      <c r="B940" s="42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1"/>
      <c r="AM940" s="41"/>
      <c r="AN940" s="41"/>
      <c r="AO940" s="40"/>
      <c r="AP940" s="40"/>
      <c r="AQ940" s="40"/>
    </row>
    <row r="941">
      <c r="A941" s="40"/>
      <c r="B941" s="42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1"/>
      <c r="AM941" s="41"/>
      <c r="AN941" s="41"/>
      <c r="AO941" s="40"/>
      <c r="AP941" s="40"/>
      <c r="AQ941" s="40"/>
    </row>
    <row r="942">
      <c r="A942" s="40"/>
      <c r="B942" s="42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1"/>
      <c r="AM942" s="41"/>
      <c r="AN942" s="41"/>
      <c r="AO942" s="40"/>
      <c r="AP942" s="40"/>
      <c r="AQ942" s="40"/>
    </row>
    <row r="943">
      <c r="A943" s="40"/>
      <c r="B943" s="42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1"/>
      <c r="AM943" s="41"/>
      <c r="AN943" s="41"/>
      <c r="AO943" s="40"/>
      <c r="AP943" s="40"/>
      <c r="AQ943" s="40"/>
    </row>
    <row r="944">
      <c r="A944" s="40"/>
      <c r="B944" s="42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1"/>
      <c r="AM944" s="41"/>
      <c r="AN944" s="41"/>
      <c r="AO944" s="40"/>
      <c r="AP944" s="40"/>
      <c r="AQ944" s="40"/>
    </row>
    <row r="945">
      <c r="A945" s="40"/>
      <c r="B945" s="42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1"/>
      <c r="AM945" s="41"/>
      <c r="AN945" s="41"/>
      <c r="AO945" s="40"/>
      <c r="AP945" s="40"/>
      <c r="AQ945" s="40"/>
    </row>
    <row r="946">
      <c r="A946" s="40"/>
      <c r="B946" s="42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1"/>
      <c r="AM946" s="41"/>
      <c r="AN946" s="41"/>
      <c r="AO946" s="40"/>
      <c r="AP946" s="40"/>
      <c r="AQ946" s="40"/>
    </row>
    <row r="947">
      <c r="A947" s="40"/>
      <c r="B947" s="42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1"/>
      <c r="AM947" s="41"/>
      <c r="AN947" s="41"/>
      <c r="AO947" s="40"/>
      <c r="AP947" s="40"/>
      <c r="AQ947" s="40"/>
    </row>
    <row r="948">
      <c r="A948" s="40"/>
      <c r="B948" s="42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1"/>
      <c r="AM948" s="41"/>
      <c r="AN948" s="41"/>
      <c r="AO948" s="40"/>
      <c r="AP948" s="40"/>
      <c r="AQ948" s="40"/>
    </row>
    <row r="949">
      <c r="A949" s="40"/>
      <c r="B949" s="42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1"/>
      <c r="AM949" s="41"/>
      <c r="AN949" s="41"/>
      <c r="AO949" s="40"/>
      <c r="AP949" s="40"/>
      <c r="AQ949" s="40"/>
    </row>
    <row r="950">
      <c r="A950" s="40"/>
      <c r="B950" s="42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1"/>
      <c r="AM950" s="41"/>
      <c r="AN950" s="41"/>
      <c r="AO950" s="40"/>
      <c r="AP950" s="40"/>
      <c r="AQ950" s="40"/>
    </row>
    <row r="951">
      <c r="A951" s="40"/>
      <c r="B951" s="42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1"/>
      <c r="AM951" s="41"/>
      <c r="AN951" s="41"/>
      <c r="AO951" s="40"/>
      <c r="AP951" s="40"/>
      <c r="AQ951" s="40"/>
    </row>
    <row r="952">
      <c r="A952" s="40"/>
      <c r="B952" s="42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1"/>
      <c r="AM952" s="41"/>
      <c r="AN952" s="41"/>
      <c r="AO952" s="40"/>
      <c r="AP952" s="40"/>
      <c r="AQ952" s="40"/>
    </row>
    <row r="953">
      <c r="A953" s="40"/>
      <c r="B953" s="42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1"/>
      <c r="AM953" s="41"/>
      <c r="AN953" s="41"/>
      <c r="AO953" s="40"/>
      <c r="AP953" s="40"/>
      <c r="AQ953" s="40"/>
    </row>
    <row r="954">
      <c r="A954" s="40"/>
      <c r="B954" s="42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1"/>
      <c r="AM954" s="41"/>
      <c r="AN954" s="41"/>
      <c r="AO954" s="40"/>
      <c r="AP954" s="40"/>
      <c r="AQ954" s="40"/>
    </row>
    <row r="955">
      <c r="A955" s="40"/>
      <c r="B955" s="42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1"/>
      <c r="AM955" s="41"/>
      <c r="AN955" s="41"/>
      <c r="AO955" s="40"/>
      <c r="AP955" s="40"/>
      <c r="AQ955" s="40"/>
    </row>
    <row r="956">
      <c r="A956" s="40"/>
      <c r="B956" s="42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1"/>
      <c r="AM956" s="41"/>
      <c r="AN956" s="41"/>
      <c r="AO956" s="40"/>
      <c r="AP956" s="40"/>
      <c r="AQ956" s="40"/>
    </row>
    <row r="957">
      <c r="A957" s="40"/>
      <c r="B957" s="42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1"/>
      <c r="AM957" s="41"/>
      <c r="AN957" s="41"/>
      <c r="AO957" s="40"/>
      <c r="AP957" s="40"/>
      <c r="AQ957" s="40"/>
    </row>
    <row r="958">
      <c r="A958" s="40"/>
      <c r="B958" s="42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1"/>
      <c r="AM958" s="41"/>
      <c r="AN958" s="41"/>
      <c r="AO958" s="40"/>
      <c r="AP958" s="40"/>
      <c r="AQ958" s="40"/>
    </row>
    <row r="959">
      <c r="A959" s="40"/>
      <c r="B959" s="42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1"/>
      <c r="AM959" s="41"/>
      <c r="AN959" s="41"/>
      <c r="AO959" s="40"/>
      <c r="AP959" s="40"/>
      <c r="AQ959" s="40"/>
    </row>
    <row r="960">
      <c r="A960" s="40"/>
      <c r="B960" s="42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1"/>
      <c r="AM960" s="41"/>
      <c r="AN960" s="41"/>
      <c r="AO960" s="40"/>
      <c r="AP960" s="40"/>
      <c r="AQ960" s="40"/>
    </row>
    <row r="961">
      <c r="A961" s="40"/>
      <c r="B961" s="42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1"/>
      <c r="AM961" s="41"/>
      <c r="AN961" s="41"/>
      <c r="AO961" s="40"/>
      <c r="AP961" s="40"/>
      <c r="AQ961" s="40"/>
    </row>
    <row r="962">
      <c r="A962" s="40"/>
      <c r="B962" s="42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1"/>
      <c r="AM962" s="41"/>
      <c r="AN962" s="41"/>
      <c r="AO962" s="40"/>
      <c r="AP962" s="40"/>
      <c r="AQ962" s="40"/>
    </row>
    <row r="963">
      <c r="A963" s="40"/>
      <c r="B963" s="42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1"/>
      <c r="AM963" s="41"/>
      <c r="AN963" s="41"/>
      <c r="AO963" s="40"/>
      <c r="AP963" s="40"/>
      <c r="AQ963" s="40"/>
    </row>
    <row r="964">
      <c r="A964" s="40"/>
      <c r="B964" s="42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1"/>
      <c r="AM964" s="41"/>
      <c r="AN964" s="41"/>
      <c r="AO964" s="40"/>
      <c r="AP964" s="40"/>
      <c r="AQ964" s="40"/>
    </row>
    <row r="965">
      <c r="A965" s="40"/>
      <c r="B965" s="42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1"/>
      <c r="AM965" s="41"/>
      <c r="AN965" s="41"/>
      <c r="AO965" s="40"/>
      <c r="AP965" s="40"/>
      <c r="AQ965" s="40"/>
    </row>
    <row r="966">
      <c r="A966" s="40"/>
      <c r="B966" s="42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1"/>
      <c r="AM966" s="41"/>
      <c r="AN966" s="41"/>
      <c r="AO966" s="40"/>
      <c r="AP966" s="40"/>
      <c r="AQ966" s="40"/>
    </row>
    <row r="967">
      <c r="A967" s="40"/>
      <c r="B967" s="42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1"/>
      <c r="AM967" s="41"/>
      <c r="AN967" s="41"/>
      <c r="AO967" s="40"/>
      <c r="AP967" s="40"/>
      <c r="AQ967" s="40"/>
    </row>
    <row r="968">
      <c r="A968" s="40"/>
      <c r="B968" s="42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1"/>
      <c r="AM968" s="41"/>
      <c r="AN968" s="41"/>
      <c r="AO968" s="40"/>
      <c r="AP968" s="40"/>
      <c r="AQ968" s="40"/>
    </row>
    <row r="969">
      <c r="A969" s="40"/>
      <c r="B969" s="42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1"/>
      <c r="AM969" s="41"/>
      <c r="AN969" s="41"/>
      <c r="AO969" s="40"/>
      <c r="AP969" s="40"/>
      <c r="AQ969" s="40"/>
    </row>
    <row r="970">
      <c r="A970" s="40"/>
      <c r="B970" s="42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1"/>
      <c r="AM970" s="41"/>
      <c r="AN970" s="41"/>
      <c r="AO970" s="40"/>
      <c r="AP970" s="40"/>
      <c r="AQ970" s="40"/>
    </row>
    <row r="971">
      <c r="A971" s="40"/>
      <c r="B971" s="42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1"/>
      <c r="AM971" s="41"/>
      <c r="AN971" s="41"/>
      <c r="AO971" s="40"/>
      <c r="AP971" s="40"/>
      <c r="AQ971" s="40"/>
    </row>
    <row r="972">
      <c r="A972" s="40"/>
      <c r="B972" s="42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1"/>
      <c r="AM972" s="41"/>
      <c r="AN972" s="41"/>
      <c r="AO972" s="40"/>
      <c r="AP972" s="40"/>
      <c r="AQ972" s="40"/>
    </row>
    <row r="973">
      <c r="A973" s="40"/>
      <c r="B973" s="42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1"/>
      <c r="AM973" s="41"/>
      <c r="AN973" s="41"/>
      <c r="AO973" s="40"/>
      <c r="AP973" s="40"/>
      <c r="AQ973" s="40"/>
    </row>
    <row r="974">
      <c r="A974" s="40"/>
      <c r="B974" s="42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1"/>
      <c r="AM974" s="41"/>
      <c r="AN974" s="41"/>
      <c r="AO974" s="40"/>
      <c r="AP974" s="40"/>
      <c r="AQ974" s="40"/>
    </row>
    <row r="975">
      <c r="A975" s="40"/>
      <c r="B975" s="42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1"/>
      <c r="AM975" s="41"/>
      <c r="AN975" s="41"/>
      <c r="AO975" s="40"/>
      <c r="AP975" s="40"/>
      <c r="AQ975" s="40"/>
    </row>
    <row r="976">
      <c r="A976" s="40"/>
      <c r="B976" s="42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1"/>
      <c r="AM976" s="41"/>
      <c r="AN976" s="41"/>
      <c r="AO976" s="40"/>
      <c r="AP976" s="40"/>
      <c r="AQ976" s="40"/>
    </row>
    <row r="977">
      <c r="A977" s="40"/>
      <c r="B977" s="42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1"/>
      <c r="AM977" s="41"/>
      <c r="AN977" s="41"/>
      <c r="AO977" s="40"/>
      <c r="AP977" s="40"/>
      <c r="AQ977" s="40"/>
    </row>
    <row r="978">
      <c r="A978" s="40"/>
      <c r="B978" s="42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1"/>
      <c r="AM978" s="41"/>
      <c r="AN978" s="41"/>
      <c r="AO978" s="40"/>
      <c r="AP978" s="40"/>
      <c r="AQ978" s="40"/>
    </row>
    <row r="979">
      <c r="A979" s="40"/>
      <c r="B979" s="42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1"/>
      <c r="AM979" s="41"/>
      <c r="AN979" s="41"/>
      <c r="AO979" s="40"/>
      <c r="AP979" s="40"/>
      <c r="AQ979" s="40"/>
    </row>
    <row r="980">
      <c r="A980" s="40"/>
      <c r="B980" s="42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1"/>
      <c r="AM980" s="41"/>
      <c r="AN980" s="41"/>
      <c r="AO980" s="40"/>
      <c r="AP980" s="40"/>
      <c r="AQ980" s="40"/>
    </row>
    <row r="981">
      <c r="A981" s="40"/>
      <c r="B981" s="42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1"/>
      <c r="AM981" s="41"/>
      <c r="AN981" s="41"/>
      <c r="AO981" s="40"/>
      <c r="AP981" s="40"/>
      <c r="AQ981" s="40"/>
    </row>
    <row r="982">
      <c r="A982" s="40"/>
      <c r="B982" s="42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1"/>
      <c r="AM982" s="41"/>
      <c r="AN982" s="41"/>
      <c r="AO982" s="40"/>
      <c r="AP982" s="40"/>
      <c r="AQ982" s="40"/>
    </row>
    <row r="983">
      <c r="A983" s="40"/>
      <c r="B983" s="42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1"/>
      <c r="AM983" s="41"/>
      <c r="AN983" s="41"/>
      <c r="AO983" s="40"/>
      <c r="AP983" s="40"/>
      <c r="AQ983" s="40"/>
    </row>
    <row r="984">
      <c r="A984" s="40"/>
      <c r="B984" s="42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1"/>
      <c r="AM984" s="41"/>
      <c r="AN984" s="41"/>
      <c r="AO984" s="40"/>
      <c r="AP984" s="40"/>
      <c r="AQ984" s="40"/>
    </row>
    <row r="985">
      <c r="A985" s="40"/>
      <c r="B985" s="42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1"/>
      <c r="AM985" s="41"/>
      <c r="AN985" s="41"/>
      <c r="AO985" s="40"/>
      <c r="AP985" s="40"/>
      <c r="AQ985" s="40"/>
    </row>
    <row r="986">
      <c r="A986" s="40"/>
      <c r="B986" s="42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1"/>
      <c r="AM986" s="41"/>
      <c r="AN986" s="41"/>
      <c r="AO986" s="40"/>
      <c r="AP986" s="40"/>
      <c r="AQ986" s="40"/>
    </row>
    <row r="987">
      <c r="A987" s="40"/>
      <c r="B987" s="42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1"/>
      <c r="AM987" s="41"/>
      <c r="AN987" s="41"/>
      <c r="AO987" s="40"/>
      <c r="AP987" s="40"/>
      <c r="AQ987" s="40"/>
    </row>
    <row r="988">
      <c r="A988" s="40"/>
      <c r="B988" s="42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1"/>
      <c r="AM988" s="41"/>
      <c r="AN988" s="41"/>
      <c r="AO988" s="40"/>
      <c r="AP988" s="40"/>
      <c r="AQ988" s="40"/>
    </row>
    <row r="989">
      <c r="A989" s="40"/>
      <c r="B989" s="42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1"/>
      <c r="AM989" s="41"/>
      <c r="AN989" s="41"/>
      <c r="AO989" s="40"/>
      <c r="AP989" s="40"/>
      <c r="AQ989" s="40"/>
    </row>
    <row r="990">
      <c r="A990" s="40"/>
      <c r="B990" s="42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1"/>
      <c r="AM990" s="41"/>
      <c r="AN990" s="41"/>
      <c r="AO990" s="40"/>
      <c r="AP990" s="40"/>
      <c r="AQ990" s="40"/>
    </row>
    <row r="991">
      <c r="A991" s="40"/>
      <c r="B991" s="42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1"/>
      <c r="AM991" s="41"/>
      <c r="AN991" s="41"/>
      <c r="AO991" s="40"/>
      <c r="AP991" s="40"/>
      <c r="AQ991" s="40"/>
    </row>
    <row r="992">
      <c r="A992" s="40"/>
      <c r="B992" s="42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1"/>
      <c r="AM992" s="41"/>
      <c r="AN992" s="41"/>
      <c r="AO992" s="40"/>
      <c r="AP992" s="40"/>
      <c r="AQ992" s="40"/>
    </row>
    <row r="993">
      <c r="A993" s="40"/>
      <c r="B993" s="42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1"/>
      <c r="AM993" s="41"/>
      <c r="AN993" s="41"/>
      <c r="AO993" s="40"/>
      <c r="AP993" s="40"/>
      <c r="AQ993" s="40"/>
    </row>
    <row r="994">
      <c r="A994" s="40"/>
      <c r="B994" s="42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1"/>
      <c r="AM994" s="41"/>
      <c r="AN994" s="41"/>
      <c r="AO994" s="40"/>
      <c r="AP994" s="40"/>
      <c r="AQ994" s="40"/>
    </row>
    <row r="995">
      <c r="A995" s="40"/>
      <c r="B995" s="42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1"/>
      <c r="AM995" s="41"/>
      <c r="AN995" s="41"/>
      <c r="AO995" s="40"/>
      <c r="AP995" s="40"/>
      <c r="AQ995" s="40"/>
    </row>
    <row r="996">
      <c r="B996" s="39"/>
      <c r="AL996" s="43"/>
      <c r="AM996" s="43"/>
      <c r="AN996" s="43"/>
    </row>
    <row r="997">
      <c r="B997" s="39"/>
      <c r="AL997" s="43"/>
      <c r="AM997" s="43"/>
      <c r="AN997" s="43"/>
    </row>
    <row r="998">
      <c r="B998" s="39"/>
      <c r="AL998" s="43"/>
      <c r="AM998" s="43"/>
      <c r="AN998" s="43"/>
    </row>
  </sheetData>
  <mergeCells count="4">
    <mergeCell ref="A1:AK1"/>
    <mergeCell ref="A2:A4"/>
    <mergeCell ref="B2:B4"/>
    <mergeCell ref="C2:AK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6.88"/>
    <col customWidth="1" min="2" max="2" width="10.13"/>
    <col customWidth="1" min="3" max="3" width="4.13"/>
    <col customWidth="1" min="4" max="4" width="4.25"/>
    <col customWidth="1" min="5" max="5" width="3.0"/>
    <col customWidth="1" min="6" max="6" width="4.25"/>
    <col customWidth="1" min="7" max="8" width="3.0"/>
    <col customWidth="1" min="9" max="9" width="4.25"/>
    <col customWidth="1" min="10" max="18" width="3.0"/>
    <col customWidth="1" min="19" max="19" width="4.25"/>
    <col customWidth="1" min="20" max="37" width="3.0"/>
    <col customWidth="1" min="38" max="38" width="10.38"/>
    <col customWidth="1" min="39" max="40" width="12.63"/>
    <col customWidth="1" min="41" max="42" width="11.25"/>
  </cols>
  <sheetData>
    <row r="1">
      <c r="A1" s="11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7"/>
      <c r="AL1" s="2"/>
      <c r="AM1" s="2"/>
      <c r="AN1" s="2"/>
      <c r="AO1" s="1"/>
      <c r="AP1" s="1"/>
      <c r="AQ1" s="113">
        <v>45992.0</v>
      </c>
    </row>
    <row r="2">
      <c r="A2" s="4" t="s">
        <v>1</v>
      </c>
      <c r="B2" s="4" t="s">
        <v>2</v>
      </c>
      <c r="C2" s="5" t="str">
        <f>UPPER("HARI / BULAN : " &amp; TEXT(AQ1, "MMMM YYYY"))</f>
        <v>HARI / BULAN : DESEMBER 2025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  <c r="AL2" s="8"/>
      <c r="AM2" s="8"/>
      <c r="AN2" s="8"/>
      <c r="AO2" s="9"/>
      <c r="AP2" s="9"/>
      <c r="AQ2" s="10"/>
    </row>
    <row r="3">
      <c r="A3" s="11"/>
      <c r="B3" s="11"/>
      <c r="C3" s="12" t="str">
        <f t="shared" ref="C3:AG3" si="1">TEXT(C4,"dddd")</f>
        <v>Senin</v>
      </c>
      <c r="D3" s="12" t="str">
        <f t="shared" si="1"/>
        <v>Selasa</v>
      </c>
      <c r="E3" s="12" t="str">
        <f t="shared" si="1"/>
        <v>Rabu</v>
      </c>
      <c r="F3" s="12" t="str">
        <f t="shared" si="1"/>
        <v>Kamis</v>
      </c>
      <c r="G3" s="12" t="str">
        <f t="shared" si="1"/>
        <v>Jumat</v>
      </c>
      <c r="H3" s="12" t="str">
        <f t="shared" si="1"/>
        <v>Sabtu</v>
      </c>
      <c r="I3" s="12" t="str">
        <f t="shared" si="1"/>
        <v>Minggu</v>
      </c>
      <c r="J3" s="12" t="str">
        <f t="shared" si="1"/>
        <v>Senin</v>
      </c>
      <c r="K3" s="12" t="str">
        <f t="shared" si="1"/>
        <v>Selasa</v>
      </c>
      <c r="L3" s="12" t="str">
        <f t="shared" si="1"/>
        <v>Rabu</v>
      </c>
      <c r="M3" s="12" t="str">
        <f t="shared" si="1"/>
        <v>Kamis</v>
      </c>
      <c r="N3" s="12" t="str">
        <f t="shared" si="1"/>
        <v>Jumat</v>
      </c>
      <c r="O3" s="12" t="str">
        <f t="shared" si="1"/>
        <v>Sabtu</v>
      </c>
      <c r="P3" s="12" t="str">
        <f t="shared" si="1"/>
        <v>Minggu</v>
      </c>
      <c r="Q3" s="12" t="str">
        <f t="shared" si="1"/>
        <v>Senin</v>
      </c>
      <c r="R3" s="12" t="str">
        <f t="shared" si="1"/>
        <v>Selasa</v>
      </c>
      <c r="S3" s="12" t="str">
        <f t="shared" si="1"/>
        <v>Rabu</v>
      </c>
      <c r="T3" s="12" t="str">
        <f t="shared" si="1"/>
        <v>Kamis</v>
      </c>
      <c r="U3" s="12" t="str">
        <f t="shared" si="1"/>
        <v>Jumat</v>
      </c>
      <c r="V3" s="12" t="str">
        <f t="shared" si="1"/>
        <v>Sabtu</v>
      </c>
      <c r="W3" s="12" t="str">
        <f t="shared" si="1"/>
        <v>Minggu</v>
      </c>
      <c r="X3" s="12" t="str">
        <f t="shared" si="1"/>
        <v>Senin</v>
      </c>
      <c r="Y3" s="12" t="str">
        <f t="shared" si="1"/>
        <v>Selasa</v>
      </c>
      <c r="Z3" s="12" t="str">
        <f t="shared" si="1"/>
        <v>Rabu</v>
      </c>
      <c r="AA3" s="12" t="str">
        <f t="shared" si="1"/>
        <v>Kamis</v>
      </c>
      <c r="AB3" s="12" t="str">
        <f t="shared" si="1"/>
        <v>Jumat</v>
      </c>
      <c r="AC3" s="12" t="str">
        <f t="shared" si="1"/>
        <v>Sabtu</v>
      </c>
      <c r="AD3" s="12" t="str">
        <f t="shared" si="1"/>
        <v>Minggu</v>
      </c>
      <c r="AE3" s="12" t="str">
        <f t="shared" si="1"/>
        <v>Senin</v>
      </c>
      <c r="AF3" s="12" t="str">
        <f t="shared" si="1"/>
        <v>Selasa</v>
      </c>
      <c r="AG3" s="12" t="str">
        <f t="shared" si="1"/>
        <v>Rabu</v>
      </c>
      <c r="AH3" s="13" t="s">
        <v>3</v>
      </c>
      <c r="AI3" s="13" t="s">
        <v>4</v>
      </c>
      <c r="AJ3" s="13" t="s">
        <v>5</v>
      </c>
      <c r="AK3" s="13" t="s">
        <v>6</v>
      </c>
      <c r="AL3" s="14" t="s">
        <v>7</v>
      </c>
      <c r="AM3" s="14" t="s">
        <v>8</v>
      </c>
      <c r="AN3" s="14" t="s">
        <v>9</v>
      </c>
      <c r="AO3" s="13" t="s">
        <v>10</v>
      </c>
      <c r="AP3" s="13" t="s">
        <v>509</v>
      </c>
      <c r="AQ3" s="10"/>
    </row>
    <row r="4">
      <c r="A4" s="15"/>
      <c r="B4" s="15"/>
      <c r="C4" s="16">
        <f>AQ1</f>
        <v>45992</v>
      </c>
      <c r="D4" s="16">
        <f t="shared" ref="D4:AG4" si="2">IF(AND(MONTH(C4+1) = MONTH(C4), C4&lt;&gt;""),C4  + 1, "")</f>
        <v>45993</v>
      </c>
      <c r="E4" s="16">
        <f t="shared" si="2"/>
        <v>45994</v>
      </c>
      <c r="F4" s="16">
        <f t="shared" si="2"/>
        <v>45995</v>
      </c>
      <c r="G4" s="16">
        <f t="shared" si="2"/>
        <v>45996</v>
      </c>
      <c r="H4" s="16">
        <f t="shared" si="2"/>
        <v>45997</v>
      </c>
      <c r="I4" s="16">
        <f t="shared" si="2"/>
        <v>45998</v>
      </c>
      <c r="J4" s="16">
        <f t="shared" si="2"/>
        <v>45999</v>
      </c>
      <c r="K4" s="16">
        <f t="shared" si="2"/>
        <v>46000</v>
      </c>
      <c r="L4" s="16">
        <f t="shared" si="2"/>
        <v>46001</v>
      </c>
      <c r="M4" s="16">
        <f t="shared" si="2"/>
        <v>46002</v>
      </c>
      <c r="N4" s="16">
        <f t="shared" si="2"/>
        <v>46003</v>
      </c>
      <c r="O4" s="16">
        <f t="shared" si="2"/>
        <v>46004</v>
      </c>
      <c r="P4" s="16">
        <f t="shared" si="2"/>
        <v>46005</v>
      </c>
      <c r="Q4" s="16">
        <f t="shared" si="2"/>
        <v>46006</v>
      </c>
      <c r="R4" s="16">
        <f t="shared" si="2"/>
        <v>46007</v>
      </c>
      <c r="S4" s="16">
        <f t="shared" si="2"/>
        <v>46008</v>
      </c>
      <c r="T4" s="16">
        <f t="shared" si="2"/>
        <v>46009</v>
      </c>
      <c r="U4" s="16">
        <f t="shared" si="2"/>
        <v>46010</v>
      </c>
      <c r="V4" s="16">
        <f t="shared" si="2"/>
        <v>46011</v>
      </c>
      <c r="W4" s="16">
        <f t="shared" si="2"/>
        <v>46012</v>
      </c>
      <c r="X4" s="16">
        <f t="shared" si="2"/>
        <v>46013</v>
      </c>
      <c r="Y4" s="16">
        <f t="shared" si="2"/>
        <v>46014</v>
      </c>
      <c r="Z4" s="16">
        <f t="shared" si="2"/>
        <v>46015</v>
      </c>
      <c r="AA4" s="16">
        <f t="shared" si="2"/>
        <v>46016</v>
      </c>
      <c r="AB4" s="16">
        <f t="shared" si="2"/>
        <v>46017</v>
      </c>
      <c r="AC4" s="16">
        <f t="shared" si="2"/>
        <v>46018</v>
      </c>
      <c r="AD4" s="16">
        <f t="shared" si="2"/>
        <v>46019</v>
      </c>
      <c r="AE4" s="16">
        <f t="shared" si="2"/>
        <v>46020</v>
      </c>
      <c r="AF4" s="16">
        <f t="shared" si="2"/>
        <v>46021</v>
      </c>
      <c r="AG4" s="16">
        <f t="shared" si="2"/>
        <v>46022</v>
      </c>
      <c r="AH4" s="17"/>
      <c r="AI4" s="17"/>
      <c r="AJ4" s="18"/>
      <c r="AK4" s="18"/>
      <c r="AL4" s="19"/>
      <c r="AM4" s="19"/>
      <c r="AN4" s="19"/>
      <c r="AO4" s="18"/>
      <c r="AP4" s="18"/>
      <c r="AQ4" s="10"/>
    </row>
    <row r="5">
      <c r="A5" s="20" t="str">
        <f>'MASTER STOCK'!F2</f>
        <v>Fitting Gantung</v>
      </c>
      <c r="B5" s="21">
        <f>'NOV 25'!AJ:AJ</f>
        <v>8</v>
      </c>
      <c r="C5" s="22"/>
      <c r="D5" s="22"/>
      <c r="E5" s="10"/>
      <c r="F5" s="10"/>
      <c r="G5" s="22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22"/>
      <c r="AH5" s="23">
        <f t="shared" ref="AH5:AH378" si="3">SUM(C5:AG5)</f>
        <v>0</v>
      </c>
      <c r="AI5" s="24">
        <v>0.0</v>
      </c>
      <c r="AJ5" s="23">
        <f t="shared" ref="AJ5:AJ378" si="4">B5-AH5</f>
        <v>8</v>
      </c>
      <c r="AK5" s="23">
        <f t="shared" ref="AK5:AK378" si="5">AJ5-AI5</f>
        <v>8</v>
      </c>
      <c r="AL5" s="25">
        <f>'MASTER STOCK'!I2</f>
        <v>1400</v>
      </c>
      <c r="AM5" s="27">
        <f>'MASTER STOCK'!L2</f>
        <v>1820</v>
      </c>
      <c r="AN5" s="27">
        <f t="shared" ref="AN5:AN377" si="6">AH5*AM5</f>
        <v>0</v>
      </c>
      <c r="AO5" s="26">
        <f t="shared" ref="AO5:AO408" si="7">AN5-(AH5*AL5)</f>
        <v>0</v>
      </c>
      <c r="AP5" s="114">
        <f t="shared" ref="AP5:AP408" si="8">AH5*AL5</f>
        <v>0</v>
      </c>
      <c r="AQ5" s="10"/>
    </row>
    <row r="6">
      <c r="A6" s="20" t="str">
        <f>'MASTER STOCK'!F3</f>
        <v>Colokan T </v>
      </c>
      <c r="B6" s="21">
        <f>'NOV 25'!AJ:AJ</f>
        <v>12</v>
      </c>
      <c r="C6" s="22"/>
      <c r="D6" s="10"/>
      <c r="E6" s="10"/>
      <c r="F6" s="10"/>
      <c r="G6" s="10"/>
      <c r="H6" s="22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23">
        <f t="shared" si="3"/>
        <v>0</v>
      </c>
      <c r="AI6" s="24">
        <v>0.0</v>
      </c>
      <c r="AJ6" s="23">
        <f t="shared" si="4"/>
        <v>12</v>
      </c>
      <c r="AK6" s="23">
        <f t="shared" si="5"/>
        <v>12</v>
      </c>
      <c r="AL6" s="25">
        <f>'MASTER STOCK'!I3</f>
        <v>3000</v>
      </c>
      <c r="AM6" s="27">
        <f>'MASTER STOCK'!L3</f>
        <v>3900</v>
      </c>
      <c r="AN6" s="27">
        <f t="shared" si="6"/>
        <v>0</v>
      </c>
      <c r="AO6" s="26">
        <f t="shared" si="7"/>
        <v>0</v>
      </c>
      <c r="AP6" s="114">
        <f t="shared" si="8"/>
        <v>0</v>
      </c>
      <c r="AQ6" s="10"/>
    </row>
    <row r="7">
      <c r="A7" s="20" t="str">
        <f>'MASTER STOCK'!F4</f>
        <v>Steker Bulat</v>
      </c>
      <c r="B7" s="21">
        <f>'NOV 25'!AJ:AJ</f>
        <v>10</v>
      </c>
      <c r="C7" s="10"/>
      <c r="D7" s="10"/>
      <c r="E7" s="22"/>
      <c r="F7" s="22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23">
        <f t="shared" si="3"/>
        <v>0</v>
      </c>
      <c r="AI7" s="24">
        <v>0.0</v>
      </c>
      <c r="AJ7" s="23">
        <f t="shared" si="4"/>
        <v>10</v>
      </c>
      <c r="AK7" s="23">
        <f t="shared" si="5"/>
        <v>10</v>
      </c>
      <c r="AL7" s="25">
        <f>'MASTER STOCK'!I4</f>
        <v>3000</v>
      </c>
      <c r="AM7" s="27">
        <f>'MASTER STOCK'!L4</f>
        <v>6000</v>
      </c>
      <c r="AN7" s="27">
        <f t="shared" si="6"/>
        <v>0</v>
      </c>
      <c r="AO7" s="26">
        <f t="shared" si="7"/>
        <v>0</v>
      </c>
      <c r="AP7" s="114">
        <f t="shared" si="8"/>
        <v>0</v>
      </c>
      <c r="AQ7" s="10"/>
    </row>
    <row r="8">
      <c r="A8" s="20" t="str">
        <f>'MASTER STOCK'!F5</f>
        <v>Steker Gepeng</v>
      </c>
      <c r="B8" s="21">
        <f>'NOV 25'!AJ:AJ</f>
        <v>10</v>
      </c>
      <c r="C8" s="10"/>
      <c r="D8" s="10"/>
      <c r="E8" s="10"/>
      <c r="F8" s="10"/>
      <c r="G8" s="10"/>
      <c r="H8" s="22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23">
        <f t="shared" si="3"/>
        <v>0</v>
      </c>
      <c r="AI8" s="24">
        <v>0.0</v>
      </c>
      <c r="AJ8" s="23">
        <f t="shared" si="4"/>
        <v>10</v>
      </c>
      <c r="AK8" s="23">
        <f t="shared" si="5"/>
        <v>10</v>
      </c>
      <c r="AL8" s="25">
        <f>'MASTER STOCK'!I5</f>
        <v>1100</v>
      </c>
      <c r="AM8" s="27">
        <f>'MASTER STOCK'!L5</f>
        <v>1430</v>
      </c>
      <c r="AN8" s="27">
        <f t="shared" si="6"/>
        <v>0</v>
      </c>
      <c r="AO8" s="26">
        <f t="shared" si="7"/>
        <v>0</v>
      </c>
      <c r="AP8" s="114">
        <f t="shared" si="8"/>
        <v>0</v>
      </c>
      <c r="AQ8" s="10"/>
    </row>
    <row r="9">
      <c r="A9" s="20" t="str">
        <f>'MASTER STOCK'!F6</f>
        <v>Saklar Gantung Putih jumbo</v>
      </c>
      <c r="B9" s="21">
        <f>'NOV 25'!AJ:AJ</f>
        <v>7</v>
      </c>
      <c r="C9" s="10"/>
      <c r="D9" s="10"/>
      <c r="E9" s="22"/>
      <c r="F9" s="10"/>
      <c r="G9" s="22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22"/>
      <c r="T9" s="10"/>
      <c r="U9" s="10"/>
      <c r="V9" s="22"/>
      <c r="W9" s="22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23">
        <f t="shared" si="3"/>
        <v>0</v>
      </c>
      <c r="AI9" s="24">
        <v>0.0</v>
      </c>
      <c r="AJ9" s="23">
        <f t="shared" si="4"/>
        <v>7</v>
      </c>
      <c r="AK9" s="23">
        <f t="shared" si="5"/>
        <v>7</v>
      </c>
      <c r="AL9" s="25">
        <f>'MASTER STOCK'!I6</f>
        <v>2250</v>
      </c>
      <c r="AM9" s="27">
        <f>'MASTER STOCK'!L6</f>
        <v>4000</v>
      </c>
      <c r="AN9" s="27">
        <f t="shared" si="6"/>
        <v>0</v>
      </c>
      <c r="AO9" s="26">
        <f t="shared" si="7"/>
        <v>0</v>
      </c>
      <c r="AP9" s="114">
        <f t="shared" si="8"/>
        <v>0</v>
      </c>
      <c r="AQ9" s="10"/>
    </row>
    <row r="10">
      <c r="A10" s="20" t="str">
        <f>'MASTER STOCK'!F7</f>
        <v>Saklar Gantung Hitam</v>
      </c>
      <c r="B10" s="21">
        <f>'NOV 25'!AJ:AJ</f>
        <v>10</v>
      </c>
      <c r="C10" s="10"/>
      <c r="D10" s="10"/>
      <c r="E10" s="10"/>
      <c r="F10" s="10"/>
      <c r="G10" s="10"/>
      <c r="H10" s="10"/>
      <c r="I10" s="10"/>
      <c r="J10" s="10"/>
      <c r="K10" s="22"/>
      <c r="L10" s="10"/>
      <c r="M10" s="10"/>
      <c r="N10" s="10"/>
      <c r="O10" s="10"/>
      <c r="P10" s="10"/>
      <c r="Q10" s="10"/>
      <c r="R10" s="10"/>
      <c r="S10" s="22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23">
        <f t="shared" si="3"/>
        <v>0</v>
      </c>
      <c r="AI10" s="24">
        <v>0.0</v>
      </c>
      <c r="AJ10" s="23">
        <f t="shared" si="4"/>
        <v>10</v>
      </c>
      <c r="AK10" s="23">
        <f t="shared" si="5"/>
        <v>10</v>
      </c>
      <c r="AL10" s="25">
        <f>'MASTER STOCK'!I7</f>
        <v>1850</v>
      </c>
      <c r="AM10" s="27">
        <f>'MASTER STOCK'!L7</f>
        <v>4000</v>
      </c>
      <c r="AN10" s="27">
        <f t="shared" si="6"/>
        <v>0</v>
      </c>
      <c r="AO10" s="26">
        <f t="shared" si="7"/>
        <v>0</v>
      </c>
      <c r="AP10" s="114">
        <f t="shared" si="8"/>
        <v>0</v>
      </c>
      <c r="AQ10" s="10"/>
    </row>
    <row r="11">
      <c r="A11" s="20" t="str">
        <f>'MASTER STOCK'!F8</f>
        <v>Isolasi Hitam National</v>
      </c>
      <c r="B11" s="21">
        <f>'NOV 25'!AJ:AJ</f>
        <v>19</v>
      </c>
      <c r="C11" s="10"/>
      <c r="D11" s="10"/>
      <c r="E11" s="10"/>
      <c r="F11" s="10"/>
      <c r="G11" s="22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22"/>
      <c r="AE11" s="10"/>
      <c r="AF11" s="10"/>
      <c r="AG11" s="10"/>
      <c r="AH11" s="23">
        <f t="shared" si="3"/>
        <v>0</v>
      </c>
      <c r="AI11" s="24">
        <v>0.0</v>
      </c>
      <c r="AJ11" s="23">
        <f t="shared" si="4"/>
        <v>19</v>
      </c>
      <c r="AK11" s="23">
        <f t="shared" si="5"/>
        <v>19</v>
      </c>
      <c r="AL11" s="25">
        <f>'MASTER STOCK'!I8</f>
        <v>5150</v>
      </c>
      <c r="AM11" s="27">
        <f>'MASTER STOCK'!L8</f>
        <v>7982.5</v>
      </c>
      <c r="AN11" s="27">
        <f t="shared" si="6"/>
        <v>0</v>
      </c>
      <c r="AO11" s="26">
        <f t="shared" si="7"/>
        <v>0</v>
      </c>
      <c r="AP11" s="114">
        <f t="shared" si="8"/>
        <v>0</v>
      </c>
      <c r="AQ11" s="10"/>
    </row>
    <row r="12">
      <c r="A12" s="20" t="str">
        <f>'MASTER STOCK'!F9</f>
        <v>Lem PVC Isarplas 40gram</v>
      </c>
      <c r="B12" s="21">
        <f>'NOV 25'!AJ:AJ</f>
        <v>21</v>
      </c>
      <c r="C12" s="10"/>
      <c r="D12" s="10"/>
      <c r="E12" s="10"/>
      <c r="F12" s="10"/>
      <c r="G12" s="10"/>
      <c r="H12" s="10"/>
      <c r="I12" s="22"/>
      <c r="J12" s="10"/>
      <c r="K12" s="10"/>
      <c r="L12" s="10"/>
      <c r="M12" s="10"/>
      <c r="N12" s="22"/>
      <c r="O12" s="10"/>
      <c r="P12" s="10"/>
      <c r="Q12" s="10"/>
      <c r="R12" s="10"/>
      <c r="S12" s="22"/>
      <c r="T12" s="10"/>
      <c r="U12" s="10"/>
      <c r="V12" s="10"/>
      <c r="W12" s="10"/>
      <c r="X12" s="10"/>
      <c r="Y12" s="22"/>
      <c r="Z12" s="10"/>
      <c r="AA12" s="10"/>
      <c r="AB12" s="10"/>
      <c r="AC12" s="10"/>
      <c r="AD12" s="10"/>
      <c r="AE12" s="10"/>
      <c r="AF12" s="10"/>
      <c r="AG12" s="10"/>
      <c r="AH12" s="23">
        <f t="shared" si="3"/>
        <v>0</v>
      </c>
      <c r="AI12" s="24">
        <v>0.0</v>
      </c>
      <c r="AJ12" s="23">
        <f t="shared" si="4"/>
        <v>21</v>
      </c>
      <c r="AK12" s="23">
        <f t="shared" si="5"/>
        <v>21</v>
      </c>
      <c r="AL12" s="25">
        <f>'MASTER STOCK'!I9</f>
        <v>6900</v>
      </c>
      <c r="AM12" s="27">
        <f>'MASTER STOCK'!L9</f>
        <v>9500</v>
      </c>
      <c r="AN12" s="27">
        <f t="shared" si="6"/>
        <v>0</v>
      </c>
      <c r="AO12" s="26">
        <f t="shared" si="7"/>
        <v>0</v>
      </c>
      <c r="AP12" s="114">
        <f t="shared" si="8"/>
        <v>0</v>
      </c>
      <c r="AQ12" s="10"/>
    </row>
    <row r="13">
      <c r="A13" s="20" t="str">
        <f>'MASTER STOCK'!F10</f>
        <v>Isolasi Kran air onda </v>
      </c>
      <c r="B13" s="21">
        <f>'NOV 25'!AJ:AJ</f>
        <v>60</v>
      </c>
      <c r="C13" s="23"/>
      <c r="D13" s="23"/>
      <c r="E13" s="23"/>
      <c r="F13" s="2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23">
        <f t="shared" si="3"/>
        <v>0</v>
      </c>
      <c r="AI13" s="24">
        <v>0.0</v>
      </c>
      <c r="AJ13" s="23">
        <f t="shared" si="4"/>
        <v>60</v>
      </c>
      <c r="AK13" s="23">
        <f t="shared" si="5"/>
        <v>60</v>
      </c>
      <c r="AL13" s="25">
        <f>'MASTER STOCK'!I10</f>
        <v>1150</v>
      </c>
      <c r="AM13" s="27">
        <f>'MASTER STOCK'!L10</f>
        <v>1495</v>
      </c>
      <c r="AN13" s="27">
        <f t="shared" si="6"/>
        <v>0</v>
      </c>
      <c r="AO13" s="26">
        <f t="shared" si="7"/>
        <v>0</v>
      </c>
      <c r="AP13" s="114">
        <f t="shared" si="8"/>
        <v>0</v>
      </c>
      <c r="AQ13" s="10"/>
    </row>
    <row r="14">
      <c r="A14" s="20" t="str">
        <f>'MASTER STOCK'!F11</f>
        <v>Tutup Pipa 3/4"</v>
      </c>
      <c r="B14" s="21">
        <f>'NOV 25'!AJ:AJ</f>
        <v>50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23">
        <f t="shared" si="3"/>
        <v>0</v>
      </c>
      <c r="AI14" s="24">
        <v>0.0</v>
      </c>
      <c r="AJ14" s="23">
        <f t="shared" si="4"/>
        <v>50</v>
      </c>
      <c r="AK14" s="23">
        <f t="shared" si="5"/>
        <v>50</v>
      </c>
      <c r="AL14" s="25">
        <f>'MASTER STOCK'!I11</f>
        <v>850</v>
      </c>
      <c r="AM14" s="27">
        <f>'MASTER STOCK'!L11</f>
        <v>1275</v>
      </c>
      <c r="AN14" s="27">
        <f t="shared" si="6"/>
        <v>0</v>
      </c>
      <c r="AO14" s="26">
        <f t="shared" si="7"/>
        <v>0</v>
      </c>
      <c r="AP14" s="114">
        <f t="shared" si="8"/>
        <v>0</v>
      </c>
      <c r="AQ14" s="10"/>
    </row>
    <row r="15">
      <c r="A15" s="20" t="str">
        <f>'MASTER STOCK'!F12</f>
        <v>Fitting lampu gantung outdoor (10 m 5 fitting)</v>
      </c>
      <c r="B15" s="21">
        <f>'NOV 25'!AJ:AJ</f>
        <v>1</v>
      </c>
      <c r="C15" s="28"/>
      <c r="D15" s="28"/>
      <c r="E15" s="28"/>
      <c r="F15" s="28"/>
      <c r="G15" s="10"/>
      <c r="H15" s="10"/>
      <c r="I15" s="2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23">
        <f t="shared" si="3"/>
        <v>0</v>
      </c>
      <c r="AI15" s="24">
        <v>0.0</v>
      </c>
      <c r="AJ15" s="23">
        <f t="shared" si="4"/>
        <v>1</v>
      </c>
      <c r="AK15" s="23">
        <f t="shared" si="5"/>
        <v>1</v>
      </c>
      <c r="AL15" s="25">
        <f>'MASTER STOCK'!I12</f>
        <v>38000</v>
      </c>
      <c r="AM15" s="27">
        <f>'MASTER STOCK'!L12</f>
        <v>49400</v>
      </c>
      <c r="AN15" s="27">
        <f t="shared" si="6"/>
        <v>0</v>
      </c>
      <c r="AO15" s="26">
        <f t="shared" si="7"/>
        <v>0</v>
      </c>
      <c r="AP15" s="114">
        <f t="shared" si="8"/>
        <v>0</v>
      </c>
      <c r="AQ15" s="10"/>
    </row>
    <row r="16">
      <c r="A16" s="20" t="str">
        <f>'MASTER STOCK'!F13</f>
        <v>Obeng karet 4" plus</v>
      </c>
      <c r="B16" s="21">
        <f>'NOV 25'!AJ:AJ</f>
        <v>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23">
        <f t="shared" si="3"/>
        <v>0</v>
      </c>
      <c r="AI16" s="24">
        <v>0.0</v>
      </c>
      <c r="AJ16" s="23">
        <f t="shared" si="4"/>
        <v>5</v>
      </c>
      <c r="AK16" s="23">
        <f t="shared" si="5"/>
        <v>5</v>
      </c>
      <c r="AL16" s="25">
        <f>'MASTER STOCK'!I13</f>
        <v>5500</v>
      </c>
      <c r="AM16" s="27">
        <f>'MASTER STOCK'!L13</f>
        <v>7150</v>
      </c>
      <c r="AN16" s="27">
        <f t="shared" si="6"/>
        <v>0</v>
      </c>
      <c r="AO16" s="26">
        <f t="shared" si="7"/>
        <v>0</v>
      </c>
      <c r="AP16" s="114">
        <f t="shared" si="8"/>
        <v>0</v>
      </c>
      <c r="AQ16" s="10"/>
    </row>
    <row r="17">
      <c r="A17" s="20" t="str">
        <f>'MASTER STOCK'!F14</f>
        <v>Obeng karet 4" minus</v>
      </c>
      <c r="B17" s="21">
        <f>'NOV 25'!AJ:AJ</f>
        <v>4</v>
      </c>
      <c r="C17" s="28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22"/>
      <c r="T17" s="22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23">
        <f t="shared" si="3"/>
        <v>0</v>
      </c>
      <c r="AI17" s="24">
        <v>0.0</v>
      </c>
      <c r="AJ17" s="23">
        <f t="shared" si="4"/>
        <v>4</v>
      </c>
      <c r="AK17" s="23">
        <f t="shared" si="5"/>
        <v>4</v>
      </c>
      <c r="AL17" s="25">
        <f>'MASTER STOCK'!I14</f>
        <v>5500</v>
      </c>
      <c r="AM17" s="27">
        <f>'MASTER STOCK'!L14</f>
        <v>7150</v>
      </c>
      <c r="AN17" s="27">
        <f t="shared" si="6"/>
        <v>0</v>
      </c>
      <c r="AO17" s="26">
        <f t="shared" si="7"/>
        <v>0</v>
      </c>
      <c r="AP17" s="114">
        <f t="shared" si="8"/>
        <v>0</v>
      </c>
      <c r="AQ17" s="10"/>
    </row>
    <row r="18">
      <c r="A18" s="20" t="str">
        <f>'MASTER STOCK'!F15</f>
        <v>Obeng karet 6" plus</v>
      </c>
      <c r="B18" s="21">
        <f>'NOV 25'!AJ:AJ</f>
        <v>5</v>
      </c>
      <c r="C18" s="28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23">
        <f t="shared" si="3"/>
        <v>0</v>
      </c>
      <c r="AI18" s="24">
        <v>0.0</v>
      </c>
      <c r="AJ18" s="23">
        <f t="shared" si="4"/>
        <v>5</v>
      </c>
      <c r="AK18" s="23">
        <f t="shared" si="5"/>
        <v>5</v>
      </c>
      <c r="AL18" s="25">
        <f>'MASTER STOCK'!I15</f>
        <v>7000</v>
      </c>
      <c r="AM18" s="27">
        <f>'MASTER STOCK'!L15</f>
        <v>9100</v>
      </c>
      <c r="AN18" s="27">
        <f t="shared" si="6"/>
        <v>0</v>
      </c>
      <c r="AO18" s="26">
        <f t="shared" si="7"/>
        <v>0</v>
      </c>
      <c r="AP18" s="114">
        <f t="shared" si="8"/>
        <v>0</v>
      </c>
      <c r="AQ18" s="10"/>
    </row>
    <row r="19">
      <c r="A19" s="20" t="str">
        <f>'MASTER STOCK'!F16</f>
        <v>Obeng karet 6" Minus</v>
      </c>
      <c r="B19" s="21">
        <f>'NOV 25'!AJ:AJ</f>
        <v>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22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23">
        <f t="shared" si="3"/>
        <v>0</v>
      </c>
      <c r="AI19" s="24">
        <v>0.0</v>
      </c>
      <c r="AJ19" s="23">
        <f t="shared" si="4"/>
        <v>5</v>
      </c>
      <c r="AK19" s="23">
        <f t="shared" si="5"/>
        <v>5</v>
      </c>
      <c r="AL19" s="25">
        <f>'MASTER STOCK'!I16</f>
        <v>7000</v>
      </c>
      <c r="AM19" s="27">
        <f>'MASTER STOCK'!L16</f>
        <v>9100</v>
      </c>
      <c r="AN19" s="27">
        <f t="shared" si="6"/>
        <v>0</v>
      </c>
      <c r="AO19" s="26">
        <f t="shared" si="7"/>
        <v>0</v>
      </c>
      <c r="AP19" s="114">
        <f t="shared" si="8"/>
        <v>0</v>
      </c>
      <c r="AQ19" s="10"/>
    </row>
    <row r="20">
      <c r="A20" s="20" t="str">
        <f>'MASTER STOCK'!F17</f>
        <v>Kabel Awg 24 Double 2x18 merah hitam</v>
      </c>
      <c r="B20" s="21">
        <f>'NOV 25'!AJ:AJ</f>
        <v>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23">
        <f t="shared" si="3"/>
        <v>0</v>
      </c>
      <c r="AI20" s="24">
        <v>0.0</v>
      </c>
      <c r="AJ20" s="23">
        <f t="shared" si="4"/>
        <v>2</v>
      </c>
      <c r="AK20" s="23">
        <f t="shared" si="5"/>
        <v>2</v>
      </c>
      <c r="AL20" s="25">
        <f>'MASTER STOCK'!I17</f>
        <v>106500</v>
      </c>
      <c r="AM20" s="27">
        <f>'MASTER STOCK'!L17</f>
        <v>181050</v>
      </c>
      <c r="AN20" s="27">
        <f t="shared" si="6"/>
        <v>0</v>
      </c>
      <c r="AO20" s="26">
        <f t="shared" si="7"/>
        <v>0</v>
      </c>
      <c r="AP20" s="114">
        <f t="shared" si="8"/>
        <v>0</v>
      </c>
      <c r="AQ20" s="10"/>
    </row>
    <row r="21">
      <c r="A21" s="20" t="str">
        <f>'MASTER STOCK'!F18</f>
        <v>Kabel bintik serabut tembaga motor mobil 20mx0.5mm/0,85mm merah 0,5mm</v>
      </c>
      <c r="B21" s="21">
        <f>'NOV 25'!AJ:AJ</f>
        <v>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22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23">
        <f t="shared" si="3"/>
        <v>0</v>
      </c>
      <c r="AI21" s="24">
        <v>0.0</v>
      </c>
      <c r="AJ21" s="23">
        <f t="shared" si="4"/>
        <v>2</v>
      </c>
      <c r="AK21" s="23">
        <f t="shared" si="5"/>
        <v>2</v>
      </c>
      <c r="AL21" s="25">
        <f>'MASTER STOCK'!I18</f>
        <v>33700</v>
      </c>
      <c r="AM21" s="27">
        <f>'MASTER STOCK'!L18</f>
        <v>57290</v>
      </c>
      <c r="AN21" s="27">
        <f t="shared" si="6"/>
        <v>0</v>
      </c>
      <c r="AO21" s="26">
        <f t="shared" si="7"/>
        <v>0</v>
      </c>
      <c r="AP21" s="114">
        <f t="shared" si="8"/>
        <v>0</v>
      </c>
      <c r="AQ21" s="10"/>
    </row>
    <row r="22">
      <c r="A22" s="20" t="str">
        <f>'MASTER STOCK'!F19</f>
        <v>Kabel bintik serabut tembaga motor mobil 20mx0.5mm/0,85mm hitam 0,5mm</v>
      </c>
      <c r="B22" s="21">
        <f>'NOV 25'!AJ:AJ</f>
        <v>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22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23">
        <f t="shared" si="3"/>
        <v>0</v>
      </c>
      <c r="AI22" s="24">
        <v>0.0</v>
      </c>
      <c r="AJ22" s="23">
        <f t="shared" si="4"/>
        <v>2</v>
      </c>
      <c r="AK22" s="23">
        <f t="shared" si="5"/>
        <v>2</v>
      </c>
      <c r="AL22" s="25">
        <f>'MASTER STOCK'!I19</f>
        <v>33700</v>
      </c>
      <c r="AM22" s="27">
        <f>'MASTER STOCK'!L19</f>
        <v>57290</v>
      </c>
      <c r="AN22" s="27">
        <f t="shared" si="6"/>
        <v>0</v>
      </c>
      <c r="AO22" s="26">
        <f t="shared" si="7"/>
        <v>0</v>
      </c>
      <c r="AP22" s="114">
        <f t="shared" si="8"/>
        <v>0</v>
      </c>
      <c r="AQ22" s="10"/>
    </row>
    <row r="23">
      <c r="A23" s="20" t="str">
        <f>'MASTER STOCK'!F20</f>
        <v>Mata Gerinda keramik 4 inch kering</v>
      </c>
      <c r="B23" s="21">
        <f>'NOV 25'!AJ:AJ</f>
        <v>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23">
        <f t="shared" si="3"/>
        <v>0</v>
      </c>
      <c r="AI23" s="24">
        <v>0.0</v>
      </c>
      <c r="AJ23" s="23">
        <f t="shared" si="4"/>
        <v>5</v>
      </c>
      <c r="AK23" s="23">
        <f t="shared" si="5"/>
        <v>5</v>
      </c>
      <c r="AL23" s="25">
        <f>'MASTER STOCK'!I20</f>
        <v>12000</v>
      </c>
      <c r="AM23" s="27">
        <f>'MASTER STOCK'!L20</f>
        <v>18000</v>
      </c>
      <c r="AN23" s="27">
        <f t="shared" si="6"/>
        <v>0</v>
      </c>
      <c r="AO23" s="26">
        <f t="shared" si="7"/>
        <v>0</v>
      </c>
      <c r="AP23" s="114">
        <f t="shared" si="8"/>
        <v>0</v>
      </c>
      <c r="AQ23" s="10"/>
    </row>
    <row r="24">
      <c r="A24" s="20" t="str">
        <f>'MASTER STOCK'!F21</f>
        <v>Kabel tunggal serabut 0.8mmx25m biru 25m</v>
      </c>
      <c r="B24" s="21">
        <f>'NOV 25'!AJ:AJ</f>
        <v>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23">
        <f t="shared" si="3"/>
        <v>0</v>
      </c>
      <c r="AI24" s="24">
        <v>0.0</v>
      </c>
      <c r="AJ24" s="23">
        <f t="shared" si="4"/>
        <v>1</v>
      </c>
      <c r="AK24" s="23">
        <f t="shared" si="5"/>
        <v>1</v>
      </c>
      <c r="AL24" s="25">
        <f>'MASTER STOCK'!I21</f>
        <v>17500</v>
      </c>
      <c r="AM24" s="27">
        <f>'MASTER STOCK'!L21</f>
        <v>29750</v>
      </c>
      <c r="AN24" s="27">
        <f t="shared" si="6"/>
        <v>0</v>
      </c>
      <c r="AO24" s="26">
        <f t="shared" si="7"/>
        <v>0</v>
      </c>
      <c r="AP24" s="114">
        <f t="shared" si="8"/>
        <v>0</v>
      </c>
      <c r="AQ24" s="10"/>
    </row>
    <row r="25">
      <c r="A25" s="20" t="str">
        <f>'MASTER STOCK'!F22</f>
        <v>Kabel tunggal serabut 0.8mmx25m Hitam 25m</v>
      </c>
      <c r="B25" s="21">
        <f>'NOV 25'!AJ:AJ</f>
        <v>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23">
        <f t="shared" si="3"/>
        <v>0</v>
      </c>
      <c r="AI25" s="24">
        <v>0.0</v>
      </c>
      <c r="AJ25" s="23">
        <f t="shared" si="4"/>
        <v>1</v>
      </c>
      <c r="AK25" s="23">
        <f t="shared" si="5"/>
        <v>1</v>
      </c>
      <c r="AL25" s="25">
        <f>'MASTER STOCK'!I22</f>
        <v>17500</v>
      </c>
      <c r="AM25" s="27">
        <f>'MASTER STOCK'!L22</f>
        <v>29750</v>
      </c>
      <c r="AN25" s="27">
        <f t="shared" si="6"/>
        <v>0</v>
      </c>
      <c r="AO25" s="26">
        <f t="shared" si="7"/>
        <v>0</v>
      </c>
      <c r="AP25" s="114">
        <f t="shared" si="8"/>
        <v>0</v>
      </c>
      <c r="AQ25" s="10"/>
    </row>
    <row r="26">
      <c r="A26" s="20" t="str">
        <f>'MASTER STOCK'!F23</f>
        <v>Lampu Hias LED strip USB 10m+adaptor </v>
      </c>
      <c r="B26" s="21">
        <f>'NOV 25'!AJ:AJ</f>
        <v>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23">
        <f t="shared" si="3"/>
        <v>0</v>
      </c>
      <c r="AI26" s="24">
        <v>0.0</v>
      </c>
      <c r="AJ26" s="23">
        <f t="shared" si="4"/>
        <v>2</v>
      </c>
      <c r="AK26" s="23">
        <f t="shared" si="5"/>
        <v>2</v>
      </c>
      <c r="AL26" s="25">
        <f>'MASTER STOCK'!I23</f>
        <v>50000</v>
      </c>
      <c r="AM26" s="27">
        <f>'MASTER STOCK'!L23</f>
        <v>65000</v>
      </c>
      <c r="AN26" s="27">
        <f t="shared" si="6"/>
        <v>0</v>
      </c>
      <c r="AO26" s="26">
        <f t="shared" si="7"/>
        <v>0</v>
      </c>
      <c r="AP26" s="114">
        <f t="shared" si="8"/>
        <v>0</v>
      </c>
      <c r="AQ26" s="10"/>
    </row>
    <row r="27">
      <c r="A27" s="20" t="str">
        <f>'MASTER STOCK'!F24</f>
        <v>Lampu LED strip outdoor rainbow 10m +adaptor</v>
      </c>
      <c r="B27" s="21">
        <f>'NOV 25'!AJ:AJ</f>
        <v>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23">
        <f t="shared" si="3"/>
        <v>0</v>
      </c>
      <c r="AI27" s="24">
        <v>0.0</v>
      </c>
      <c r="AJ27" s="23">
        <f t="shared" si="4"/>
        <v>5</v>
      </c>
      <c r="AK27" s="23">
        <f t="shared" si="5"/>
        <v>5</v>
      </c>
      <c r="AL27" s="25">
        <f>'MASTER STOCK'!I24</f>
        <v>27000</v>
      </c>
      <c r="AM27" s="27">
        <f>'MASTER STOCK'!L24</f>
        <v>35100</v>
      </c>
      <c r="AN27" s="27">
        <f t="shared" si="6"/>
        <v>0</v>
      </c>
      <c r="AO27" s="26">
        <f t="shared" si="7"/>
        <v>0</v>
      </c>
      <c r="AP27" s="114">
        <f t="shared" si="8"/>
        <v>0</v>
      </c>
      <c r="AQ27" s="10"/>
    </row>
    <row r="28">
      <c r="A28" s="20" t="str">
        <f>'MASTER STOCK'!F25</f>
        <v>Lampu LED strip outdoor merah putih 10m +adaptor</v>
      </c>
      <c r="B28" s="21">
        <f>'NOV 25'!AJ:AJ</f>
        <v>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22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23">
        <f t="shared" si="3"/>
        <v>0</v>
      </c>
      <c r="AI28" s="24">
        <v>0.0</v>
      </c>
      <c r="AJ28" s="23">
        <f t="shared" si="4"/>
        <v>4</v>
      </c>
      <c r="AK28" s="23">
        <f t="shared" si="5"/>
        <v>4</v>
      </c>
      <c r="AL28" s="25">
        <f>'MASTER STOCK'!I25</f>
        <v>30000</v>
      </c>
      <c r="AM28" s="27">
        <f>'MASTER STOCK'!L25</f>
        <v>40500</v>
      </c>
      <c r="AN28" s="27">
        <f t="shared" si="6"/>
        <v>0</v>
      </c>
      <c r="AO28" s="26">
        <f t="shared" si="7"/>
        <v>0</v>
      </c>
      <c r="AP28" s="114">
        <f t="shared" si="8"/>
        <v>0</v>
      </c>
      <c r="AQ28" s="10"/>
    </row>
    <row r="29">
      <c r="A29" s="20" t="str">
        <f>'MASTER STOCK'!F26</f>
        <v>Lampu tumbler 10m (rainbow)</v>
      </c>
      <c r="B29" s="21">
        <f>'NOV 25'!AJ:AJ</f>
        <v>5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23">
        <f t="shared" si="3"/>
        <v>0</v>
      </c>
      <c r="AI29" s="24">
        <v>0.0</v>
      </c>
      <c r="AJ29" s="23">
        <f t="shared" si="4"/>
        <v>5</v>
      </c>
      <c r="AK29" s="23">
        <f t="shared" si="5"/>
        <v>5</v>
      </c>
      <c r="AL29" s="25">
        <f>'MASTER STOCK'!I26</f>
        <v>11000</v>
      </c>
      <c r="AM29" s="27">
        <f>'MASTER STOCK'!L26</f>
        <v>14300</v>
      </c>
      <c r="AN29" s="27">
        <f t="shared" si="6"/>
        <v>0</v>
      </c>
      <c r="AO29" s="26">
        <f t="shared" si="7"/>
        <v>0</v>
      </c>
      <c r="AP29" s="114">
        <f t="shared" si="8"/>
        <v>0</v>
      </c>
      <c r="AQ29" s="10"/>
    </row>
    <row r="30">
      <c r="A30" s="20" t="str">
        <f>'MASTER STOCK'!F27</f>
        <v>WD Gerinda potong besi</v>
      </c>
      <c r="B30" s="21">
        <f>'NOV 25'!AJ:AJ</f>
        <v>57</v>
      </c>
      <c r="C30" s="22">
        <v>1.0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22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23">
        <f t="shared" si="3"/>
        <v>1</v>
      </c>
      <c r="AI30" s="24">
        <v>0.0</v>
      </c>
      <c r="AJ30" s="23">
        <f t="shared" si="4"/>
        <v>56</v>
      </c>
      <c r="AK30" s="23">
        <f t="shared" si="5"/>
        <v>56</v>
      </c>
      <c r="AL30" s="25">
        <f>'MASTER STOCK'!I27</f>
        <v>2900</v>
      </c>
      <c r="AM30" s="27">
        <f>'MASTER STOCK'!L27</f>
        <v>5000</v>
      </c>
      <c r="AN30" s="27">
        <f t="shared" si="6"/>
        <v>5000</v>
      </c>
      <c r="AO30" s="26">
        <f t="shared" si="7"/>
        <v>2100</v>
      </c>
      <c r="AP30" s="114">
        <f t="shared" si="8"/>
        <v>2900</v>
      </c>
      <c r="AQ30" s="10"/>
    </row>
    <row r="31">
      <c r="A31" s="20" t="str">
        <f>'MASTER STOCK'!F28</f>
        <v>Meteran karet 7,5m (merk HPP)</v>
      </c>
      <c r="B31" s="21">
        <f>'NOV 25'!AJ:AJ</f>
        <v>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23">
        <f t="shared" si="3"/>
        <v>0</v>
      </c>
      <c r="AI31" s="24">
        <v>0.0</v>
      </c>
      <c r="AJ31" s="23">
        <f t="shared" si="4"/>
        <v>3</v>
      </c>
      <c r="AK31" s="23">
        <f t="shared" si="5"/>
        <v>3</v>
      </c>
      <c r="AL31" s="25">
        <f>'MASTER STOCK'!I28</f>
        <v>12800</v>
      </c>
      <c r="AM31" s="27">
        <f>'MASTER STOCK'!L28</f>
        <v>16640</v>
      </c>
      <c r="AN31" s="27">
        <f t="shared" si="6"/>
        <v>0</v>
      </c>
      <c r="AO31" s="26">
        <f t="shared" si="7"/>
        <v>0</v>
      </c>
      <c r="AP31" s="114">
        <f t="shared" si="8"/>
        <v>0</v>
      </c>
      <c r="AQ31" s="10"/>
    </row>
    <row r="32">
      <c r="A32" s="20" t="str">
        <f>'MASTER STOCK'!F29</f>
        <v>Meteran karet 5m (merk VPR)</v>
      </c>
      <c r="B32" s="21">
        <f>'NOV 25'!AJ:AJ</f>
        <v>3</v>
      </c>
      <c r="C32" s="2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23">
        <f t="shared" si="3"/>
        <v>0</v>
      </c>
      <c r="AI32" s="24">
        <v>0.0</v>
      </c>
      <c r="AJ32" s="23">
        <f t="shared" si="4"/>
        <v>3</v>
      </c>
      <c r="AK32" s="23">
        <f t="shared" si="5"/>
        <v>3</v>
      </c>
      <c r="AL32" s="25">
        <f>'MASTER STOCK'!I29</f>
        <v>7000</v>
      </c>
      <c r="AM32" s="27">
        <f>'MASTER STOCK'!L29</f>
        <v>9100</v>
      </c>
      <c r="AN32" s="27">
        <f t="shared" si="6"/>
        <v>0</v>
      </c>
      <c r="AO32" s="26">
        <f t="shared" si="7"/>
        <v>0</v>
      </c>
      <c r="AP32" s="114">
        <f t="shared" si="8"/>
        <v>0</v>
      </c>
      <c r="AQ32" s="10"/>
    </row>
    <row r="33">
      <c r="A33" s="20" t="str">
        <f>'MASTER STOCK'!F30</f>
        <v>Kuas cat 2 1/2" (merk MDN)</v>
      </c>
      <c r="B33" s="21">
        <f>'NOV 25'!AJ:AJ</f>
        <v>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23">
        <f t="shared" si="3"/>
        <v>0</v>
      </c>
      <c r="AI33" s="24">
        <v>0.0</v>
      </c>
      <c r="AJ33" s="23">
        <f t="shared" si="4"/>
        <v>5</v>
      </c>
      <c r="AK33" s="23">
        <f t="shared" si="5"/>
        <v>5</v>
      </c>
      <c r="AL33" s="25">
        <f>'MASTER STOCK'!I30</f>
        <v>5300</v>
      </c>
      <c r="AM33" s="27">
        <f>'MASTER STOCK'!L30</f>
        <v>6890</v>
      </c>
      <c r="AN33" s="27">
        <f t="shared" si="6"/>
        <v>0</v>
      </c>
      <c r="AO33" s="26">
        <f t="shared" si="7"/>
        <v>0</v>
      </c>
      <c r="AP33" s="114">
        <f t="shared" si="8"/>
        <v>0</v>
      </c>
      <c r="AQ33" s="10"/>
    </row>
    <row r="34">
      <c r="A34" s="20" t="str">
        <f>'MASTER STOCK'!F31</f>
        <v>Kuas cat 2" (merk MDN)</v>
      </c>
      <c r="B34" s="21">
        <f>'NOV 25'!AJ:AJ</f>
        <v>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23">
        <f t="shared" si="3"/>
        <v>0</v>
      </c>
      <c r="AI34" s="24">
        <v>0.0</v>
      </c>
      <c r="AJ34" s="23">
        <f t="shared" si="4"/>
        <v>5</v>
      </c>
      <c r="AK34" s="23">
        <f t="shared" si="5"/>
        <v>5</v>
      </c>
      <c r="AL34" s="25">
        <f>'MASTER STOCK'!I31</f>
        <v>4400</v>
      </c>
      <c r="AM34" s="27">
        <f>'MASTER STOCK'!L31</f>
        <v>5720</v>
      </c>
      <c r="AN34" s="27">
        <f t="shared" si="6"/>
        <v>0</v>
      </c>
      <c r="AO34" s="26">
        <f t="shared" si="7"/>
        <v>0</v>
      </c>
      <c r="AP34" s="114">
        <f t="shared" si="8"/>
        <v>0</v>
      </c>
      <c r="AQ34" s="10"/>
    </row>
    <row r="35">
      <c r="A35" s="20" t="str">
        <f>'MASTER STOCK'!F32</f>
        <v>Kuas cat 3" (merk MDN)</v>
      </c>
      <c r="B35" s="21">
        <f>'NOV 25'!AJ:AJ</f>
        <v>3</v>
      </c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22"/>
      <c r="R35" s="10"/>
      <c r="S35" s="10"/>
      <c r="T35" s="22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23">
        <f t="shared" si="3"/>
        <v>0</v>
      </c>
      <c r="AI35" s="24">
        <v>0.0</v>
      </c>
      <c r="AJ35" s="23">
        <f t="shared" si="4"/>
        <v>3</v>
      </c>
      <c r="AK35" s="23">
        <f t="shared" si="5"/>
        <v>3</v>
      </c>
      <c r="AL35" s="25">
        <f>'MASTER STOCK'!I32</f>
        <v>6300</v>
      </c>
      <c r="AM35" s="27">
        <f>'MASTER STOCK'!L32</f>
        <v>8190</v>
      </c>
      <c r="AN35" s="27">
        <f t="shared" si="6"/>
        <v>0</v>
      </c>
      <c r="AO35" s="26">
        <f t="shared" si="7"/>
        <v>0</v>
      </c>
      <c r="AP35" s="114">
        <f t="shared" si="8"/>
        <v>0</v>
      </c>
      <c r="AQ35" s="10"/>
    </row>
    <row r="36">
      <c r="A36" s="20" t="str">
        <f>'MASTER STOCK'!F33</f>
        <v>Kuas cat 1 1/2" (merk MDN)</v>
      </c>
      <c r="B36" s="21">
        <f>'NOV 25'!AJ:AJ</f>
        <v>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22">
        <v>1.0</v>
      </c>
      <c r="X36" s="10"/>
      <c r="Y36" s="10"/>
      <c r="Z36" s="10"/>
      <c r="AA36" s="10"/>
      <c r="AB36" s="22">
        <v>1.0</v>
      </c>
      <c r="AC36" s="10"/>
      <c r="AD36" s="10"/>
      <c r="AE36" s="10"/>
      <c r="AF36" s="10"/>
      <c r="AG36" s="10"/>
      <c r="AH36" s="23">
        <f t="shared" si="3"/>
        <v>2</v>
      </c>
      <c r="AI36" s="24">
        <v>0.0</v>
      </c>
      <c r="AJ36" s="23">
        <f t="shared" si="4"/>
        <v>3</v>
      </c>
      <c r="AK36" s="23">
        <f t="shared" si="5"/>
        <v>3</v>
      </c>
      <c r="AL36" s="25">
        <f>'MASTER STOCK'!I33</f>
        <v>3400</v>
      </c>
      <c r="AM36" s="27">
        <f>'MASTER STOCK'!L33</f>
        <v>4420</v>
      </c>
      <c r="AN36" s="27">
        <f t="shared" si="6"/>
        <v>8840</v>
      </c>
      <c r="AO36" s="26">
        <f t="shared" si="7"/>
        <v>2040</v>
      </c>
      <c r="AP36" s="114">
        <f t="shared" si="8"/>
        <v>6800</v>
      </c>
      <c r="AQ36" s="10"/>
    </row>
    <row r="37">
      <c r="A37" s="20" t="str">
        <f>'MASTER STOCK'!F34</f>
        <v>Kuas cat 1" (merk MDN)</v>
      </c>
      <c r="B37" s="21">
        <f>'NOV 25'!AJ:AJ</f>
        <v>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22"/>
      <c r="R37" s="10"/>
      <c r="S37" s="10"/>
      <c r="T37" s="22"/>
      <c r="U37" s="10"/>
      <c r="V37" s="10"/>
      <c r="W37" s="22">
        <v>1.0</v>
      </c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23">
        <f t="shared" si="3"/>
        <v>1</v>
      </c>
      <c r="AI37" s="24">
        <v>0.0</v>
      </c>
      <c r="AJ37" s="23">
        <f t="shared" si="4"/>
        <v>3</v>
      </c>
      <c r="AK37" s="23">
        <f t="shared" si="5"/>
        <v>3</v>
      </c>
      <c r="AL37" s="25">
        <f>'MASTER STOCK'!I34</f>
        <v>2300</v>
      </c>
      <c r="AM37" s="27">
        <f>'MASTER STOCK'!L34</f>
        <v>2990</v>
      </c>
      <c r="AN37" s="27">
        <f t="shared" si="6"/>
        <v>2990</v>
      </c>
      <c r="AO37" s="26">
        <f t="shared" si="7"/>
        <v>690</v>
      </c>
      <c r="AP37" s="114">
        <f t="shared" si="8"/>
        <v>2300</v>
      </c>
      <c r="AQ37" s="10"/>
    </row>
    <row r="38">
      <c r="A38" s="20" t="str">
        <f>'MASTER STOCK'!F35</f>
        <v>Kran PVC Tembok 3/4"</v>
      </c>
      <c r="B38" s="21">
        <f>'NOV 25'!AJ:AJ</f>
        <v>22</v>
      </c>
      <c r="C38" s="10"/>
      <c r="D38" s="22">
        <v>1.0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22"/>
      <c r="R38" s="10"/>
      <c r="S38" s="10"/>
      <c r="T38" s="10"/>
      <c r="U38" s="10"/>
      <c r="V38" s="10"/>
      <c r="W38" s="10"/>
      <c r="X38" s="10"/>
      <c r="Y38" s="10"/>
      <c r="Z38" s="10"/>
      <c r="AA38" s="22"/>
      <c r="AB38" s="10"/>
      <c r="AC38" s="10"/>
      <c r="AD38" s="10"/>
      <c r="AE38" s="10"/>
      <c r="AF38" s="10"/>
      <c r="AG38" s="22"/>
      <c r="AH38" s="23">
        <f t="shared" si="3"/>
        <v>1</v>
      </c>
      <c r="AI38" s="24">
        <v>0.0</v>
      </c>
      <c r="AJ38" s="23">
        <f t="shared" si="4"/>
        <v>21</v>
      </c>
      <c r="AK38" s="23">
        <f t="shared" si="5"/>
        <v>21</v>
      </c>
      <c r="AL38" s="25">
        <f>'MASTER STOCK'!I35</f>
        <v>4200</v>
      </c>
      <c r="AM38" s="27">
        <f>'MASTER STOCK'!L35</f>
        <v>6000</v>
      </c>
      <c r="AN38" s="27">
        <f t="shared" si="6"/>
        <v>6000</v>
      </c>
      <c r="AO38" s="26">
        <f t="shared" si="7"/>
        <v>1800</v>
      </c>
      <c r="AP38" s="114">
        <f t="shared" si="8"/>
        <v>4200</v>
      </c>
      <c r="AQ38" s="10"/>
    </row>
    <row r="39">
      <c r="A39" s="20" t="str">
        <f>'MASTER STOCK'!F36</f>
        <v>Kran PVC Tembok 1/2"</v>
      </c>
      <c r="B39" s="21">
        <f>'NOV 25'!AJ:AJ</f>
        <v>24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23">
        <f t="shared" si="3"/>
        <v>0</v>
      </c>
      <c r="AI39" s="24">
        <v>0.0</v>
      </c>
      <c r="AJ39" s="23">
        <f t="shared" si="4"/>
        <v>24</v>
      </c>
      <c r="AK39" s="23">
        <f t="shared" si="5"/>
        <v>24</v>
      </c>
      <c r="AL39" s="25">
        <f>'MASTER STOCK'!I36</f>
        <v>4200</v>
      </c>
      <c r="AM39" s="27">
        <f>'MASTER STOCK'!L36</f>
        <v>6000</v>
      </c>
      <c r="AN39" s="27">
        <f t="shared" si="6"/>
        <v>0</v>
      </c>
      <c r="AO39" s="26">
        <f t="shared" si="7"/>
        <v>0</v>
      </c>
      <c r="AP39" s="114">
        <f t="shared" si="8"/>
        <v>0</v>
      </c>
      <c r="AQ39" s="10"/>
    </row>
    <row r="40">
      <c r="A40" s="20" t="str">
        <f>'MASTER STOCK'!F37</f>
        <v>Lampu bohlam inlite 5w Putih</v>
      </c>
      <c r="B40" s="21">
        <f>'NOV 25'!AJ:AJ</f>
        <v>7</v>
      </c>
      <c r="C40" s="22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23">
        <f t="shared" si="3"/>
        <v>0</v>
      </c>
      <c r="AI40" s="24">
        <v>0.0</v>
      </c>
      <c r="AJ40" s="23">
        <f t="shared" si="4"/>
        <v>7</v>
      </c>
      <c r="AK40" s="23">
        <f t="shared" si="5"/>
        <v>7</v>
      </c>
      <c r="AL40" s="25">
        <f>'MASTER STOCK'!I37</f>
        <v>13000</v>
      </c>
      <c r="AM40" s="27">
        <f>'MASTER STOCK'!L37</f>
        <v>18200</v>
      </c>
      <c r="AN40" s="27">
        <f t="shared" si="6"/>
        <v>0</v>
      </c>
      <c r="AO40" s="26">
        <f t="shared" si="7"/>
        <v>0</v>
      </c>
      <c r="AP40" s="114">
        <f t="shared" si="8"/>
        <v>0</v>
      </c>
      <c r="AQ40" s="10"/>
    </row>
    <row r="41">
      <c r="A41" s="20" t="str">
        <f>'MASTER STOCK'!F38</f>
        <v>Lampu bohlam inlite 7w Putih</v>
      </c>
      <c r="B41" s="21">
        <f>'NOV 25'!AJ:AJ</f>
        <v>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23">
        <f t="shared" si="3"/>
        <v>0</v>
      </c>
      <c r="AI41" s="24">
        <v>0.0</v>
      </c>
      <c r="AJ41" s="23">
        <f t="shared" si="4"/>
        <v>2</v>
      </c>
      <c r="AK41" s="23">
        <f t="shared" si="5"/>
        <v>2</v>
      </c>
      <c r="AL41" s="25">
        <f>'MASTER STOCK'!I38</f>
        <v>16200</v>
      </c>
      <c r="AM41" s="27">
        <f>'MASTER STOCK'!L38</f>
        <v>22680</v>
      </c>
      <c r="AN41" s="27">
        <f t="shared" si="6"/>
        <v>0</v>
      </c>
      <c r="AO41" s="26">
        <f t="shared" si="7"/>
        <v>0</v>
      </c>
      <c r="AP41" s="114">
        <f t="shared" si="8"/>
        <v>0</v>
      </c>
      <c r="AQ41" s="10"/>
    </row>
    <row r="42">
      <c r="A42" s="20" t="str">
        <f>'MASTER STOCK'!F39</f>
        <v>Lampu bohlam inlite 15w Putih</v>
      </c>
      <c r="B42" s="21">
        <f>'NOV 25'!AJ:AJ</f>
        <v>4</v>
      </c>
      <c r="C42" s="22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23">
        <f t="shared" si="3"/>
        <v>0</v>
      </c>
      <c r="AI42" s="24">
        <v>0.0</v>
      </c>
      <c r="AJ42" s="23">
        <f t="shared" si="4"/>
        <v>4</v>
      </c>
      <c r="AK42" s="23">
        <f t="shared" si="5"/>
        <v>4</v>
      </c>
      <c r="AL42" s="25">
        <f>'MASTER STOCK'!I39</f>
        <v>28000</v>
      </c>
      <c r="AM42" s="27">
        <f>'MASTER STOCK'!L39</f>
        <v>39200</v>
      </c>
      <c r="AN42" s="27">
        <f t="shared" si="6"/>
        <v>0</v>
      </c>
      <c r="AO42" s="26">
        <f t="shared" si="7"/>
        <v>0</v>
      </c>
      <c r="AP42" s="114">
        <f t="shared" si="8"/>
        <v>0</v>
      </c>
      <c r="AQ42" s="10"/>
    </row>
    <row r="43">
      <c r="A43" s="20" t="str">
        <f>'MASTER STOCK'!F40</f>
        <v>Lampu bohlam inlite 12w Putih</v>
      </c>
      <c r="B43" s="21">
        <f>'NOV 25'!AJ:AJ</f>
        <v>3</v>
      </c>
      <c r="C43" s="22"/>
      <c r="D43" s="10"/>
      <c r="E43" s="10"/>
      <c r="F43" s="10"/>
      <c r="G43" s="10"/>
      <c r="H43" s="10"/>
      <c r="I43" s="22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22"/>
      <c r="AC43" s="10"/>
      <c r="AD43" s="10"/>
      <c r="AE43" s="22"/>
      <c r="AF43" s="10"/>
      <c r="AG43" s="22"/>
      <c r="AH43" s="23">
        <f t="shared" si="3"/>
        <v>0</v>
      </c>
      <c r="AI43" s="24">
        <v>0.0</v>
      </c>
      <c r="AJ43" s="23">
        <f t="shared" si="4"/>
        <v>3</v>
      </c>
      <c r="AK43" s="23">
        <f t="shared" si="5"/>
        <v>3</v>
      </c>
      <c r="AL43" s="25">
        <f>'MASTER STOCK'!I40</f>
        <v>25000</v>
      </c>
      <c r="AM43" s="27">
        <f>'MASTER STOCK'!L40</f>
        <v>30000</v>
      </c>
      <c r="AN43" s="27">
        <f t="shared" si="6"/>
        <v>0</v>
      </c>
      <c r="AO43" s="26">
        <f t="shared" si="7"/>
        <v>0</v>
      </c>
      <c r="AP43" s="114">
        <f t="shared" si="8"/>
        <v>0</v>
      </c>
      <c r="AQ43" s="10"/>
    </row>
    <row r="44">
      <c r="A44" s="20" t="str">
        <f>'MASTER STOCK'!F41</f>
        <v>Lampu tintin platinum LED 9w</v>
      </c>
      <c r="B44" s="21">
        <f>'NOV 25'!AJ:AJ</f>
        <v>4</v>
      </c>
      <c r="C44" s="10"/>
      <c r="D44" s="10"/>
      <c r="E44" s="22">
        <v>1.0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22"/>
      <c r="S44" s="10"/>
      <c r="T44" s="22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22">
        <v>1.0</v>
      </c>
      <c r="AF44" s="10"/>
      <c r="AG44" s="10"/>
      <c r="AH44" s="23">
        <f t="shared" si="3"/>
        <v>2</v>
      </c>
      <c r="AI44" s="24">
        <v>0.0</v>
      </c>
      <c r="AJ44" s="23">
        <f t="shared" si="4"/>
        <v>2</v>
      </c>
      <c r="AK44" s="23">
        <f t="shared" si="5"/>
        <v>2</v>
      </c>
      <c r="AL44" s="25">
        <f>'MASTER STOCK'!I41</f>
        <v>7000</v>
      </c>
      <c r="AM44" s="27">
        <f>'MASTER STOCK'!L41</f>
        <v>9800</v>
      </c>
      <c r="AN44" s="27">
        <f t="shared" si="6"/>
        <v>19600</v>
      </c>
      <c r="AO44" s="26">
        <f t="shared" si="7"/>
        <v>5600</v>
      </c>
      <c r="AP44" s="114">
        <f t="shared" si="8"/>
        <v>14000</v>
      </c>
      <c r="AQ44" s="10"/>
    </row>
    <row r="45">
      <c r="A45" s="20" t="str">
        <f>'MASTER STOCK'!F42</f>
        <v>Lampu tintin platinum LED 5w</v>
      </c>
      <c r="B45" s="21">
        <f>'NOV 25'!AJ:AJ</f>
        <v>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22"/>
      <c r="S45" s="10"/>
      <c r="T45" s="22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23">
        <f t="shared" si="3"/>
        <v>0</v>
      </c>
      <c r="AI45" s="24">
        <v>0.0</v>
      </c>
      <c r="AJ45" s="23">
        <f t="shared" si="4"/>
        <v>3</v>
      </c>
      <c r="AK45" s="23">
        <f t="shared" si="5"/>
        <v>3</v>
      </c>
      <c r="AL45" s="25">
        <f>'MASTER STOCK'!I42</f>
        <v>5000</v>
      </c>
      <c r="AM45" s="27">
        <f>'MASTER STOCK'!L42</f>
        <v>7000</v>
      </c>
      <c r="AN45" s="27">
        <f t="shared" si="6"/>
        <v>0</v>
      </c>
      <c r="AO45" s="26">
        <f t="shared" si="7"/>
        <v>0</v>
      </c>
      <c r="AP45" s="114">
        <f t="shared" si="8"/>
        <v>0</v>
      </c>
      <c r="AQ45" s="10"/>
    </row>
    <row r="46">
      <c r="A46" s="20" t="str">
        <f>'MASTER STOCK'!F43</f>
        <v>Lampu tintin platinum LED 21w</v>
      </c>
      <c r="B46" s="21">
        <f>'NOV 25'!AJ:AJ</f>
        <v>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23">
        <f t="shared" si="3"/>
        <v>0</v>
      </c>
      <c r="AI46" s="24">
        <v>0.0</v>
      </c>
      <c r="AJ46" s="23">
        <f t="shared" si="4"/>
        <v>3</v>
      </c>
      <c r="AK46" s="23">
        <f t="shared" si="5"/>
        <v>3</v>
      </c>
      <c r="AL46" s="25">
        <f>'MASTER STOCK'!I43</f>
        <v>15500</v>
      </c>
      <c r="AM46" s="27">
        <f>'MASTER STOCK'!L43</f>
        <v>21700</v>
      </c>
      <c r="AN46" s="27">
        <f t="shared" si="6"/>
        <v>0</v>
      </c>
      <c r="AO46" s="26">
        <f t="shared" si="7"/>
        <v>0</v>
      </c>
      <c r="AP46" s="114">
        <f t="shared" si="8"/>
        <v>0</v>
      </c>
      <c r="AQ46" s="10"/>
    </row>
    <row r="47">
      <c r="A47" s="20" t="str">
        <f>'MASTER STOCK'!F44</f>
        <v>Lampu tintin platinum LED 15w</v>
      </c>
      <c r="B47" s="21">
        <f>'NOV 25'!AJ:AJ</f>
        <v>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22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23">
        <f t="shared" si="3"/>
        <v>0</v>
      </c>
      <c r="AI47" s="24">
        <v>0.0</v>
      </c>
      <c r="AJ47" s="23">
        <f t="shared" si="4"/>
        <v>4</v>
      </c>
      <c r="AK47" s="23">
        <f t="shared" si="5"/>
        <v>4</v>
      </c>
      <c r="AL47" s="25">
        <f>'MASTER STOCK'!I44</f>
        <v>8800</v>
      </c>
      <c r="AM47" s="27">
        <f>'MASTER STOCK'!L44</f>
        <v>13000</v>
      </c>
      <c r="AN47" s="27">
        <f t="shared" si="6"/>
        <v>0</v>
      </c>
      <c r="AO47" s="26">
        <f t="shared" si="7"/>
        <v>0</v>
      </c>
      <c r="AP47" s="114">
        <f t="shared" si="8"/>
        <v>0</v>
      </c>
      <c r="AQ47" s="10"/>
    </row>
    <row r="48">
      <c r="A48" s="20" t="str">
        <f>'MASTER STOCK'!F45</f>
        <v>Lampu tintin platinum LED 12w</v>
      </c>
      <c r="B48" s="21">
        <f>'NOV 25'!AJ:AJ</f>
        <v>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23">
        <f t="shared" si="3"/>
        <v>0</v>
      </c>
      <c r="AI48" s="24">
        <v>0.0</v>
      </c>
      <c r="AJ48" s="23">
        <f t="shared" si="4"/>
        <v>5</v>
      </c>
      <c r="AK48" s="23">
        <f t="shared" si="5"/>
        <v>5</v>
      </c>
      <c r="AL48" s="25">
        <f>'MASTER STOCK'!I45</f>
        <v>7800</v>
      </c>
      <c r="AM48" s="27">
        <f>'MASTER STOCK'!L45</f>
        <v>10920</v>
      </c>
      <c r="AN48" s="27">
        <f t="shared" si="6"/>
        <v>0</v>
      </c>
      <c r="AO48" s="26">
        <f t="shared" si="7"/>
        <v>0</v>
      </c>
      <c r="AP48" s="114">
        <f t="shared" si="8"/>
        <v>0</v>
      </c>
      <c r="AQ48" s="10"/>
    </row>
    <row r="49">
      <c r="A49" s="20" t="str">
        <f>'MASTER STOCK'!F46</f>
        <v>Lampu tintin platinum LED 7w</v>
      </c>
      <c r="B49" s="21">
        <f>'NOV 25'!AJ:AJ</f>
        <v>3</v>
      </c>
      <c r="C49" s="10"/>
      <c r="D49" s="10"/>
      <c r="E49" s="22">
        <v>1.0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22"/>
      <c r="T49" s="10"/>
      <c r="U49" s="10"/>
      <c r="V49" s="22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23">
        <f t="shared" si="3"/>
        <v>1</v>
      </c>
      <c r="AI49" s="24">
        <v>0.0</v>
      </c>
      <c r="AJ49" s="23">
        <f t="shared" si="4"/>
        <v>2</v>
      </c>
      <c r="AK49" s="23">
        <f t="shared" si="5"/>
        <v>2</v>
      </c>
      <c r="AL49" s="25">
        <f>'MASTER STOCK'!I46</f>
        <v>5800</v>
      </c>
      <c r="AM49" s="27">
        <f>'MASTER STOCK'!L46</f>
        <v>8120</v>
      </c>
      <c r="AN49" s="27">
        <f t="shared" si="6"/>
        <v>8120</v>
      </c>
      <c r="AO49" s="26">
        <f t="shared" si="7"/>
        <v>2320</v>
      </c>
      <c r="AP49" s="114">
        <f t="shared" si="8"/>
        <v>5800</v>
      </c>
      <c r="AQ49" s="10"/>
    </row>
    <row r="50">
      <c r="A50" s="20" t="str">
        <f>'MASTER STOCK'!F47</f>
        <v>Gergaji kayu (POPEYE) 18 inch </v>
      </c>
      <c r="B50" s="21">
        <f>'NOV 25'!AJ:AJ</f>
        <v>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23">
        <f t="shared" si="3"/>
        <v>0</v>
      </c>
      <c r="AI50" s="24">
        <v>0.0</v>
      </c>
      <c r="AJ50" s="23">
        <f t="shared" si="4"/>
        <v>4</v>
      </c>
      <c r="AK50" s="23">
        <f t="shared" si="5"/>
        <v>4</v>
      </c>
      <c r="AL50" s="25">
        <f>'MASTER STOCK'!I47</f>
        <v>15000</v>
      </c>
      <c r="AM50" s="27">
        <f>'MASTER STOCK'!L47</f>
        <v>19500</v>
      </c>
      <c r="AN50" s="27">
        <f t="shared" si="6"/>
        <v>0</v>
      </c>
      <c r="AO50" s="26">
        <f t="shared" si="7"/>
        <v>0</v>
      </c>
      <c r="AP50" s="114">
        <f t="shared" si="8"/>
        <v>0</v>
      </c>
      <c r="AQ50" s="10"/>
    </row>
    <row r="51">
      <c r="A51" s="20" t="str">
        <f>'MASTER STOCK'!F48</f>
        <v>Kapi plamir plastik PVC 9" (23cm)</v>
      </c>
      <c r="B51" s="21">
        <f>'NOV 25'!AJ:AJ</f>
        <v>10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23">
        <f t="shared" si="3"/>
        <v>0</v>
      </c>
      <c r="AI51" s="24">
        <v>0.0</v>
      </c>
      <c r="AJ51" s="23">
        <f t="shared" si="4"/>
        <v>10</v>
      </c>
      <c r="AK51" s="23">
        <f t="shared" si="5"/>
        <v>10</v>
      </c>
      <c r="AL51" s="25">
        <f>'MASTER STOCK'!I48</f>
        <v>2200</v>
      </c>
      <c r="AM51" s="27">
        <f>'MASTER STOCK'!L48</f>
        <v>3300</v>
      </c>
      <c r="AN51" s="27">
        <f t="shared" si="6"/>
        <v>0</v>
      </c>
      <c r="AO51" s="26">
        <f t="shared" si="7"/>
        <v>0</v>
      </c>
      <c r="AP51" s="114">
        <f t="shared" si="8"/>
        <v>0</v>
      </c>
      <c r="AQ51" s="10"/>
    </row>
    <row r="52">
      <c r="A52" s="20" t="str">
        <f>'MASTER STOCK'!F49</f>
        <v>Kapi plamir plastik PVC 5" (12cm)</v>
      </c>
      <c r="B52" s="21">
        <f>'NOV 25'!AJ:AJ</f>
        <v>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23">
        <f t="shared" si="3"/>
        <v>0</v>
      </c>
      <c r="AI52" s="24">
        <v>0.0</v>
      </c>
      <c r="AJ52" s="23">
        <f t="shared" si="4"/>
        <v>5</v>
      </c>
      <c r="AK52" s="23">
        <f t="shared" si="5"/>
        <v>5</v>
      </c>
      <c r="AL52" s="25">
        <f>'MASTER STOCK'!I49</f>
        <v>1100</v>
      </c>
      <c r="AM52" s="27">
        <f>'MASTER STOCK'!L49</f>
        <v>1650</v>
      </c>
      <c r="AN52" s="27">
        <f t="shared" si="6"/>
        <v>0</v>
      </c>
      <c r="AO52" s="26">
        <f t="shared" si="7"/>
        <v>0</v>
      </c>
      <c r="AP52" s="114">
        <f t="shared" si="8"/>
        <v>0</v>
      </c>
      <c r="AQ52" s="10"/>
    </row>
    <row r="53">
      <c r="A53" s="20" t="str">
        <f>'MASTER STOCK'!F50</f>
        <v>Kapi plamir plastik PVC 7" (18cm)</v>
      </c>
      <c r="B53" s="21">
        <f>'NOV 25'!AJ:AJ</f>
        <v>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23">
        <f t="shared" si="3"/>
        <v>0</v>
      </c>
      <c r="AI53" s="24">
        <v>0.0</v>
      </c>
      <c r="AJ53" s="23">
        <f t="shared" si="4"/>
        <v>10</v>
      </c>
      <c r="AK53" s="23">
        <f t="shared" si="5"/>
        <v>10</v>
      </c>
      <c r="AL53" s="25">
        <f>'MASTER STOCK'!I50</f>
        <v>1500</v>
      </c>
      <c r="AM53" s="27">
        <f>'MASTER STOCK'!L50</f>
        <v>2250</v>
      </c>
      <c r="AN53" s="27">
        <f t="shared" si="6"/>
        <v>0</v>
      </c>
      <c r="AO53" s="26">
        <f t="shared" si="7"/>
        <v>0</v>
      </c>
      <c r="AP53" s="114">
        <f t="shared" si="8"/>
        <v>0</v>
      </c>
      <c r="AQ53" s="10"/>
    </row>
    <row r="54">
      <c r="A54" s="20" t="str">
        <f>'MASTER STOCK'!F51</f>
        <v>Tang Kombinasi karet 8"</v>
      </c>
      <c r="B54" s="21">
        <f>'NOV 25'!AJ:AJ</f>
        <v>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23">
        <f t="shared" si="3"/>
        <v>0</v>
      </c>
      <c r="AI54" s="24">
        <v>0.0</v>
      </c>
      <c r="AJ54" s="23">
        <f t="shared" si="4"/>
        <v>5</v>
      </c>
      <c r="AK54" s="23">
        <f t="shared" si="5"/>
        <v>5</v>
      </c>
      <c r="AL54" s="25">
        <f>'MASTER STOCK'!I51</f>
        <v>12000</v>
      </c>
      <c r="AM54" s="27">
        <f>'MASTER STOCK'!L51</f>
        <v>15600</v>
      </c>
      <c r="AN54" s="27">
        <f t="shared" si="6"/>
        <v>0</v>
      </c>
      <c r="AO54" s="26">
        <f t="shared" si="7"/>
        <v>0</v>
      </c>
      <c r="AP54" s="114">
        <f t="shared" si="8"/>
        <v>0</v>
      </c>
      <c r="AQ54" s="10"/>
    </row>
    <row r="55">
      <c r="A55" s="20" t="str">
        <f>'MASTER STOCK'!F52</f>
        <v>Tang Kombinasi 8"</v>
      </c>
      <c r="B55" s="21">
        <f>'NOV 25'!AJ:AJ</f>
        <v>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23">
        <f t="shared" si="3"/>
        <v>0</v>
      </c>
      <c r="AI55" s="24">
        <v>0.0</v>
      </c>
      <c r="AJ55" s="23">
        <f t="shared" si="4"/>
        <v>5</v>
      </c>
      <c r="AK55" s="23">
        <f t="shared" si="5"/>
        <v>5</v>
      </c>
      <c r="AL55" s="25">
        <f>'MASTER STOCK'!I52</f>
        <v>12500</v>
      </c>
      <c r="AM55" s="27">
        <f>'MASTER STOCK'!L52</f>
        <v>16250</v>
      </c>
      <c r="AN55" s="27">
        <f t="shared" si="6"/>
        <v>0</v>
      </c>
      <c r="AO55" s="26">
        <f t="shared" si="7"/>
        <v>0</v>
      </c>
      <c r="AP55" s="114">
        <f t="shared" si="8"/>
        <v>0</v>
      </c>
      <c r="AQ55" s="10"/>
    </row>
    <row r="56">
      <c r="A56" s="20" t="str">
        <f>'MASTER STOCK'!F53</f>
        <v>Stop Kontak Hitam 3L 5M </v>
      </c>
      <c r="B56" s="21">
        <f>'NOV 25'!AJ:AJ</f>
        <v>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23">
        <f t="shared" si="3"/>
        <v>0</v>
      </c>
      <c r="AI56" s="24">
        <v>0.0</v>
      </c>
      <c r="AJ56" s="23">
        <f t="shared" si="4"/>
        <v>2</v>
      </c>
      <c r="AK56" s="23">
        <f t="shared" si="5"/>
        <v>2</v>
      </c>
      <c r="AL56" s="25">
        <f>'MASTER STOCK'!I53</f>
        <v>18400</v>
      </c>
      <c r="AM56" s="27">
        <f>'MASTER STOCK'!L53</f>
        <v>27600</v>
      </c>
      <c r="AN56" s="27">
        <f t="shared" si="6"/>
        <v>0</v>
      </c>
      <c r="AO56" s="26">
        <f t="shared" si="7"/>
        <v>0</v>
      </c>
      <c r="AP56" s="114">
        <f t="shared" si="8"/>
        <v>0</v>
      </c>
      <c r="AQ56" s="10"/>
    </row>
    <row r="57">
      <c r="A57" s="20" t="str">
        <f>'MASTER STOCK'!F54</f>
        <v>Stop Kontak Hitam 4L 5M </v>
      </c>
      <c r="B57" s="21">
        <f>'NOV 25'!AJ:AJ</f>
        <v>3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23">
        <f t="shared" si="3"/>
        <v>0</v>
      </c>
      <c r="AI57" s="24">
        <v>0.0</v>
      </c>
      <c r="AJ57" s="23">
        <f t="shared" si="4"/>
        <v>3</v>
      </c>
      <c r="AK57" s="23">
        <f t="shared" si="5"/>
        <v>3</v>
      </c>
      <c r="AL57" s="25">
        <f>'MASTER STOCK'!I54</f>
        <v>19600</v>
      </c>
      <c r="AM57" s="27">
        <f>'MASTER STOCK'!L54</f>
        <v>29400</v>
      </c>
      <c r="AN57" s="27">
        <f t="shared" si="6"/>
        <v>0</v>
      </c>
      <c r="AO57" s="26">
        <f t="shared" si="7"/>
        <v>0</v>
      </c>
      <c r="AP57" s="114">
        <f t="shared" si="8"/>
        <v>0</v>
      </c>
      <c r="AQ57" s="10"/>
    </row>
    <row r="58">
      <c r="A58" s="20" t="str">
        <f>'MASTER STOCK'!F55</f>
        <v>Stop Kontak Hitam 5L 5M </v>
      </c>
      <c r="B58" s="21">
        <f>'NOV 25'!AJ:AJ</f>
        <v>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23">
        <f t="shared" si="3"/>
        <v>0</v>
      </c>
      <c r="AI58" s="24">
        <v>0.0</v>
      </c>
      <c r="AJ58" s="23">
        <f t="shared" si="4"/>
        <v>6</v>
      </c>
      <c r="AK58" s="23">
        <f t="shared" si="5"/>
        <v>6</v>
      </c>
      <c r="AL58" s="25">
        <f>'MASTER STOCK'!I55</f>
        <v>21000</v>
      </c>
      <c r="AM58" s="27">
        <f>'MASTER STOCK'!L55</f>
        <v>31500</v>
      </c>
      <c r="AN58" s="27">
        <f t="shared" si="6"/>
        <v>0</v>
      </c>
      <c r="AO58" s="26">
        <f t="shared" si="7"/>
        <v>0</v>
      </c>
      <c r="AP58" s="114">
        <f t="shared" si="8"/>
        <v>0</v>
      </c>
      <c r="AQ58" s="10"/>
    </row>
    <row r="59">
      <c r="A59" s="20" t="str">
        <f>'MASTER STOCK'!F56</f>
        <v>Stop Kontak Hitam 2L 5M </v>
      </c>
      <c r="B59" s="21">
        <f>'NOV 25'!AJ:AJ</f>
        <v>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23">
        <f t="shared" si="3"/>
        <v>0</v>
      </c>
      <c r="AI59" s="24">
        <v>0.0</v>
      </c>
      <c r="AJ59" s="23">
        <f t="shared" si="4"/>
        <v>2</v>
      </c>
      <c r="AK59" s="23">
        <f t="shared" si="5"/>
        <v>2</v>
      </c>
      <c r="AL59" s="25">
        <f>'MASTER STOCK'!I56</f>
        <v>17000</v>
      </c>
      <c r="AM59" s="27">
        <f>'MASTER STOCK'!L56</f>
        <v>25500</v>
      </c>
      <c r="AN59" s="27">
        <f t="shared" si="6"/>
        <v>0</v>
      </c>
      <c r="AO59" s="26">
        <f t="shared" si="7"/>
        <v>0</v>
      </c>
      <c r="AP59" s="114">
        <f t="shared" si="8"/>
        <v>0</v>
      </c>
      <c r="AQ59" s="10"/>
    </row>
    <row r="60">
      <c r="A60" s="20" t="str">
        <f>'MASTER STOCK'!F57</f>
        <v>Palu Konde besi cor gagang kayu ukuran 1LB</v>
      </c>
      <c r="B60" s="21">
        <f>'NOV 25'!AJ:AJ</f>
        <v>3</v>
      </c>
      <c r="C60" s="22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23">
        <f t="shared" si="3"/>
        <v>0</v>
      </c>
      <c r="AI60" s="24">
        <v>0.0</v>
      </c>
      <c r="AJ60" s="23">
        <f t="shared" si="4"/>
        <v>3</v>
      </c>
      <c r="AK60" s="23">
        <f t="shared" si="5"/>
        <v>3</v>
      </c>
      <c r="AL60" s="25">
        <f>'MASTER STOCK'!I57</f>
        <v>17000</v>
      </c>
      <c r="AM60" s="27">
        <f>'MASTER STOCK'!L57</f>
        <v>22100</v>
      </c>
      <c r="AN60" s="27">
        <f t="shared" si="6"/>
        <v>0</v>
      </c>
      <c r="AO60" s="26">
        <f t="shared" si="7"/>
        <v>0</v>
      </c>
      <c r="AP60" s="114">
        <f t="shared" si="8"/>
        <v>0</v>
      </c>
      <c r="AQ60" s="10"/>
    </row>
    <row r="61">
      <c r="A61" s="20" t="str">
        <f>'MASTER STOCK'!F58</f>
        <v>Lem kuning 100gr</v>
      </c>
      <c r="B61" s="21">
        <f>'NOV 25'!AJ:AJ</f>
        <v>21</v>
      </c>
      <c r="C61" s="22"/>
      <c r="D61" s="22"/>
      <c r="E61" s="10"/>
      <c r="F61" s="10"/>
      <c r="G61" s="10"/>
      <c r="H61" s="10"/>
      <c r="I61" s="22"/>
      <c r="J61" s="10"/>
      <c r="K61" s="10"/>
      <c r="L61" s="10"/>
      <c r="M61" s="10"/>
      <c r="N61" s="10"/>
      <c r="O61" s="10"/>
      <c r="P61" s="10"/>
      <c r="Q61" s="22"/>
      <c r="R61" s="10"/>
      <c r="S61" s="10"/>
      <c r="T61" s="10"/>
      <c r="U61" s="10"/>
      <c r="V61" s="10"/>
      <c r="W61" s="10"/>
      <c r="X61" s="10"/>
      <c r="Y61" s="10"/>
      <c r="Z61" s="10"/>
      <c r="AA61" s="22"/>
      <c r="AB61" s="10"/>
      <c r="AC61" s="10"/>
      <c r="AD61" s="10"/>
      <c r="AE61" s="10"/>
      <c r="AF61" s="10"/>
      <c r="AG61" s="10"/>
      <c r="AH61" s="23">
        <f t="shared" si="3"/>
        <v>0</v>
      </c>
      <c r="AI61" s="24">
        <v>0.0</v>
      </c>
      <c r="AJ61" s="23">
        <f t="shared" si="4"/>
        <v>21</v>
      </c>
      <c r="AK61" s="23">
        <f t="shared" si="5"/>
        <v>21</v>
      </c>
      <c r="AL61" s="25">
        <f>'MASTER STOCK'!I58</f>
        <v>10000</v>
      </c>
      <c r="AM61" s="27">
        <f>'MASTER STOCK'!L58</f>
        <v>15000</v>
      </c>
      <c r="AN61" s="27">
        <f t="shared" si="6"/>
        <v>0</v>
      </c>
      <c r="AO61" s="26">
        <f t="shared" si="7"/>
        <v>0</v>
      </c>
      <c r="AP61" s="114">
        <f t="shared" si="8"/>
        <v>0</v>
      </c>
      <c r="AQ61" s="10"/>
    </row>
    <row r="62">
      <c r="A62" s="20" t="str">
        <f>'MASTER STOCK'!F59</f>
        <v>Lem aica aibon kuning 125gr</v>
      </c>
      <c r="B62" s="21">
        <f>'NOV 25'!AJ:AJ</f>
        <v>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22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23">
        <f t="shared" si="3"/>
        <v>0</v>
      </c>
      <c r="AI62" s="24">
        <v>0.0</v>
      </c>
      <c r="AJ62" s="23">
        <f t="shared" si="4"/>
        <v>1</v>
      </c>
      <c r="AK62" s="23">
        <f t="shared" si="5"/>
        <v>1</v>
      </c>
      <c r="AL62" s="25">
        <f>'MASTER STOCK'!I59</f>
        <v>18200</v>
      </c>
      <c r="AM62" s="27">
        <f>'MASTER STOCK'!L59</f>
        <v>27300</v>
      </c>
      <c r="AN62" s="27">
        <f t="shared" si="6"/>
        <v>0</v>
      </c>
      <c r="AO62" s="26">
        <f t="shared" si="7"/>
        <v>0</v>
      </c>
      <c r="AP62" s="114">
        <f t="shared" si="8"/>
        <v>0</v>
      </c>
      <c r="AQ62" s="10"/>
    </row>
    <row r="63">
      <c r="A63" s="20" t="str">
        <f>'MASTER STOCK'!F60</f>
        <v>Kuas 4" incco</v>
      </c>
      <c r="B63" s="21">
        <f>'NOV 25'!AJ:AJ</f>
        <v>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22"/>
      <c r="U63" s="10"/>
      <c r="V63" s="10"/>
      <c r="W63" s="10"/>
      <c r="X63" s="10"/>
      <c r="Y63" s="10"/>
      <c r="Z63" s="10"/>
      <c r="AA63" s="10"/>
      <c r="AB63" s="10"/>
      <c r="AC63" s="10"/>
      <c r="AD63" s="22"/>
      <c r="AE63" s="10"/>
      <c r="AF63" s="10"/>
      <c r="AG63" s="10"/>
      <c r="AH63" s="23">
        <f t="shared" si="3"/>
        <v>0</v>
      </c>
      <c r="AI63" s="24">
        <v>0.0</v>
      </c>
      <c r="AJ63" s="23">
        <f t="shared" si="4"/>
        <v>1</v>
      </c>
      <c r="AK63" s="23">
        <f t="shared" si="5"/>
        <v>1</v>
      </c>
      <c r="AL63" s="25">
        <f>'MASTER STOCK'!I60</f>
        <v>15000</v>
      </c>
      <c r="AM63" s="27">
        <f>'MASTER STOCK'!L60</f>
        <v>19500</v>
      </c>
      <c r="AN63" s="27">
        <f t="shared" si="6"/>
        <v>0</v>
      </c>
      <c r="AO63" s="26">
        <f t="shared" si="7"/>
        <v>0</v>
      </c>
      <c r="AP63" s="114">
        <f t="shared" si="8"/>
        <v>0</v>
      </c>
      <c r="AQ63" s="10"/>
    </row>
    <row r="64">
      <c r="A64" s="20" t="str">
        <f>'MASTER STOCK'!F61</f>
        <v>Meteran Autostop Wilmer 5m*19mm</v>
      </c>
      <c r="B64" s="21">
        <f>'NOV 25'!AJ:AJ</f>
        <v>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22"/>
      <c r="AE64" s="10"/>
      <c r="AF64" s="10"/>
      <c r="AG64" s="10"/>
      <c r="AH64" s="23">
        <f t="shared" si="3"/>
        <v>0</v>
      </c>
      <c r="AI64" s="24">
        <v>0.0</v>
      </c>
      <c r="AJ64" s="23">
        <f t="shared" si="4"/>
        <v>1</v>
      </c>
      <c r="AK64" s="23">
        <f t="shared" si="5"/>
        <v>1</v>
      </c>
      <c r="AL64" s="25">
        <f>'MASTER STOCK'!I61</f>
        <v>25000</v>
      </c>
      <c r="AM64" s="27">
        <f>'MASTER STOCK'!L61</f>
        <v>30000</v>
      </c>
      <c r="AN64" s="27">
        <f t="shared" si="6"/>
        <v>0</v>
      </c>
      <c r="AO64" s="26">
        <f t="shared" si="7"/>
        <v>0</v>
      </c>
      <c r="AP64" s="114">
        <f t="shared" si="8"/>
        <v>0</v>
      </c>
      <c r="AQ64" s="10"/>
    </row>
    <row r="65">
      <c r="A65" s="20" t="str">
        <f>'MASTER STOCK'!F62</f>
        <v>Precision S/Driver Obeng 6S DIY</v>
      </c>
      <c r="B65" s="21">
        <f>'NOV 25'!AJ:AJ</f>
        <v>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23">
        <f t="shared" si="3"/>
        <v>0</v>
      </c>
      <c r="AI65" s="24">
        <v>0.0</v>
      </c>
      <c r="AJ65" s="23">
        <f t="shared" si="4"/>
        <v>2</v>
      </c>
      <c r="AK65" s="23">
        <f t="shared" si="5"/>
        <v>2</v>
      </c>
      <c r="AL65" s="25">
        <f>'MASTER STOCK'!I62</f>
        <v>9500</v>
      </c>
      <c r="AM65" s="27">
        <f>'MASTER STOCK'!L62</f>
        <v>13300</v>
      </c>
      <c r="AN65" s="27">
        <f t="shared" si="6"/>
        <v>0</v>
      </c>
      <c r="AO65" s="26">
        <f t="shared" si="7"/>
        <v>0</v>
      </c>
      <c r="AP65" s="114">
        <f t="shared" si="8"/>
        <v>0</v>
      </c>
      <c r="AQ65" s="10"/>
    </row>
    <row r="66">
      <c r="A66" s="20" t="str">
        <f>'MASTER STOCK'!F63</f>
        <v>Blades / Isi Cutter Besar DIY</v>
      </c>
      <c r="B66" s="21">
        <f>'NOV 25'!AJ:AJ</f>
        <v>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23">
        <f t="shared" si="3"/>
        <v>0</v>
      </c>
      <c r="AI66" s="24">
        <v>0.0</v>
      </c>
      <c r="AJ66" s="23">
        <f t="shared" si="4"/>
        <v>20</v>
      </c>
      <c r="AK66" s="23">
        <f t="shared" si="5"/>
        <v>20</v>
      </c>
      <c r="AL66" s="25">
        <f>'MASTER STOCK'!I63</f>
        <v>1150</v>
      </c>
      <c r="AM66" s="27">
        <f>'MASTER STOCK'!L63</f>
        <v>1495</v>
      </c>
      <c r="AN66" s="27">
        <f t="shared" si="6"/>
        <v>0</v>
      </c>
      <c r="AO66" s="26">
        <f t="shared" si="7"/>
        <v>0</v>
      </c>
      <c r="AP66" s="114">
        <f t="shared" si="8"/>
        <v>0</v>
      </c>
      <c r="AQ66" s="10"/>
    </row>
    <row r="67">
      <c r="A67" s="20" t="str">
        <f>'MASTER STOCK'!F64</f>
        <v>Blades / Isi Cutter Kecil DIY</v>
      </c>
      <c r="B67" s="21">
        <f>'NOV 25'!AJ:AJ</f>
        <v>20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23">
        <f t="shared" si="3"/>
        <v>0</v>
      </c>
      <c r="AI67" s="24">
        <v>0.0</v>
      </c>
      <c r="AJ67" s="23">
        <f t="shared" si="4"/>
        <v>20</v>
      </c>
      <c r="AK67" s="23">
        <f t="shared" si="5"/>
        <v>20</v>
      </c>
      <c r="AL67" s="25">
        <f>'MASTER STOCK'!I64</f>
        <v>700</v>
      </c>
      <c r="AM67" s="27">
        <f>'MASTER STOCK'!L64</f>
        <v>1050</v>
      </c>
      <c r="AN67" s="27">
        <f t="shared" si="6"/>
        <v>0</v>
      </c>
      <c r="AO67" s="26">
        <f t="shared" si="7"/>
        <v>0</v>
      </c>
      <c r="AP67" s="114">
        <f t="shared" si="8"/>
        <v>0</v>
      </c>
      <c r="AQ67" s="10"/>
    </row>
    <row r="68">
      <c r="A68" s="20" t="str">
        <f>'MASTER STOCK'!F65</f>
        <v>Screwdriver  / Obeng 4" isi 2 DIY</v>
      </c>
      <c r="B68" s="21">
        <f>'NOV 25'!AJ:AJ</f>
        <v>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23">
        <f t="shared" si="3"/>
        <v>0</v>
      </c>
      <c r="AI68" s="24">
        <v>0.0</v>
      </c>
      <c r="AJ68" s="23">
        <f t="shared" si="4"/>
        <v>2</v>
      </c>
      <c r="AK68" s="23">
        <f t="shared" si="5"/>
        <v>2</v>
      </c>
      <c r="AL68" s="25">
        <f>'MASTER STOCK'!I65</f>
        <v>12000</v>
      </c>
      <c r="AM68" s="27">
        <f>'MASTER STOCK'!L65</f>
        <v>15600</v>
      </c>
      <c r="AN68" s="27">
        <f t="shared" si="6"/>
        <v>0</v>
      </c>
      <c r="AO68" s="26">
        <f t="shared" si="7"/>
        <v>0</v>
      </c>
      <c r="AP68" s="114">
        <f t="shared" si="8"/>
        <v>0</v>
      </c>
      <c r="AQ68" s="10"/>
    </row>
    <row r="69">
      <c r="A69" s="20" t="str">
        <f>'MASTER STOCK'!F66</f>
        <v>Test Pen DIY</v>
      </c>
      <c r="B69" s="21">
        <f>'NOV 25'!AJ:AJ</f>
        <v>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22">
        <v>1.0</v>
      </c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23">
        <f t="shared" si="3"/>
        <v>1</v>
      </c>
      <c r="AI69" s="24">
        <v>0.0</v>
      </c>
      <c r="AJ69" s="23">
        <f t="shared" si="4"/>
        <v>1</v>
      </c>
      <c r="AK69" s="23">
        <f t="shared" si="5"/>
        <v>1</v>
      </c>
      <c r="AL69" s="25">
        <f>'MASTER STOCK'!I66</f>
        <v>12000</v>
      </c>
      <c r="AM69" s="27">
        <f>'MASTER STOCK'!L66</f>
        <v>15600</v>
      </c>
      <c r="AN69" s="27">
        <f t="shared" si="6"/>
        <v>15600</v>
      </c>
      <c r="AO69" s="26">
        <f t="shared" si="7"/>
        <v>3600</v>
      </c>
      <c r="AP69" s="114">
        <f t="shared" si="8"/>
        <v>12000</v>
      </c>
      <c r="AQ69" s="10"/>
    </row>
    <row r="70">
      <c r="A70" s="20" t="str">
        <f>'MASTER STOCK'!F67</f>
        <v>Door Bolt / Selot Pintu DIY 4"</v>
      </c>
      <c r="B70" s="21">
        <f>'NOV 25'!AJ:AJ</f>
        <v>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23">
        <f t="shared" si="3"/>
        <v>0</v>
      </c>
      <c r="AI70" s="24">
        <v>0.0</v>
      </c>
      <c r="AJ70" s="23">
        <f t="shared" si="4"/>
        <v>3</v>
      </c>
      <c r="AK70" s="23">
        <f t="shared" si="5"/>
        <v>3</v>
      </c>
      <c r="AL70" s="25">
        <f>'MASTER STOCK'!I67</f>
        <v>7500</v>
      </c>
      <c r="AM70" s="27">
        <f>'MASTER STOCK'!L67</f>
        <v>9750</v>
      </c>
      <c r="AN70" s="27">
        <f t="shared" si="6"/>
        <v>0</v>
      </c>
      <c r="AO70" s="26">
        <f t="shared" si="7"/>
        <v>0</v>
      </c>
      <c r="AP70" s="114">
        <f t="shared" si="8"/>
        <v>0</v>
      </c>
      <c r="AQ70" s="10"/>
    </row>
    <row r="71">
      <c r="A71" s="20" t="str">
        <f>'MASTER STOCK'!F68</f>
        <v>Door Bolt / Selot Pintu DIY 3"</v>
      </c>
      <c r="B71" s="21">
        <f>'NOV 25'!AJ:AJ</f>
        <v>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23">
        <f t="shared" si="3"/>
        <v>0</v>
      </c>
      <c r="AI71" s="24">
        <v>0.0</v>
      </c>
      <c r="AJ71" s="23">
        <f t="shared" si="4"/>
        <v>2</v>
      </c>
      <c r="AK71" s="23">
        <f t="shared" si="5"/>
        <v>2</v>
      </c>
      <c r="AL71" s="25">
        <f>'MASTER STOCK'!I68</f>
        <v>10500</v>
      </c>
      <c r="AM71" s="27">
        <f>'MASTER STOCK'!L68</f>
        <v>13650</v>
      </c>
      <c r="AN71" s="27">
        <f t="shared" si="6"/>
        <v>0</v>
      </c>
      <c r="AO71" s="26">
        <f t="shared" si="7"/>
        <v>0</v>
      </c>
      <c r="AP71" s="114">
        <f t="shared" si="8"/>
        <v>0</v>
      </c>
      <c r="AQ71" s="10"/>
    </row>
    <row r="72">
      <c r="A72" s="20" t="str">
        <f>'MASTER STOCK'!F69</f>
        <v>Kuas 2" incco</v>
      </c>
      <c r="B72" s="21">
        <f>'NOV 25'!AJ:AJ</f>
        <v>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22">
        <v>1.0</v>
      </c>
      <c r="AF72" s="10"/>
      <c r="AG72" s="10"/>
      <c r="AH72" s="23">
        <f t="shared" si="3"/>
        <v>1</v>
      </c>
      <c r="AI72" s="24">
        <v>0.0</v>
      </c>
      <c r="AJ72" s="23">
        <f t="shared" si="4"/>
        <v>2</v>
      </c>
      <c r="AK72" s="23">
        <f t="shared" si="5"/>
        <v>2</v>
      </c>
      <c r="AL72" s="25">
        <f>'MASTER STOCK'!I69</f>
        <v>7000</v>
      </c>
      <c r="AM72" s="27">
        <f>'MASTER STOCK'!L69</f>
        <v>9100</v>
      </c>
      <c r="AN72" s="27">
        <f t="shared" si="6"/>
        <v>9100</v>
      </c>
      <c r="AO72" s="26">
        <f t="shared" si="7"/>
        <v>2100</v>
      </c>
      <c r="AP72" s="114">
        <f t="shared" si="8"/>
        <v>7000</v>
      </c>
      <c r="AQ72" s="10"/>
    </row>
    <row r="73">
      <c r="A73" s="20" t="str">
        <f>'MASTER STOCK'!F70</f>
        <v>Kuas 1" incco </v>
      </c>
      <c r="B73" s="21">
        <f>'NOV 25'!AJ:AJ</f>
        <v>5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22">
        <v>1.0</v>
      </c>
      <c r="AC73" s="10"/>
      <c r="AD73" s="10"/>
      <c r="AE73" s="10"/>
      <c r="AF73" s="10"/>
      <c r="AG73" s="10"/>
      <c r="AH73" s="23">
        <f t="shared" si="3"/>
        <v>1</v>
      </c>
      <c r="AI73" s="24">
        <v>0.0</v>
      </c>
      <c r="AJ73" s="23">
        <f t="shared" si="4"/>
        <v>4</v>
      </c>
      <c r="AK73" s="23">
        <f t="shared" si="5"/>
        <v>4</v>
      </c>
      <c r="AL73" s="25">
        <f>'MASTER STOCK'!I70</f>
        <v>3500</v>
      </c>
      <c r="AM73" s="27">
        <f>'MASTER STOCK'!L70</f>
        <v>4550</v>
      </c>
      <c r="AN73" s="27">
        <f t="shared" si="6"/>
        <v>4550</v>
      </c>
      <c r="AO73" s="26">
        <f t="shared" si="7"/>
        <v>1050</v>
      </c>
      <c r="AP73" s="114">
        <f t="shared" si="8"/>
        <v>3500</v>
      </c>
      <c r="AQ73" s="10"/>
    </row>
    <row r="74">
      <c r="A74" s="20" t="str">
        <f>'MASTER STOCK'!F71</f>
        <v>Kapi Plastik Kuning DIY</v>
      </c>
      <c r="B74" s="21">
        <f>'NOV 25'!AJ:AJ</f>
        <v>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23">
        <f t="shared" si="3"/>
        <v>0</v>
      </c>
      <c r="AI74" s="24">
        <v>0.0</v>
      </c>
      <c r="AJ74" s="23">
        <f t="shared" si="4"/>
        <v>4</v>
      </c>
      <c r="AK74" s="23">
        <f t="shared" si="5"/>
        <v>4</v>
      </c>
      <c r="AL74" s="25">
        <f>'MASTER STOCK'!I71</f>
        <v>5500</v>
      </c>
      <c r="AM74" s="27">
        <f>'MASTER STOCK'!L71</f>
        <v>7150</v>
      </c>
      <c r="AN74" s="27">
        <f t="shared" si="6"/>
        <v>0</v>
      </c>
      <c r="AO74" s="26">
        <f t="shared" si="7"/>
        <v>0</v>
      </c>
      <c r="AP74" s="114">
        <f t="shared" si="8"/>
        <v>0</v>
      </c>
      <c r="AQ74" s="10"/>
    </row>
    <row r="75">
      <c r="A75" s="20" t="str">
        <f>'MASTER STOCK'!F72</f>
        <v>Kabel Ties 3.6x300mm (85 gram) isi 100 pcs</v>
      </c>
      <c r="B75" s="21">
        <f>'NOV 25'!AJ:AJ</f>
        <v>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23">
        <f t="shared" si="3"/>
        <v>0</v>
      </c>
      <c r="AI75" s="24">
        <v>0.0</v>
      </c>
      <c r="AJ75" s="23">
        <f t="shared" si="4"/>
        <v>1</v>
      </c>
      <c r="AK75" s="23">
        <f t="shared" si="5"/>
        <v>1</v>
      </c>
      <c r="AL75" s="25">
        <f>'MASTER STOCK'!I72</f>
        <v>11000</v>
      </c>
      <c r="AM75" s="27">
        <f>'MASTER STOCK'!L72</f>
        <v>16500</v>
      </c>
      <c r="AN75" s="27">
        <f t="shared" si="6"/>
        <v>0</v>
      </c>
      <c r="AO75" s="26">
        <f t="shared" si="7"/>
        <v>0</v>
      </c>
      <c r="AP75" s="114">
        <f t="shared" si="8"/>
        <v>0</v>
      </c>
      <c r="AQ75" s="10"/>
    </row>
    <row r="76">
      <c r="A76" s="20" t="str">
        <f>'MASTER STOCK'!F73</f>
        <v>Kabel Ties 3.6x150mm (60 gram) isi 100 pcs</v>
      </c>
      <c r="B76" s="21">
        <f>'NOV 25'!AJ:AJ</f>
        <v>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23">
        <f t="shared" si="3"/>
        <v>0</v>
      </c>
      <c r="AI76" s="24">
        <v>0.0</v>
      </c>
      <c r="AJ76" s="23">
        <f t="shared" si="4"/>
        <v>1</v>
      </c>
      <c r="AK76" s="23">
        <f t="shared" si="5"/>
        <v>1</v>
      </c>
      <c r="AL76" s="25">
        <f>'MASTER STOCK'!I73</f>
        <v>6500</v>
      </c>
      <c r="AM76" s="27">
        <f>'MASTER STOCK'!L73</f>
        <v>9750</v>
      </c>
      <c r="AN76" s="27">
        <f t="shared" si="6"/>
        <v>0</v>
      </c>
      <c r="AO76" s="26">
        <f t="shared" si="7"/>
        <v>0</v>
      </c>
      <c r="AP76" s="114">
        <f t="shared" si="8"/>
        <v>0</v>
      </c>
      <c r="AQ76" s="10"/>
    </row>
    <row r="77">
      <c r="A77" s="20" t="str">
        <f>'MASTER STOCK'!F74</f>
        <v>Kabel Ties 2.5x200mm (50 gram) isi 100 pcs</v>
      </c>
      <c r="B77" s="21">
        <f>'NOV 25'!AJ:AJ</f>
        <v>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23">
        <f t="shared" si="3"/>
        <v>0</v>
      </c>
      <c r="AI77" s="24">
        <v>0.0</v>
      </c>
      <c r="AJ77" s="23">
        <f t="shared" si="4"/>
        <v>1</v>
      </c>
      <c r="AK77" s="23">
        <f t="shared" si="5"/>
        <v>1</v>
      </c>
      <c r="AL77" s="25">
        <f>'MASTER STOCK'!I74</f>
        <v>5300</v>
      </c>
      <c r="AM77" s="27">
        <f>'MASTER STOCK'!L74</f>
        <v>7950</v>
      </c>
      <c r="AN77" s="27">
        <f t="shared" si="6"/>
        <v>0</v>
      </c>
      <c r="AO77" s="26">
        <f t="shared" si="7"/>
        <v>0</v>
      </c>
      <c r="AP77" s="114">
        <f t="shared" si="8"/>
        <v>0</v>
      </c>
      <c r="AQ77" s="10"/>
    </row>
    <row r="78">
      <c r="A78" s="20" t="str">
        <f>'MASTER STOCK'!F75</f>
        <v>Kabel Ties 2.5x100mm (50 gram) isi 100 pcs</v>
      </c>
      <c r="B78" s="21">
        <f>'NOV 25'!AJ:AJ</f>
        <v>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23">
        <f t="shared" si="3"/>
        <v>0</v>
      </c>
      <c r="AI78" s="24">
        <v>0.0</v>
      </c>
      <c r="AJ78" s="23">
        <f t="shared" si="4"/>
        <v>3</v>
      </c>
      <c r="AK78" s="23">
        <f t="shared" si="5"/>
        <v>3</v>
      </c>
      <c r="AL78" s="25">
        <f>'MASTER STOCK'!I75</f>
        <v>2850</v>
      </c>
      <c r="AM78" s="27">
        <f>'MASTER STOCK'!L75</f>
        <v>4275</v>
      </c>
      <c r="AN78" s="27">
        <f t="shared" si="6"/>
        <v>0</v>
      </c>
      <c r="AO78" s="26">
        <f t="shared" si="7"/>
        <v>0</v>
      </c>
      <c r="AP78" s="114">
        <f t="shared" si="8"/>
        <v>0</v>
      </c>
      <c r="AQ78" s="10"/>
    </row>
    <row r="79">
      <c r="A79" s="20" t="str">
        <f>'MASTER STOCK'!F76</f>
        <v>Kabel Ties 3.6x300mm (85 gram) isi 100 pcs</v>
      </c>
      <c r="B79" s="21">
        <f>'NOV 25'!AJ:AJ</f>
        <v>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23">
        <f t="shared" si="3"/>
        <v>0</v>
      </c>
      <c r="AI79" s="24">
        <v>0.0</v>
      </c>
      <c r="AJ79" s="23">
        <f t="shared" si="4"/>
        <v>1</v>
      </c>
      <c r="AK79" s="23">
        <f t="shared" si="5"/>
        <v>1</v>
      </c>
      <c r="AL79" s="25">
        <f>'MASTER STOCK'!I76</f>
        <v>11000</v>
      </c>
      <c r="AM79" s="27">
        <f>'MASTER STOCK'!L76</f>
        <v>16500</v>
      </c>
      <c r="AN79" s="27">
        <f t="shared" si="6"/>
        <v>0</v>
      </c>
      <c r="AO79" s="26">
        <f t="shared" si="7"/>
        <v>0</v>
      </c>
      <c r="AP79" s="114">
        <f t="shared" si="8"/>
        <v>0</v>
      </c>
      <c r="AQ79" s="10"/>
    </row>
    <row r="80">
      <c r="A80" s="20" t="str">
        <f>'MASTER STOCK'!F77</f>
        <v>Kabel Ties 2.5x150mm (50 gram) isi 100 pcs</v>
      </c>
      <c r="B80" s="21">
        <f>'NOV 25'!AJ:AJ</f>
        <v>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23">
        <f t="shared" si="3"/>
        <v>0</v>
      </c>
      <c r="AI80" s="24">
        <v>0.0</v>
      </c>
      <c r="AJ80" s="23">
        <f t="shared" si="4"/>
        <v>1</v>
      </c>
      <c r="AK80" s="23">
        <f t="shared" si="5"/>
        <v>1</v>
      </c>
      <c r="AL80" s="25">
        <f>'MASTER STOCK'!I77</f>
        <v>4100</v>
      </c>
      <c r="AM80" s="27">
        <f>'MASTER STOCK'!L77</f>
        <v>6150</v>
      </c>
      <c r="AN80" s="27">
        <f t="shared" si="6"/>
        <v>0</v>
      </c>
      <c r="AO80" s="26">
        <f t="shared" si="7"/>
        <v>0</v>
      </c>
      <c r="AP80" s="114">
        <f t="shared" si="8"/>
        <v>0</v>
      </c>
      <c r="AQ80" s="10"/>
    </row>
    <row r="81">
      <c r="A81" s="20" t="str">
        <f>'MASTER STOCK'!F78</f>
        <v>Kabel Ties 3.6x250mm (80 gram) isi 100 pcs</v>
      </c>
      <c r="B81" s="21">
        <f>'NOV 25'!AJ:AJ</f>
        <v>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23">
        <f t="shared" si="3"/>
        <v>0</v>
      </c>
      <c r="AI81" s="24">
        <v>0.0</v>
      </c>
      <c r="AJ81" s="23">
        <f t="shared" si="4"/>
        <v>1</v>
      </c>
      <c r="AK81" s="23">
        <f t="shared" si="5"/>
        <v>1</v>
      </c>
      <c r="AL81" s="25">
        <f>'MASTER STOCK'!I78</f>
        <v>10300</v>
      </c>
      <c r="AM81" s="27">
        <f>'MASTER STOCK'!L78</f>
        <v>15450</v>
      </c>
      <c r="AN81" s="27">
        <f t="shared" si="6"/>
        <v>0</v>
      </c>
      <c r="AO81" s="26">
        <f t="shared" si="7"/>
        <v>0</v>
      </c>
      <c r="AP81" s="114">
        <f t="shared" si="8"/>
        <v>0</v>
      </c>
      <c r="AQ81" s="10"/>
    </row>
    <row r="82">
      <c r="A82" s="20" t="str">
        <f>'MASTER STOCK'!F79</f>
        <v>Kabel Ties 4.8x200mm (85 gram) isi 100 pcs</v>
      </c>
      <c r="B82" s="21">
        <f>'NOV 25'!AJ:AJ</f>
        <v>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23">
        <f t="shared" si="3"/>
        <v>0</v>
      </c>
      <c r="AI82" s="24">
        <v>0.0</v>
      </c>
      <c r="AJ82" s="23">
        <f t="shared" si="4"/>
        <v>1</v>
      </c>
      <c r="AK82" s="23">
        <f t="shared" si="5"/>
        <v>1</v>
      </c>
      <c r="AL82" s="25">
        <f>'MASTER STOCK'!I79</f>
        <v>11000</v>
      </c>
      <c r="AM82" s="27">
        <f>'MASTER STOCK'!L79</f>
        <v>16500</v>
      </c>
      <c r="AN82" s="27">
        <f t="shared" si="6"/>
        <v>0</v>
      </c>
      <c r="AO82" s="26">
        <f t="shared" si="7"/>
        <v>0</v>
      </c>
      <c r="AP82" s="114">
        <f t="shared" si="8"/>
        <v>0</v>
      </c>
      <c r="AQ82" s="10"/>
    </row>
    <row r="83">
      <c r="A83" s="20" t="str">
        <f>'MASTER STOCK'!F80</f>
        <v>Kabel Ties 2.5x100mm (50 gram) isi 100 pcs</v>
      </c>
      <c r="B83" s="21">
        <f>'NOV 25'!AJ:AJ</f>
        <v>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23">
        <f t="shared" si="3"/>
        <v>0</v>
      </c>
      <c r="AI83" s="24">
        <v>0.0</v>
      </c>
      <c r="AJ83" s="23">
        <f t="shared" si="4"/>
        <v>1</v>
      </c>
      <c r="AK83" s="23">
        <f t="shared" si="5"/>
        <v>1</v>
      </c>
      <c r="AL83" s="25">
        <f>'MASTER STOCK'!I80</f>
        <v>2850</v>
      </c>
      <c r="AM83" s="27">
        <f>'MASTER STOCK'!L80</f>
        <v>4275</v>
      </c>
      <c r="AN83" s="27">
        <f t="shared" si="6"/>
        <v>0</v>
      </c>
      <c r="AO83" s="26">
        <f t="shared" si="7"/>
        <v>0</v>
      </c>
      <c r="AP83" s="114">
        <f t="shared" si="8"/>
        <v>0</v>
      </c>
      <c r="AQ83" s="10"/>
    </row>
    <row r="84">
      <c r="A84" s="20" t="str">
        <f>'MASTER STOCK'!F81</f>
        <v>Kabel Ties 3.6x150mm (70 gram) isi 100 pcs</v>
      </c>
      <c r="B84" s="21">
        <f>'NOV 25'!AJ:AJ</f>
        <v>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23">
        <f t="shared" si="3"/>
        <v>0</v>
      </c>
      <c r="AI84" s="24">
        <v>0.0</v>
      </c>
      <c r="AJ84" s="23">
        <f t="shared" si="4"/>
        <v>1</v>
      </c>
      <c r="AK84" s="23">
        <f t="shared" si="5"/>
        <v>1</v>
      </c>
      <c r="AL84" s="25">
        <f>'MASTER STOCK'!I81</f>
        <v>6500</v>
      </c>
      <c r="AM84" s="27">
        <f>'MASTER STOCK'!L81</f>
        <v>9750</v>
      </c>
      <c r="AN84" s="27">
        <f t="shared" si="6"/>
        <v>0</v>
      </c>
      <c r="AO84" s="26">
        <f t="shared" si="7"/>
        <v>0</v>
      </c>
      <c r="AP84" s="114">
        <f t="shared" si="8"/>
        <v>0</v>
      </c>
      <c r="AQ84" s="10"/>
    </row>
    <row r="85">
      <c r="A85" s="20" t="str">
        <f>'MASTER STOCK'!F82</f>
        <v>Kabel Ties 4.8x200mm (85 gram) isi 100 pcs</v>
      </c>
      <c r="B85" s="21">
        <f>'NOV 25'!AJ:AJ</f>
        <v>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23">
        <f t="shared" si="3"/>
        <v>0</v>
      </c>
      <c r="AI85" s="24">
        <v>0.0</v>
      </c>
      <c r="AJ85" s="23">
        <f t="shared" si="4"/>
        <v>1</v>
      </c>
      <c r="AK85" s="23">
        <f t="shared" si="5"/>
        <v>1</v>
      </c>
      <c r="AL85" s="25">
        <f>'MASTER STOCK'!I82</f>
        <v>11000</v>
      </c>
      <c r="AM85" s="27">
        <f>'MASTER STOCK'!L82</f>
        <v>16500</v>
      </c>
      <c r="AN85" s="27">
        <f t="shared" si="6"/>
        <v>0</v>
      </c>
      <c r="AO85" s="26">
        <f t="shared" si="7"/>
        <v>0</v>
      </c>
      <c r="AP85" s="114">
        <f t="shared" si="8"/>
        <v>0</v>
      </c>
      <c r="AQ85" s="10"/>
    </row>
    <row r="86">
      <c r="A86" s="20" t="str">
        <f>'MASTER STOCK'!F83</f>
        <v>Kabel Ties 3.6x250mm (70 gram) isi 100 pcs</v>
      </c>
      <c r="B86" s="21">
        <f>'NOV 25'!AJ:AJ</f>
        <v>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23">
        <f t="shared" si="3"/>
        <v>0</v>
      </c>
      <c r="AI86" s="24">
        <v>0.0</v>
      </c>
      <c r="AJ86" s="23">
        <f t="shared" si="4"/>
        <v>1</v>
      </c>
      <c r="AK86" s="23">
        <f t="shared" si="5"/>
        <v>1</v>
      </c>
      <c r="AL86" s="25">
        <f>'MASTER STOCK'!I83</f>
        <v>10300</v>
      </c>
      <c r="AM86" s="27">
        <f>'MASTER STOCK'!L83</f>
        <v>15450</v>
      </c>
      <c r="AN86" s="27">
        <f t="shared" si="6"/>
        <v>0</v>
      </c>
      <c r="AO86" s="26">
        <f t="shared" si="7"/>
        <v>0</v>
      </c>
      <c r="AP86" s="114">
        <f t="shared" si="8"/>
        <v>0</v>
      </c>
      <c r="AQ86" s="10"/>
    </row>
    <row r="87">
      <c r="A87" s="20" t="str">
        <f>'MASTER STOCK'!F84</f>
        <v>Kabel Transparan 2x30 90M full serabut per roll 2line</v>
      </c>
      <c r="B87" s="21">
        <f>'NOV 25'!AJ:AJ</f>
        <v>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23">
        <f t="shared" si="3"/>
        <v>0</v>
      </c>
      <c r="AI87" s="24">
        <v>0.0</v>
      </c>
      <c r="AJ87" s="23">
        <f t="shared" si="4"/>
        <v>1</v>
      </c>
      <c r="AK87" s="23">
        <f t="shared" si="5"/>
        <v>1</v>
      </c>
      <c r="AL87" s="25">
        <f>'MASTER STOCK'!I84</f>
        <v>80000</v>
      </c>
      <c r="AM87" s="27">
        <f>'MASTER STOCK'!L84</f>
        <v>136000</v>
      </c>
      <c r="AN87" s="27">
        <f t="shared" si="6"/>
        <v>0</v>
      </c>
      <c r="AO87" s="26">
        <f t="shared" si="7"/>
        <v>0</v>
      </c>
      <c r="AP87" s="114">
        <f t="shared" si="8"/>
        <v>0</v>
      </c>
      <c r="AQ87" s="10"/>
    </row>
    <row r="88">
      <c r="A88" s="20" t="str">
        <f>'MASTER STOCK'!F85</f>
        <v>Kabel Transparan 2x80 90M full serabut per roll 2line</v>
      </c>
      <c r="B88" s="21">
        <f>'NOV 25'!AJ:AJ</f>
        <v>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23">
        <f t="shared" si="3"/>
        <v>0</v>
      </c>
      <c r="AI88" s="24">
        <v>0.0</v>
      </c>
      <c r="AJ88" s="23">
        <f t="shared" si="4"/>
        <v>1</v>
      </c>
      <c r="AK88" s="23">
        <f t="shared" si="5"/>
        <v>1</v>
      </c>
      <c r="AL88" s="25">
        <f>'MASTER STOCK'!I85</f>
        <v>165000</v>
      </c>
      <c r="AM88" s="27">
        <f>'MASTER STOCK'!L85</f>
        <v>280500</v>
      </c>
      <c r="AN88" s="27">
        <f t="shared" si="6"/>
        <v>0</v>
      </c>
      <c r="AO88" s="26">
        <f t="shared" si="7"/>
        <v>0</v>
      </c>
      <c r="AP88" s="114">
        <f t="shared" si="8"/>
        <v>0</v>
      </c>
      <c r="AQ88" s="10"/>
    </row>
    <row r="89">
      <c r="A89" s="20" t="str">
        <f>'MASTER STOCK'!F86</f>
        <v>Kabel Transparan 2x50 90M full serabut per roll 2line</v>
      </c>
      <c r="B89" s="21">
        <f>'NOV 25'!AJ:AJ</f>
        <v>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23">
        <f t="shared" si="3"/>
        <v>0</v>
      </c>
      <c r="AI89" s="24">
        <v>0.0</v>
      </c>
      <c r="AJ89" s="23">
        <f t="shared" si="4"/>
        <v>1</v>
      </c>
      <c r="AK89" s="23">
        <f t="shared" si="5"/>
        <v>1</v>
      </c>
      <c r="AL89" s="25">
        <f>'MASTER STOCK'!I86</f>
        <v>140000</v>
      </c>
      <c r="AM89" s="27">
        <f>'MASTER STOCK'!L86</f>
        <v>238000</v>
      </c>
      <c r="AN89" s="27">
        <f t="shared" si="6"/>
        <v>0</v>
      </c>
      <c r="AO89" s="26">
        <f t="shared" si="7"/>
        <v>0</v>
      </c>
      <c r="AP89" s="114">
        <f t="shared" si="8"/>
        <v>0</v>
      </c>
      <c r="AQ89" s="10"/>
    </row>
    <row r="90">
      <c r="A90" s="20" t="str">
        <f>'MASTER STOCK'!F87</f>
        <v>Solder listrik gagang kayu 60watt</v>
      </c>
      <c r="B90" s="21">
        <f>'NOV 25'!AJ:AJ</f>
        <v>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22"/>
      <c r="AH90" s="23">
        <f t="shared" si="3"/>
        <v>0</v>
      </c>
      <c r="AI90" s="24">
        <v>0.0</v>
      </c>
      <c r="AJ90" s="23">
        <f t="shared" si="4"/>
        <v>4</v>
      </c>
      <c r="AK90" s="23">
        <f t="shared" si="5"/>
        <v>4</v>
      </c>
      <c r="AL90" s="25">
        <f>'MASTER STOCK'!I87</f>
        <v>13000</v>
      </c>
      <c r="AM90" s="27">
        <f>'MASTER STOCK'!L87</f>
        <v>16900</v>
      </c>
      <c r="AN90" s="27">
        <f t="shared" si="6"/>
        <v>0</v>
      </c>
      <c r="AO90" s="26">
        <f t="shared" si="7"/>
        <v>0</v>
      </c>
      <c r="AP90" s="114">
        <f t="shared" si="8"/>
        <v>0</v>
      </c>
      <c r="AQ90" s="10"/>
    </row>
    <row r="91">
      <c r="A91" s="20" t="str">
        <f>'MASTER STOCK'!F88</f>
        <v>Timah gulung solder tenol elektrik</v>
      </c>
      <c r="B91" s="21">
        <f>'NOV 25'!AJ:AJ</f>
        <v>2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22"/>
      <c r="AH91" s="23">
        <f t="shared" si="3"/>
        <v>0</v>
      </c>
      <c r="AI91" s="24">
        <v>0.0</v>
      </c>
      <c r="AJ91" s="23">
        <f t="shared" si="4"/>
        <v>2</v>
      </c>
      <c r="AK91" s="23">
        <f t="shared" si="5"/>
        <v>2</v>
      </c>
      <c r="AL91" s="25">
        <f>'MASTER STOCK'!I88</f>
        <v>10500</v>
      </c>
      <c r="AM91" s="27">
        <f>'MASTER STOCK'!L88</f>
        <v>13650</v>
      </c>
      <c r="AN91" s="27">
        <f t="shared" si="6"/>
        <v>0</v>
      </c>
      <c r="AO91" s="26">
        <f t="shared" si="7"/>
        <v>0</v>
      </c>
      <c r="AP91" s="114">
        <f t="shared" si="8"/>
        <v>0</v>
      </c>
      <c r="AQ91" s="10"/>
    </row>
    <row r="92">
      <c r="A92" s="20" t="str">
        <f>'MASTER STOCK'!F89</f>
        <v>Solasi lakban coklat</v>
      </c>
      <c r="B92" s="21">
        <f>'NOV 25'!AJ:AJ</f>
        <v>6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23">
        <f t="shared" si="3"/>
        <v>0</v>
      </c>
      <c r="AI92" s="24">
        <v>0.0</v>
      </c>
      <c r="AJ92" s="23">
        <f t="shared" si="4"/>
        <v>6</v>
      </c>
      <c r="AK92" s="23">
        <f t="shared" si="5"/>
        <v>6</v>
      </c>
      <c r="AL92" s="25">
        <f>'MASTER STOCK'!I89</f>
        <v>3600</v>
      </c>
      <c r="AM92" s="27">
        <f>'MASTER STOCK'!L89</f>
        <v>5400</v>
      </c>
      <c r="AN92" s="27">
        <f t="shared" si="6"/>
        <v>0</v>
      </c>
      <c r="AO92" s="26">
        <f t="shared" si="7"/>
        <v>0</v>
      </c>
      <c r="AP92" s="114">
        <f t="shared" si="8"/>
        <v>0</v>
      </c>
      <c r="AQ92" s="10"/>
    </row>
    <row r="93">
      <c r="A93" s="20" t="str">
        <f>'MASTER STOCK'!F90</f>
        <v>Spidol Kecil snowman Hitam</v>
      </c>
      <c r="B93" s="21">
        <f>'NOV 25'!AJ:AJ</f>
        <v>12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23">
        <f t="shared" si="3"/>
        <v>0</v>
      </c>
      <c r="AI93" s="24">
        <v>0.0</v>
      </c>
      <c r="AJ93" s="23">
        <f t="shared" si="4"/>
        <v>12</v>
      </c>
      <c r="AK93" s="23">
        <f t="shared" si="5"/>
        <v>12</v>
      </c>
      <c r="AL93" s="25">
        <f>'MASTER STOCK'!I90</f>
        <v>1700</v>
      </c>
      <c r="AM93" s="27">
        <f>'MASTER STOCK'!L90</f>
        <v>2550</v>
      </c>
      <c r="AN93" s="27">
        <f t="shared" si="6"/>
        <v>0</v>
      </c>
      <c r="AO93" s="26">
        <f t="shared" si="7"/>
        <v>0</v>
      </c>
      <c r="AP93" s="114">
        <f t="shared" si="8"/>
        <v>0</v>
      </c>
      <c r="AQ93" s="10"/>
    </row>
    <row r="94">
      <c r="A94" s="20" t="str">
        <f>'MASTER STOCK'!F91</f>
        <v>Spidol Kecil snowman Merah</v>
      </c>
      <c r="B94" s="21">
        <f>'NOV 25'!AJ:AJ</f>
        <v>12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23">
        <f t="shared" si="3"/>
        <v>0</v>
      </c>
      <c r="AI94" s="24">
        <v>0.0</v>
      </c>
      <c r="AJ94" s="23">
        <f t="shared" si="4"/>
        <v>12</v>
      </c>
      <c r="AK94" s="23">
        <f t="shared" si="5"/>
        <v>12</v>
      </c>
      <c r="AL94" s="25">
        <f>'MASTER STOCK'!I91</f>
        <v>1700</v>
      </c>
      <c r="AM94" s="27">
        <f>'MASTER STOCK'!L91</f>
        <v>2550</v>
      </c>
      <c r="AN94" s="27">
        <f t="shared" si="6"/>
        <v>0</v>
      </c>
      <c r="AO94" s="26">
        <f t="shared" si="7"/>
        <v>0</v>
      </c>
      <c r="AP94" s="114">
        <f t="shared" si="8"/>
        <v>0</v>
      </c>
      <c r="AQ94" s="10"/>
    </row>
    <row r="95">
      <c r="A95" s="20" t="str">
        <f>'MASTER STOCK'!F92</f>
        <v>isolasi Lakban Packing bening</v>
      </c>
      <c r="B95" s="21">
        <f>'NOV 25'!AJ:AJ</f>
        <v>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22">
        <v>1.0</v>
      </c>
      <c r="AF95" s="10"/>
      <c r="AG95" s="10"/>
      <c r="AH95" s="23">
        <f t="shared" si="3"/>
        <v>1</v>
      </c>
      <c r="AI95" s="24">
        <v>0.0</v>
      </c>
      <c r="AJ95" s="23">
        <f t="shared" si="4"/>
        <v>5</v>
      </c>
      <c r="AK95" s="23">
        <f t="shared" si="5"/>
        <v>5</v>
      </c>
      <c r="AL95" s="25">
        <f>'MASTER STOCK'!I92</f>
        <v>4500</v>
      </c>
      <c r="AM95" s="27">
        <f>'MASTER STOCK'!L92</f>
        <v>5850</v>
      </c>
      <c r="AN95" s="27">
        <f t="shared" si="6"/>
        <v>5850</v>
      </c>
      <c r="AO95" s="26">
        <f t="shared" si="7"/>
        <v>1350</v>
      </c>
      <c r="AP95" s="114">
        <f t="shared" si="8"/>
        <v>4500</v>
      </c>
      <c r="AQ95" s="10"/>
    </row>
    <row r="96">
      <c r="A96" s="20" t="str">
        <f>'MASTER STOCK'!F93</f>
        <v>Tali tampar/ Tali tukang</v>
      </c>
      <c r="B96" s="21">
        <f>'NOV 25'!AJ:AJ</f>
        <v>20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23">
        <f t="shared" si="3"/>
        <v>0</v>
      </c>
      <c r="AI96" s="24">
        <v>0.0</v>
      </c>
      <c r="AJ96" s="23">
        <f t="shared" si="4"/>
        <v>20</v>
      </c>
      <c r="AK96" s="23">
        <f t="shared" si="5"/>
        <v>20</v>
      </c>
      <c r="AL96" s="25">
        <f>'MASTER STOCK'!I93</f>
        <v>1750</v>
      </c>
      <c r="AM96" s="27">
        <f>'MASTER STOCK'!L93</f>
        <v>2275</v>
      </c>
      <c r="AN96" s="27">
        <f t="shared" si="6"/>
        <v>0</v>
      </c>
      <c r="AO96" s="26">
        <f t="shared" si="7"/>
        <v>0</v>
      </c>
      <c r="AP96" s="114">
        <f t="shared" si="8"/>
        <v>0</v>
      </c>
      <c r="AQ96" s="10"/>
    </row>
    <row r="97">
      <c r="A97" s="20" t="str">
        <f>'MASTER STOCK'!F94</f>
        <v>Keranjang serbaguna</v>
      </c>
      <c r="B97" s="21">
        <f>'NOV 25'!AJ:AJ</f>
        <v>24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23">
        <f t="shared" si="3"/>
        <v>0</v>
      </c>
      <c r="AI97" s="24">
        <v>0.0</v>
      </c>
      <c r="AJ97" s="23">
        <f t="shared" si="4"/>
        <v>24</v>
      </c>
      <c r="AK97" s="23">
        <f t="shared" si="5"/>
        <v>24</v>
      </c>
      <c r="AL97" s="25">
        <f>'MASTER STOCK'!I94</f>
        <v>4700</v>
      </c>
      <c r="AM97" s="27" t="str">
        <f>'MASTER STOCK'!L94</f>
        <v/>
      </c>
      <c r="AN97" s="27">
        <f t="shared" si="6"/>
        <v>0</v>
      </c>
      <c r="AO97" s="26">
        <f t="shared" si="7"/>
        <v>0</v>
      </c>
      <c r="AP97" s="114">
        <f t="shared" si="8"/>
        <v>0</v>
      </c>
      <c r="AQ97" s="10"/>
    </row>
    <row r="98">
      <c r="A98" s="20" t="str">
        <f>'MASTER STOCK'!F95</f>
        <v>Paku (Nail 2000) 1 1/2"</v>
      </c>
      <c r="B98" s="21">
        <f>'NOV 25'!AJ:AJ</f>
        <v>1.1</v>
      </c>
      <c r="C98" s="10"/>
      <c r="D98" s="22"/>
      <c r="E98" s="10"/>
      <c r="F98" s="22">
        <v>0.35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22"/>
      <c r="R98" s="10"/>
      <c r="S98" s="10"/>
      <c r="T98" s="10"/>
      <c r="U98" s="10"/>
      <c r="V98" s="22"/>
      <c r="W98" s="10"/>
      <c r="X98" s="10"/>
      <c r="Y98" s="10"/>
      <c r="Z98" s="22"/>
      <c r="AA98" s="22"/>
      <c r="AB98" s="22">
        <v>0.25</v>
      </c>
      <c r="AC98" s="10"/>
      <c r="AD98" s="10"/>
      <c r="AE98" s="10"/>
      <c r="AF98" s="10"/>
      <c r="AG98" s="10"/>
      <c r="AH98" s="23">
        <f t="shared" si="3"/>
        <v>0.6</v>
      </c>
      <c r="AI98" s="24">
        <v>0.0</v>
      </c>
      <c r="AJ98" s="23">
        <f t="shared" si="4"/>
        <v>0.5</v>
      </c>
      <c r="AK98" s="23">
        <f t="shared" si="5"/>
        <v>0.5</v>
      </c>
      <c r="AL98" s="25">
        <f>'MASTER STOCK'!I95</f>
        <v>14400</v>
      </c>
      <c r="AM98" s="27">
        <f>'MASTER STOCK'!L95</f>
        <v>18720</v>
      </c>
      <c r="AN98" s="27">
        <f t="shared" si="6"/>
        <v>11232</v>
      </c>
      <c r="AO98" s="26">
        <f t="shared" si="7"/>
        <v>2592</v>
      </c>
      <c r="AP98" s="114">
        <f t="shared" si="8"/>
        <v>8640</v>
      </c>
      <c r="AQ98" s="10"/>
    </row>
    <row r="99">
      <c r="A99" s="20" t="str">
        <f>'MASTER STOCK'!F96</f>
        <v>Paku (Nail 2000) 2 1/2"</v>
      </c>
      <c r="B99" s="21">
        <f>'NOV 25'!AJ:AJ</f>
        <v>17.85</v>
      </c>
      <c r="C99" s="22"/>
      <c r="D99" s="10"/>
      <c r="E99" s="10"/>
      <c r="F99" s="10"/>
      <c r="G99" s="10"/>
      <c r="H99" s="10"/>
      <c r="I99" s="10"/>
      <c r="J99" s="10"/>
      <c r="K99" s="22"/>
      <c r="L99" s="22"/>
      <c r="M99" s="10"/>
      <c r="N99" s="10"/>
      <c r="O99" s="10"/>
      <c r="P99" s="10"/>
      <c r="Q99" s="10"/>
      <c r="R99" s="10"/>
      <c r="S99" s="22"/>
      <c r="T99" s="22"/>
      <c r="U99" s="10"/>
      <c r="V99" s="10"/>
      <c r="W99" s="10"/>
      <c r="X99" s="22">
        <v>0.1</v>
      </c>
      <c r="Y99" s="10"/>
      <c r="Z99" s="10"/>
      <c r="AA99" s="10"/>
      <c r="AB99" s="22">
        <v>0.35</v>
      </c>
      <c r="AC99" s="10"/>
      <c r="AD99" s="10"/>
      <c r="AE99" s="22">
        <v>0.1</v>
      </c>
      <c r="AF99" s="10"/>
      <c r="AG99" s="10"/>
      <c r="AH99" s="23">
        <f t="shared" si="3"/>
        <v>0.55</v>
      </c>
      <c r="AI99" s="24">
        <v>0.0</v>
      </c>
      <c r="AJ99" s="23">
        <f t="shared" si="4"/>
        <v>17.3</v>
      </c>
      <c r="AK99" s="23">
        <f t="shared" si="5"/>
        <v>17.3</v>
      </c>
      <c r="AL99" s="25">
        <f>'MASTER STOCK'!I96</f>
        <v>13500</v>
      </c>
      <c r="AM99" s="27">
        <f>'MASTER STOCK'!L96</f>
        <v>17550</v>
      </c>
      <c r="AN99" s="27">
        <f t="shared" si="6"/>
        <v>9652.5</v>
      </c>
      <c r="AO99" s="26">
        <f t="shared" si="7"/>
        <v>2227.5</v>
      </c>
      <c r="AP99" s="114">
        <f t="shared" si="8"/>
        <v>7425</v>
      </c>
      <c r="AQ99" s="10"/>
    </row>
    <row r="100">
      <c r="A100" s="20" t="str">
        <f>'MASTER STOCK'!F97</f>
        <v>Paku (Nail 2000) 3"</v>
      </c>
      <c r="B100" s="21">
        <f>'NOV 25'!AJ:AJ</f>
        <v>14.25</v>
      </c>
      <c r="C100" s="22"/>
      <c r="D100" s="10"/>
      <c r="E100" s="10"/>
      <c r="F100" s="22"/>
      <c r="G100" s="10"/>
      <c r="H100" s="22"/>
      <c r="I100" s="10"/>
      <c r="J100" s="22"/>
      <c r="K100" s="22"/>
      <c r="L100" s="22"/>
      <c r="M100" s="10"/>
      <c r="N100" s="10"/>
      <c r="O100" s="10"/>
      <c r="P100" s="10"/>
      <c r="Q100" s="22">
        <v>0.5</v>
      </c>
      <c r="R100" s="10"/>
      <c r="S100" s="22"/>
      <c r="T100" s="10"/>
      <c r="U100" s="22"/>
      <c r="V100" s="10"/>
      <c r="W100" s="22">
        <v>0.35</v>
      </c>
      <c r="X100" s="10"/>
      <c r="Y100" s="22"/>
      <c r="Z100" s="10"/>
      <c r="AA100" s="10"/>
      <c r="AB100" s="10"/>
      <c r="AC100" s="10"/>
      <c r="AD100" s="10"/>
      <c r="AE100" s="10"/>
      <c r="AF100" s="10"/>
      <c r="AG100" s="10"/>
      <c r="AH100" s="23">
        <f t="shared" si="3"/>
        <v>0.85</v>
      </c>
      <c r="AI100" s="24">
        <v>0.0</v>
      </c>
      <c r="AJ100" s="23">
        <f t="shared" si="4"/>
        <v>13.4</v>
      </c>
      <c r="AK100" s="23">
        <f t="shared" si="5"/>
        <v>13.4</v>
      </c>
      <c r="AL100" s="25">
        <f>'MASTER STOCK'!I97</f>
        <v>13500</v>
      </c>
      <c r="AM100" s="27">
        <f>'MASTER STOCK'!L97</f>
        <v>17550</v>
      </c>
      <c r="AN100" s="27">
        <f t="shared" si="6"/>
        <v>14917.5</v>
      </c>
      <c r="AO100" s="26">
        <f t="shared" si="7"/>
        <v>3442.5</v>
      </c>
      <c r="AP100" s="114">
        <f t="shared" si="8"/>
        <v>11475</v>
      </c>
      <c r="AQ100" s="10"/>
    </row>
    <row r="101">
      <c r="A101" s="20" t="str">
        <f>'MASTER STOCK'!F98</f>
        <v>Paku (Nail 2000) 1"</v>
      </c>
      <c r="B101" s="21">
        <f>'NOV 25'!AJ:AJ</f>
        <v>2.35</v>
      </c>
      <c r="C101" s="22">
        <v>0.1</v>
      </c>
      <c r="D101" s="10"/>
      <c r="E101" s="10"/>
      <c r="F101" s="10"/>
      <c r="G101" s="10"/>
      <c r="H101" s="22"/>
      <c r="I101" s="10"/>
      <c r="J101" s="10"/>
      <c r="K101" s="22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22"/>
      <c r="Z101" s="10"/>
      <c r="AA101" s="10"/>
      <c r="AB101" s="10"/>
      <c r="AC101" s="10"/>
      <c r="AD101" s="10"/>
      <c r="AE101" s="10"/>
      <c r="AF101" s="10"/>
      <c r="AG101" s="10"/>
      <c r="AH101" s="23">
        <f t="shared" si="3"/>
        <v>0.1</v>
      </c>
      <c r="AI101" s="24">
        <v>0.0</v>
      </c>
      <c r="AJ101" s="23">
        <f t="shared" si="4"/>
        <v>2.25</v>
      </c>
      <c r="AK101" s="23">
        <f t="shared" si="5"/>
        <v>2.25</v>
      </c>
      <c r="AL101" s="25">
        <f>'MASTER STOCK'!I98</f>
        <v>15200</v>
      </c>
      <c r="AM101" s="27">
        <f>'MASTER STOCK'!L98</f>
        <v>19760</v>
      </c>
      <c r="AN101" s="27">
        <f t="shared" si="6"/>
        <v>1976</v>
      </c>
      <c r="AO101" s="26">
        <f t="shared" si="7"/>
        <v>456</v>
      </c>
      <c r="AP101" s="114">
        <f t="shared" si="8"/>
        <v>1520</v>
      </c>
      <c r="AQ101" s="10"/>
    </row>
    <row r="102">
      <c r="A102" s="20" t="str">
        <f>'MASTER STOCK'!F99</f>
        <v>Paku (Nail 20000 1 3/4"</v>
      </c>
      <c r="B102" s="21">
        <f>'NOV 25'!AJ:AJ</f>
        <v>2.8</v>
      </c>
      <c r="C102" s="22"/>
      <c r="D102" s="10"/>
      <c r="E102" s="10"/>
      <c r="F102" s="22"/>
      <c r="G102" s="10"/>
      <c r="H102" s="22"/>
      <c r="I102" s="22"/>
      <c r="J102" s="10"/>
      <c r="K102" s="10"/>
      <c r="L102" s="10"/>
      <c r="M102" s="10"/>
      <c r="N102" s="10"/>
      <c r="O102" s="10"/>
      <c r="P102" s="10"/>
      <c r="Q102" s="10"/>
      <c r="R102" s="10"/>
      <c r="S102" s="22"/>
      <c r="T102" s="10"/>
      <c r="U102" s="10"/>
      <c r="V102" s="10"/>
      <c r="W102" s="10"/>
      <c r="X102" s="22">
        <v>0.1</v>
      </c>
      <c r="Y102" s="22"/>
      <c r="Z102" s="10"/>
      <c r="AA102" s="10"/>
      <c r="AB102" s="22">
        <v>0.25</v>
      </c>
      <c r="AC102" s="10"/>
      <c r="AD102" s="10"/>
      <c r="AE102" s="22">
        <v>0.4</v>
      </c>
      <c r="AF102" s="10"/>
      <c r="AG102" s="10"/>
      <c r="AH102" s="23">
        <f t="shared" si="3"/>
        <v>0.75</v>
      </c>
      <c r="AI102" s="24">
        <v>0.0</v>
      </c>
      <c r="AJ102" s="23">
        <f t="shared" si="4"/>
        <v>2.05</v>
      </c>
      <c r="AK102" s="23">
        <f t="shared" si="5"/>
        <v>2.05</v>
      </c>
      <c r="AL102" s="25">
        <f>'MASTER STOCK'!I99</f>
        <v>14100</v>
      </c>
      <c r="AM102" s="27">
        <f>'MASTER STOCK'!L99</f>
        <v>18330</v>
      </c>
      <c r="AN102" s="27">
        <f t="shared" si="6"/>
        <v>13747.5</v>
      </c>
      <c r="AO102" s="26">
        <f t="shared" si="7"/>
        <v>3172.5</v>
      </c>
      <c r="AP102" s="114">
        <f t="shared" si="8"/>
        <v>10575</v>
      </c>
      <c r="AQ102" s="10"/>
    </row>
    <row r="103">
      <c r="A103" s="20" t="str">
        <f>'MASTER STOCK'!F100</f>
        <v>Paku (Nail 2000) 2"</v>
      </c>
      <c r="B103" s="21">
        <f>'NOV 25'!AJ:AJ</f>
        <v>9.75</v>
      </c>
      <c r="C103" s="22"/>
      <c r="D103" s="22"/>
      <c r="E103" s="10"/>
      <c r="F103" s="10"/>
      <c r="G103" s="10"/>
      <c r="H103" s="22"/>
      <c r="I103" s="22"/>
      <c r="J103" s="10"/>
      <c r="K103" s="10"/>
      <c r="L103" s="22"/>
      <c r="M103" s="10"/>
      <c r="N103" s="10"/>
      <c r="O103" s="10"/>
      <c r="P103" s="10"/>
      <c r="Q103" s="22"/>
      <c r="R103" s="10"/>
      <c r="S103" s="22"/>
      <c r="T103" s="10"/>
      <c r="U103" s="22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23">
        <f t="shared" si="3"/>
        <v>0</v>
      </c>
      <c r="AI103" s="24">
        <v>0.0</v>
      </c>
      <c r="AJ103" s="23">
        <f t="shared" si="4"/>
        <v>9.75</v>
      </c>
      <c r="AK103" s="23">
        <f t="shared" si="5"/>
        <v>9.75</v>
      </c>
      <c r="AL103" s="25">
        <f>'MASTER STOCK'!I100</f>
        <v>13500</v>
      </c>
      <c r="AM103" s="27">
        <f>'MASTER STOCK'!L100</f>
        <v>17550</v>
      </c>
      <c r="AN103" s="27">
        <f t="shared" si="6"/>
        <v>0</v>
      </c>
      <c r="AO103" s="26">
        <f t="shared" si="7"/>
        <v>0</v>
      </c>
      <c r="AP103" s="114">
        <f t="shared" si="8"/>
        <v>0</v>
      </c>
      <c r="AQ103" s="10"/>
    </row>
    <row r="104">
      <c r="A104" s="20" t="str">
        <f>'MASTER STOCK'!F101</f>
        <v>Besi Beton 6mm SNI (U)</v>
      </c>
      <c r="B104" s="21">
        <f>'NOV 25'!AJ:AJ</f>
        <v>10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23">
        <f t="shared" si="3"/>
        <v>0</v>
      </c>
      <c r="AI104" s="24">
        <v>0.0</v>
      </c>
      <c r="AJ104" s="23">
        <f t="shared" si="4"/>
        <v>10</v>
      </c>
      <c r="AK104" s="23">
        <f t="shared" si="5"/>
        <v>10</v>
      </c>
      <c r="AL104" s="25">
        <f>'MASTER STOCK'!I101</f>
        <v>22000</v>
      </c>
      <c r="AM104" s="27">
        <f>'MASTER STOCK'!L101</f>
        <v>26000</v>
      </c>
      <c r="AN104" s="27">
        <f t="shared" si="6"/>
        <v>0</v>
      </c>
      <c r="AO104" s="26">
        <f t="shared" si="7"/>
        <v>0</v>
      </c>
      <c r="AP104" s="114">
        <f t="shared" si="8"/>
        <v>0</v>
      </c>
      <c r="AQ104" s="10"/>
    </row>
    <row r="105">
      <c r="A105" s="20" t="str">
        <f>'MASTER STOCK'!F102</f>
        <v>Besi Beton 8mm SNI (U)</v>
      </c>
      <c r="B105" s="21">
        <f>'NOV 25'!AJ:AJ</f>
        <v>8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22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23">
        <f t="shared" si="3"/>
        <v>0</v>
      </c>
      <c r="AI105" s="24">
        <v>0.0</v>
      </c>
      <c r="AJ105" s="23">
        <f t="shared" si="4"/>
        <v>8</v>
      </c>
      <c r="AK105" s="23">
        <f t="shared" si="5"/>
        <v>8</v>
      </c>
      <c r="AL105" s="25">
        <f>'MASTER STOCK'!I102</f>
        <v>37000</v>
      </c>
      <c r="AM105" s="27">
        <f>'MASTER STOCK'!L102</f>
        <v>43000</v>
      </c>
      <c r="AN105" s="27">
        <f t="shared" si="6"/>
        <v>0</v>
      </c>
      <c r="AO105" s="26">
        <f t="shared" si="7"/>
        <v>0</v>
      </c>
      <c r="AP105" s="114">
        <f t="shared" si="8"/>
        <v>0</v>
      </c>
      <c r="AQ105" s="10"/>
    </row>
    <row r="106">
      <c r="A106" s="20" t="str">
        <f>'MASTER STOCK'!F103</f>
        <v>Besi Beton 10mm SNI (U)</v>
      </c>
      <c r="B106" s="21">
        <f>'NOV 25'!AJ:AJ</f>
        <v>5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23">
        <f t="shared" si="3"/>
        <v>0</v>
      </c>
      <c r="AI106" s="24">
        <v>0.0</v>
      </c>
      <c r="AJ106" s="23">
        <f t="shared" si="4"/>
        <v>5</v>
      </c>
      <c r="AK106" s="23">
        <f t="shared" si="5"/>
        <v>5</v>
      </c>
      <c r="AL106" s="25">
        <f>'MASTER STOCK'!I103</f>
        <v>58000</v>
      </c>
      <c r="AM106" s="27">
        <f>'MASTER STOCK'!L103</f>
        <v>73000</v>
      </c>
      <c r="AN106" s="27">
        <f t="shared" si="6"/>
        <v>0</v>
      </c>
      <c r="AO106" s="26">
        <f t="shared" si="7"/>
        <v>0</v>
      </c>
      <c r="AP106" s="114">
        <f t="shared" si="8"/>
        <v>0</v>
      </c>
      <c r="AQ106" s="10"/>
    </row>
    <row r="107">
      <c r="A107" s="20" t="str">
        <f>'MASTER STOCK'!F104</f>
        <v>Hollow G Tube 20x40x0.4</v>
      </c>
      <c r="B107" s="21">
        <f>'NOV 25'!AJ:AJ</f>
        <v>18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23">
        <f t="shared" si="3"/>
        <v>0</v>
      </c>
      <c r="AI107" s="24">
        <v>0.0</v>
      </c>
      <c r="AJ107" s="23">
        <f t="shared" si="4"/>
        <v>18</v>
      </c>
      <c r="AK107" s="23">
        <f t="shared" si="5"/>
        <v>18</v>
      </c>
      <c r="AL107" s="25">
        <f>'MASTER STOCK'!I104</f>
        <v>21500</v>
      </c>
      <c r="AM107" s="27">
        <f>'MASTER STOCK'!L104</f>
        <v>25800</v>
      </c>
      <c r="AN107" s="27">
        <f t="shared" si="6"/>
        <v>0</v>
      </c>
      <c r="AO107" s="26">
        <f t="shared" si="7"/>
        <v>0</v>
      </c>
      <c r="AP107" s="114">
        <f t="shared" si="8"/>
        <v>0</v>
      </c>
      <c r="AQ107" s="10"/>
    </row>
    <row r="108">
      <c r="A108" s="20" t="str">
        <f>'MASTER STOCK'!F105</f>
        <v>Hollow G Tube 40x40x0.4</v>
      </c>
      <c r="B108" s="21">
        <f>'NOV 25'!AJ:AJ</f>
        <v>10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23">
        <f t="shared" si="3"/>
        <v>0</v>
      </c>
      <c r="AI108" s="24">
        <v>0.0</v>
      </c>
      <c r="AJ108" s="23">
        <f t="shared" si="4"/>
        <v>10</v>
      </c>
      <c r="AK108" s="23">
        <f t="shared" si="5"/>
        <v>10</v>
      </c>
      <c r="AL108" s="25">
        <f>'MASTER STOCK'!I105</f>
        <v>28500</v>
      </c>
      <c r="AM108" s="27">
        <f>'MASTER STOCK'!L105</f>
        <v>34200</v>
      </c>
      <c r="AN108" s="27">
        <f t="shared" si="6"/>
        <v>0</v>
      </c>
      <c r="AO108" s="26">
        <f t="shared" si="7"/>
        <v>0</v>
      </c>
      <c r="AP108" s="114">
        <f t="shared" si="8"/>
        <v>0</v>
      </c>
      <c r="AQ108" s="10"/>
    </row>
    <row r="109">
      <c r="A109" s="20" t="str">
        <f>'MASTER STOCK'!F106</f>
        <v>Reng Galvalum Kenana 0.45 (M)</v>
      </c>
      <c r="B109" s="21">
        <f>'NOV 25'!AJ:AJ</f>
        <v>10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23">
        <f t="shared" si="3"/>
        <v>0</v>
      </c>
      <c r="AI109" s="24">
        <v>0.0</v>
      </c>
      <c r="AJ109" s="23">
        <f t="shared" si="4"/>
        <v>10</v>
      </c>
      <c r="AK109" s="23">
        <f t="shared" si="5"/>
        <v>10</v>
      </c>
      <c r="AL109" s="25">
        <f>'MASTER STOCK'!I106</f>
        <v>39000</v>
      </c>
      <c r="AM109" s="27">
        <f>'MASTER STOCK'!L106</f>
        <v>42900</v>
      </c>
      <c r="AN109" s="27">
        <f t="shared" si="6"/>
        <v>0</v>
      </c>
      <c r="AO109" s="26">
        <f t="shared" si="7"/>
        <v>0</v>
      </c>
      <c r="AP109" s="114">
        <f t="shared" si="8"/>
        <v>0</v>
      </c>
      <c r="AQ109" s="10"/>
    </row>
    <row r="110">
      <c r="A110" s="20" t="str">
        <f>'MASTER STOCK'!F107</f>
        <v>C Truss Kencana 75x0.85 (0.75) MM</v>
      </c>
      <c r="B110" s="21">
        <f>'NOV 25'!AJ:AJ</f>
        <v>10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23">
        <f t="shared" si="3"/>
        <v>0</v>
      </c>
      <c r="AI110" s="24">
        <v>0.0</v>
      </c>
      <c r="AJ110" s="23">
        <f t="shared" si="4"/>
        <v>10</v>
      </c>
      <c r="AK110" s="23">
        <f t="shared" si="5"/>
        <v>10</v>
      </c>
      <c r="AL110" s="25">
        <f>'MASTER STOCK'!I107</f>
        <v>85000</v>
      </c>
      <c r="AM110" s="27">
        <f>'MASTER STOCK'!L107</f>
        <v>93500</v>
      </c>
      <c r="AN110" s="27">
        <f t="shared" si="6"/>
        <v>0</v>
      </c>
      <c r="AO110" s="26">
        <f t="shared" si="7"/>
        <v>0</v>
      </c>
      <c r="AP110" s="114">
        <f t="shared" si="8"/>
        <v>0</v>
      </c>
      <c r="AQ110" s="10"/>
    </row>
    <row r="111">
      <c r="A111" s="20" t="str">
        <f>'MASTER STOCK'!F108</f>
        <v>KAYU BALOK 4X6X4</v>
      </c>
      <c r="B111" s="21">
        <f>'NOV 25'!AJ:AJ</f>
        <v>12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22"/>
      <c r="AC111" s="10"/>
      <c r="AD111" s="10"/>
      <c r="AE111" s="10"/>
      <c r="AF111" s="10"/>
      <c r="AG111" s="10"/>
      <c r="AH111" s="23">
        <f t="shared" si="3"/>
        <v>0</v>
      </c>
      <c r="AI111" s="24">
        <v>0.0</v>
      </c>
      <c r="AJ111" s="23">
        <f t="shared" si="4"/>
        <v>12</v>
      </c>
      <c r="AK111" s="23">
        <f t="shared" si="5"/>
        <v>12</v>
      </c>
      <c r="AL111" s="25">
        <f>'MASTER STOCK'!I108</f>
        <v>39000</v>
      </c>
      <c r="AM111" s="27">
        <f>'MASTER STOCK'!L108</f>
        <v>42900</v>
      </c>
      <c r="AN111" s="27">
        <f t="shared" si="6"/>
        <v>0</v>
      </c>
      <c r="AO111" s="26">
        <f t="shared" si="7"/>
        <v>0</v>
      </c>
      <c r="AP111" s="114">
        <f t="shared" si="8"/>
        <v>0</v>
      </c>
      <c r="AQ111" s="10"/>
    </row>
    <row r="112">
      <c r="A112" s="20" t="str">
        <f>'MASTER STOCK'!F109</f>
        <v>KAYU BALOK 3X5X4</v>
      </c>
      <c r="B112" s="21">
        <f>'NOV 25'!AJ:AJ</f>
        <v>10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22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23">
        <f t="shared" si="3"/>
        <v>0</v>
      </c>
      <c r="AI112" s="24">
        <v>0.0</v>
      </c>
      <c r="AJ112" s="23">
        <f t="shared" si="4"/>
        <v>10</v>
      </c>
      <c r="AK112" s="23">
        <f t="shared" si="5"/>
        <v>10</v>
      </c>
      <c r="AL112" s="25">
        <f>'MASTER STOCK'!I109</f>
        <v>24000</v>
      </c>
      <c r="AM112" s="27">
        <f>'MASTER STOCK'!L109</f>
        <v>26400</v>
      </c>
      <c r="AN112" s="27">
        <f t="shared" si="6"/>
        <v>0</v>
      </c>
      <c r="AO112" s="26">
        <f t="shared" si="7"/>
        <v>0</v>
      </c>
      <c r="AP112" s="114">
        <f t="shared" si="8"/>
        <v>0</v>
      </c>
      <c r="AQ112" s="10"/>
    </row>
    <row r="113">
      <c r="A113" s="20" t="str">
        <f>'MASTER STOCK'!F110</f>
        <v>KAYU BALOK 2X3X4</v>
      </c>
      <c r="B113" s="21">
        <f>'NOV 25'!AJ:AJ</f>
        <v>17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22"/>
      <c r="O113" s="10"/>
      <c r="P113" s="22"/>
      <c r="Q113" s="10"/>
      <c r="R113" s="10"/>
      <c r="S113" s="22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23">
        <f t="shared" si="3"/>
        <v>0</v>
      </c>
      <c r="AI113" s="24">
        <v>0.0</v>
      </c>
      <c r="AJ113" s="23">
        <f t="shared" si="4"/>
        <v>17</v>
      </c>
      <c r="AK113" s="23">
        <f t="shared" si="5"/>
        <v>17</v>
      </c>
      <c r="AL113" s="25">
        <f>'MASTER STOCK'!I110</f>
        <v>9600</v>
      </c>
      <c r="AM113" s="27">
        <f>'MASTER STOCK'!L110</f>
        <v>10560</v>
      </c>
      <c r="AN113" s="27">
        <f t="shared" si="6"/>
        <v>0</v>
      </c>
      <c r="AO113" s="26">
        <f t="shared" si="7"/>
        <v>0</v>
      </c>
      <c r="AP113" s="114">
        <f t="shared" si="8"/>
        <v>0</v>
      </c>
      <c r="AQ113" s="10"/>
    </row>
    <row r="114">
      <c r="A114" s="20" t="str">
        <f>'MASTER STOCK'!F111</f>
        <v>CANGKUL </v>
      </c>
      <c r="B114" s="21">
        <f>'NOV 25'!AJ:AJ</f>
        <v>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23">
        <f t="shared" si="3"/>
        <v>0</v>
      </c>
      <c r="AI114" s="24">
        <v>0.0</v>
      </c>
      <c r="AJ114" s="23">
        <f t="shared" si="4"/>
        <v>1</v>
      </c>
      <c r="AK114" s="23">
        <f t="shared" si="5"/>
        <v>1</v>
      </c>
      <c r="AL114" s="25">
        <f>'MASTER STOCK'!I111</f>
        <v>33580</v>
      </c>
      <c r="AM114" s="27">
        <f>'MASTER STOCK'!L111</f>
        <v>57086</v>
      </c>
      <c r="AN114" s="27">
        <f t="shared" si="6"/>
        <v>0</v>
      </c>
      <c r="AO114" s="26">
        <f t="shared" si="7"/>
        <v>0</v>
      </c>
      <c r="AP114" s="114">
        <f t="shared" si="8"/>
        <v>0</v>
      </c>
      <c r="AQ114" s="10"/>
    </row>
    <row r="115">
      <c r="A115" s="20" t="str">
        <f>'MASTER STOCK'!F112</f>
        <v>SEKOP PASIR</v>
      </c>
      <c r="B115" s="21">
        <f>'NOV 25'!AJ:AJ</f>
        <v>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23">
        <f t="shared" si="3"/>
        <v>0</v>
      </c>
      <c r="AI115" s="24">
        <v>0.0</v>
      </c>
      <c r="AJ115" s="23">
        <f t="shared" si="4"/>
        <v>2</v>
      </c>
      <c r="AK115" s="23">
        <f t="shared" si="5"/>
        <v>2</v>
      </c>
      <c r="AL115" s="25">
        <f>'MASTER STOCK'!I112</f>
        <v>20000</v>
      </c>
      <c r="AM115" s="27">
        <f>'MASTER STOCK'!L112</f>
        <v>34000</v>
      </c>
      <c r="AN115" s="27">
        <f t="shared" si="6"/>
        <v>0</v>
      </c>
      <c r="AO115" s="26">
        <f t="shared" si="7"/>
        <v>0</v>
      </c>
      <c r="AP115" s="114">
        <f t="shared" si="8"/>
        <v>0</v>
      </c>
      <c r="AQ115" s="10"/>
    </row>
    <row r="116">
      <c r="A116" s="20" t="str">
        <f>'MASTER STOCK'!F113</f>
        <v>Baut Drilling Galvalum Baja Ringan 100
Pcs Per Plastik - WL 12x50 100Pcs</v>
      </c>
      <c r="B116" s="21">
        <f>'NOV 25'!AJ:AJ</f>
        <v>100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23">
        <f t="shared" si="3"/>
        <v>0</v>
      </c>
      <c r="AI116" s="24">
        <v>0.0</v>
      </c>
      <c r="AJ116" s="23">
        <f t="shared" si="4"/>
        <v>100</v>
      </c>
      <c r="AK116" s="23">
        <f t="shared" si="5"/>
        <v>100</v>
      </c>
      <c r="AL116" s="25">
        <f>'MASTER STOCK'!I113</f>
        <v>250</v>
      </c>
      <c r="AM116" s="27">
        <f>'MASTER STOCK'!L113</f>
        <v>500</v>
      </c>
      <c r="AN116" s="27">
        <f t="shared" si="6"/>
        <v>0</v>
      </c>
      <c r="AO116" s="26">
        <f t="shared" si="7"/>
        <v>0</v>
      </c>
      <c r="AP116" s="114">
        <f t="shared" si="8"/>
        <v>0</v>
      </c>
      <c r="AQ116" s="10"/>
    </row>
    <row r="117">
      <c r="A117" s="20" t="str">
        <f>'MASTER STOCK'!F114</f>
        <v>Baut Drilling Galvalum Baja Ringan 100
Pcs Per Plastik - WL 12x60 100Pcs</v>
      </c>
      <c r="B117" s="21">
        <f>'NOV 25'!AJ:AJ</f>
        <v>100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23">
        <f t="shared" si="3"/>
        <v>0</v>
      </c>
      <c r="AI117" s="24">
        <v>0.0</v>
      </c>
      <c r="AJ117" s="23">
        <f t="shared" si="4"/>
        <v>100</v>
      </c>
      <c r="AK117" s="23">
        <f t="shared" si="5"/>
        <v>100</v>
      </c>
      <c r="AL117" s="25">
        <f>'MASTER STOCK'!I114</f>
        <v>300</v>
      </c>
      <c r="AM117" s="27">
        <f>'MASTER STOCK'!L114</f>
        <v>600</v>
      </c>
      <c r="AN117" s="27">
        <f t="shared" si="6"/>
        <v>0</v>
      </c>
      <c r="AO117" s="26">
        <f t="shared" si="7"/>
        <v>0</v>
      </c>
      <c r="AP117" s="114">
        <f t="shared" si="8"/>
        <v>0</v>
      </c>
      <c r="AQ117" s="10"/>
    </row>
    <row r="118">
      <c r="A118" s="20" t="str">
        <f>'MASTER STOCK'!F115</f>
        <v>Baut Drilling Galvalum Baja Ringan 100
Pcs Per Plastik - WL 12x30 100Pcs</v>
      </c>
      <c r="B118" s="21">
        <f>'NOV 25'!AJ:AJ</f>
        <v>100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23">
        <f t="shared" si="3"/>
        <v>0</v>
      </c>
      <c r="AI118" s="24">
        <v>0.0</v>
      </c>
      <c r="AJ118" s="23">
        <f t="shared" si="4"/>
        <v>100</v>
      </c>
      <c r="AK118" s="23">
        <f t="shared" si="5"/>
        <v>100</v>
      </c>
      <c r="AL118" s="25">
        <f>'MASTER STOCK'!I115</f>
        <v>170</v>
      </c>
      <c r="AM118" s="27">
        <f>'MASTER STOCK'!L115</f>
        <v>340</v>
      </c>
      <c r="AN118" s="27">
        <f t="shared" si="6"/>
        <v>0</v>
      </c>
      <c r="AO118" s="26">
        <f t="shared" si="7"/>
        <v>0</v>
      </c>
      <c r="AP118" s="114">
        <f t="shared" si="8"/>
        <v>0</v>
      </c>
      <c r="AQ118" s="10"/>
    </row>
    <row r="119">
      <c r="A119" s="20" t="str">
        <f>'MASTER STOCK'!F116</f>
        <v>Baut Drilling Galvalum Baja Ringan 100
Pcs Per Plastik - WL 12x40 100Pcs</v>
      </c>
      <c r="B119" s="21">
        <f>'NOV 25'!AJ:AJ</f>
        <v>100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23">
        <f t="shared" si="3"/>
        <v>0</v>
      </c>
      <c r="AI119" s="24">
        <v>0.0</v>
      </c>
      <c r="AJ119" s="23">
        <f t="shared" si="4"/>
        <v>100</v>
      </c>
      <c r="AK119" s="23">
        <f t="shared" si="5"/>
        <v>100</v>
      </c>
      <c r="AL119" s="25">
        <f>'MASTER STOCK'!I116</f>
        <v>220</v>
      </c>
      <c r="AM119" s="27">
        <f>'MASTER STOCK'!L116</f>
        <v>440</v>
      </c>
      <c r="AN119" s="27">
        <f t="shared" si="6"/>
        <v>0</v>
      </c>
      <c r="AO119" s="26">
        <f t="shared" si="7"/>
        <v>0</v>
      </c>
      <c r="AP119" s="114">
        <f t="shared" si="8"/>
        <v>0</v>
      </c>
      <c r="AQ119" s="10"/>
    </row>
    <row r="120">
      <c r="A120" s="20" t="str">
        <f>'MASTER STOCK'!F117</f>
        <v>Baut Drilling Galvalum Baja Ringan 100
Pcs Per Plastik - WL 12x20 100Pcs</v>
      </c>
      <c r="B120" s="21">
        <f>'NOV 25'!AJ:AJ</f>
        <v>100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23">
        <f t="shared" si="3"/>
        <v>0</v>
      </c>
      <c r="AI120" s="24">
        <v>0.0</v>
      </c>
      <c r="AJ120" s="23">
        <f t="shared" si="4"/>
        <v>100</v>
      </c>
      <c r="AK120" s="23">
        <f t="shared" si="5"/>
        <v>100</v>
      </c>
      <c r="AL120" s="25">
        <f>'MASTER STOCK'!I117</f>
        <v>150</v>
      </c>
      <c r="AM120" s="27">
        <f>'MASTER STOCK'!L117</f>
        <v>300</v>
      </c>
      <c r="AN120" s="27">
        <f t="shared" si="6"/>
        <v>0</v>
      </c>
      <c r="AO120" s="26">
        <f t="shared" si="7"/>
        <v>0</v>
      </c>
      <c r="AP120" s="114">
        <f t="shared" si="8"/>
        <v>0</v>
      </c>
      <c r="AQ120" s="10"/>
    </row>
    <row r="121">
      <c r="A121" s="20" t="str">
        <f>'MASTER STOCK'!F118</f>
        <v>Batu Kumbung</v>
      </c>
      <c r="B121" s="21">
        <f>'NOV 25'!AJ:AJ</f>
        <v>498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22"/>
      <c r="T121" s="10"/>
      <c r="U121" s="10"/>
      <c r="V121" s="10"/>
      <c r="W121" s="10"/>
      <c r="X121" s="10"/>
      <c r="Y121" s="22"/>
      <c r="Z121" s="10"/>
      <c r="AA121" s="10"/>
      <c r="AB121" s="10"/>
      <c r="AC121" s="10"/>
      <c r="AD121" s="10"/>
      <c r="AE121" s="10"/>
      <c r="AF121" s="10"/>
      <c r="AG121" s="10"/>
      <c r="AH121" s="23">
        <f t="shared" si="3"/>
        <v>0</v>
      </c>
      <c r="AI121" s="24">
        <v>0.0</v>
      </c>
      <c r="AJ121" s="23">
        <f t="shared" si="4"/>
        <v>498</v>
      </c>
      <c r="AK121" s="23">
        <f t="shared" si="5"/>
        <v>498</v>
      </c>
      <c r="AL121" s="25">
        <f>'MASTER STOCK'!I118</f>
        <v>8000</v>
      </c>
      <c r="AM121" s="27">
        <f>'MASTER STOCK'!L118</f>
        <v>12000</v>
      </c>
      <c r="AN121" s="27">
        <f t="shared" si="6"/>
        <v>0</v>
      </c>
      <c r="AO121" s="26">
        <f t="shared" si="7"/>
        <v>0</v>
      </c>
      <c r="AP121" s="114">
        <f t="shared" si="8"/>
        <v>0</v>
      </c>
      <c r="AQ121" s="10"/>
    </row>
    <row r="122">
      <c r="A122" s="20" t="str">
        <f>'MASTER STOCK'!F119</f>
        <v>Triplek 8m sengon</v>
      </c>
      <c r="B122" s="21">
        <f>'NOV 25'!AJ:AJ</f>
        <v>5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23">
        <f t="shared" si="3"/>
        <v>0</v>
      </c>
      <c r="AI122" s="24">
        <v>0.0</v>
      </c>
      <c r="AJ122" s="23">
        <f t="shared" si="4"/>
        <v>5</v>
      </c>
      <c r="AK122" s="23">
        <f t="shared" si="5"/>
        <v>5</v>
      </c>
      <c r="AL122" s="25">
        <f>'MASTER STOCK'!I119</f>
        <v>67000</v>
      </c>
      <c r="AM122" s="27">
        <f>'MASTER STOCK'!L119</f>
        <v>70350</v>
      </c>
      <c r="AN122" s="27">
        <f t="shared" si="6"/>
        <v>0</v>
      </c>
      <c r="AO122" s="26">
        <f t="shared" si="7"/>
        <v>0</v>
      </c>
      <c r="AP122" s="114">
        <f t="shared" si="8"/>
        <v>0</v>
      </c>
      <c r="AQ122" s="10"/>
    </row>
    <row r="123">
      <c r="A123" s="20" t="str">
        <f>'MASTER STOCK'!F120</f>
        <v>Triplek 6m sengon</v>
      </c>
      <c r="B123" s="21">
        <f>'NOV 25'!AJ:AJ</f>
        <v>10</v>
      </c>
      <c r="C123" s="10"/>
      <c r="D123" s="10"/>
      <c r="E123" s="10"/>
      <c r="F123" s="10"/>
      <c r="G123" s="10"/>
      <c r="H123" s="22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23">
        <f t="shared" si="3"/>
        <v>0</v>
      </c>
      <c r="AI123" s="24">
        <v>0.0</v>
      </c>
      <c r="AJ123" s="23">
        <f t="shared" si="4"/>
        <v>10</v>
      </c>
      <c r="AK123" s="23">
        <f t="shared" si="5"/>
        <v>10</v>
      </c>
      <c r="AL123" s="25">
        <f>'MASTER STOCK'!I120</f>
        <v>56500</v>
      </c>
      <c r="AM123" s="27">
        <f>'MASTER STOCK'!L120</f>
        <v>59325</v>
      </c>
      <c r="AN123" s="27">
        <f t="shared" si="6"/>
        <v>0</v>
      </c>
      <c r="AO123" s="26">
        <f t="shared" si="7"/>
        <v>0</v>
      </c>
      <c r="AP123" s="114">
        <f t="shared" si="8"/>
        <v>0</v>
      </c>
      <c r="AQ123" s="10"/>
    </row>
    <row r="124">
      <c r="A124" s="20" t="str">
        <f>'MASTER STOCK'!F121</f>
        <v>Triplek 3m sengon</v>
      </c>
      <c r="B124" s="21">
        <f>'NOV 25'!AJ:AJ</f>
        <v>10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22">
        <v>1.0</v>
      </c>
      <c r="AF124" s="10"/>
      <c r="AG124" s="10"/>
      <c r="AH124" s="23">
        <f t="shared" si="3"/>
        <v>1</v>
      </c>
      <c r="AI124" s="24">
        <v>0.0</v>
      </c>
      <c r="AJ124" s="23">
        <f t="shared" si="4"/>
        <v>9</v>
      </c>
      <c r="AK124" s="23">
        <f t="shared" si="5"/>
        <v>9</v>
      </c>
      <c r="AL124" s="25">
        <f>'MASTER STOCK'!I121</f>
        <v>38500</v>
      </c>
      <c r="AM124" s="27">
        <f>'MASTER STOCK'!L121</f>
        <v>40425</v>
      </c>
      <c r="AN124" s="27">
        <f t="shared" si="6"/>
        <v>40425</v>
      </c>
      <c r="AO124" s="26">
        <f t="shared" si="7"/>
        <v>1925</v>
      </c>
      <c r="AP124" s="114">
        <f t="shared" si="8"/>
        <v>38500</v>
      </c>
      <c r="AQ124" s="10"/>
    </row>
    <row r="125">
      <c r="A125" s="20" t="str">
        <f>'MASTER STOCK'!F122</f>
        <v>Semen Gresik</v>
      </c>
      <c r="B125" s="21">
        <f>'NOV 25'!AJ:AJ</f>
        <v>56</v>
      </c>
      <c r="C125" s="22"/>
      <c r="D125" s="22"/>
      <c r="E125" s="22"/>
      <c r="F125" s="10"/>
      <c r="G125" s="10"/>
      <c r="H125" s="10"/>
      <c r="I125" s="10"/>
      <c r="J125" s="10"/>
      <c r="K125" s="10"/>
      <c r="L125" s="10"/>
      <c r="M125" s="22"/>
      <c r="N125" s="22"/>
      <c r="O125" s="22"/>
      <c r="P125" s="10"/>
      <c r="Q125" s="22"/>
      <c r="R125" s="22"/>
      <c r="S125" s="22">
        <v>2.0</v>
      </c>
      <c r="T125" s="22"/>
      <c r="U125" s="22"/>
      <c r="V125" s="22"/>
      <c r="W125" s="22"/>
      <c r="X125" s="22">
        <v>1.0</v>
      </c>
      <c r="Y125" s="10"/>
      <c r="Z125" s="10"/>
      <c r="AA125" s="10"/>
      <c r="AB125" s="10"/>
      <c r="AC125" s="10"/>
      <c r="AD125" s="22"/>
      <c r="AE125" s="10"/>
      <c r="AF125" s="22"/>
      <c r="AG125" s="22"/>
      <c r="AH125" s="23">
        <f t="shared" si="3"/>
        <v>3</v>
      </c>
      <c r="AI125" s="24">
        <v>0.0</v>
      </c>
      <c r="AJ125" s="23">
        <f t="shared" si="4"/>
        <v>53</v>
      </c>
      <c r="AK125" s="23">
        <f t="shared" si="5"/>
        <v>53</v>
      </c>
      <c r="AL125" s="25">
        <f>'MASTER STOCK'!I122</f>
        <v>55000</v>
      </c>
      <c r="AM125" s="27">
        <f>'MASTER STOCK'!L122</f>
        <v>56485</v>
      </c>
      <c r="AN125" s="27">
        <f t="shared" si="6"/>
        <v>169455</v>
      </c>
      <c r="AO125" s="26">
        <f t="shared" si="7"/>
        <v>4455</v>
      </c>
      <c r="AP125" s="114">
        <f t="shared" si="8"/>
        <v>165000</v>
      </c>
      <c r="AQ125" s="10"/>
    </row>
    <row r="126">
      <c r="A126" s="20" t="str">
        <f>'MASTER STOCK'!F123</f>
        <v>Kapur</v>
      </c>
      <c r="B126" s="21">
        <f>'NOV 25'!AJ:AJ</f>
        <v>98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22"/>
      <c r="Q126" s="10"/>
      <c r="R126" s="10"/>
      <c r="S126" s="10"/>
      <c r="T126" s="10"/>
      <c r="U126" s="10"/>
      <c r="V126" s="22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23">
        <f t="shared" si="3"/>
        <v>0</v>
      </c>
      <c r="AI126" s="24">
        <v>0.0</v>
      </c>
      <c r="AJ126" s="23">
        <f t="shared" si="4"/>
        <v>98</v>
      </c>
      <c r="AK126" s="23">
        <f t="shared" si="5"/>
        <v>98</v>
      </c>
      <c r="AL126" s="25">
        <f>'MASTER STOCK'!I123</f>
        <v>17000</v>
      </c>
      <c r="AM126" s="27">
        <f>'MASTER STOCK'!L123</f>
        <v>18700</v>
      </c>
      <c r="AN126" s="27">
        <f t="shared" si="6"/>
        <v>0</v>
      </c>
      <c r="AO126" s="26">
        <f t="shared" si="7"/>
        <v>0</v>
      </c>
      <c r="AP126" s="114">
        <f t="shared" si="8"/>
        <v>0</v>
      </c>
      <c r="AQ126" s="10"/>
    </row>
    <row r="127">
      <c r="A127" s="20" t="str">
        <f>'MASTER STOCK'!F124</f>
        <v>Pasir</v>
      </c>
      <c r="B127" s="21">
        <f>'NOV 25'!AJ:AJ</f>
        <v>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23">
        <f t="shared" si="3"/>
        <v>0</v>
      </c>
      <c r="AI127" s="24">
        <v>0.0</v>
      </c>
      <c r="AJ127" s="23">
        <f t="shared" si="4"/>
        <v>1</v>
      </c>
      <c r="AK127" s="23">
        <f t="shared" si="5"/>
        <v>1</v>
      </c>
      <c r="AL127" s="25">
        <f>'MASTER STOCK'!I124</f>
        <v>1000000</v>
      </c>
      <c r="AM127" s="27">
        <f>'MASTER STOCK'!L124</f>
        <v>1100000</v>
      </c>
      <c r="AN127" s="27">
        <f t="shared" si="6"/>
        <v>0</v>
      </c>
      <c r="AO127" s="26">
        <f t="shared" si="7"/>
        <v>0</v>
      </c>
      <c r="AP127" s="114">
        <f t="shared" si="8"/>
        <v>0</v>
      </c>
      <c r="AQ127" s="10"/>
    </row>
    <row r="128">
      <c r="A128" s="20" t="str">
        <f>'MASTER STOCK'!F125</f>
        <v>Stop kontak 1 lubang</v>
      </c>
      <c r="B128" s="21">
        <f>'NOV 25'!AJ:AJ</f>
        <v>5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23">
        <f t="shared" si="3"/>
        <v>0</v>
      </c>
      <c r="AI128" s="24">
        <v>0.0</v>
      </c>
      <c r="AJ128" s="23">
        <f t="shared" si="4"/>
        <v>5</v>
      </c>
      <c r="AK128" s="23">
        <f t="shared" si="5"/>
        <v>5</v>
      </c>
      <c r="AL128" s="25">
        <f>'MASTER STOCK'!I125</f>
        <v>4125</v>
      </c>
      <c r="AM128" s="27">
        <f>'MASTER STOCK'!L125</f>
        <v>416625</v>
      </c>
      <c r="AN128" s="27">
        <f t="shared" si="6"/>
        <v>0</v>
      </c>
      <c r="AO128" s="26">
        <f t="shared" si="7"/>
        <v>0</v>
      </c>
      <c r="AP128" s="114">
        <f t="shared" si="8"/>
        <v>0</v>
      </c>
      <c r="AQ128" s="10"/>
    </row>
    <row r="129">
      <c r="A129" s="20" t="str">
        <f>'MASTER STOCK'!F126</f>
        <v>Stop kontak 2 lubang</v>
      </c>
      <c r="B129" s="21">
        <f>'NOV 25'!AJ:AJ</f>
        <v>4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22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23">
        <f t="shared" si="3"/>
        <v>0</v>
      </c>
      <c r="AI129" s="24">
        <v>0.0</v>
      </c>
      <c r="AJ129" s="23">
        <f t="shared" si="4"/>
        <v>4</v>
      </c>
      <c r="AK129" s="23">
        <f t="shared" si="5"/>
        <v>4</v>
      </c>
      <c r="AL129" s="25">
        <f>'MASTER STOCK'!I126</f>
        <v>5250</v>
      </c>
      <c r="AM129" s="27">
        <f>'MASTER STOCK'!L126</f>
        <v>8925</v>
      </c>
      <c r="AN129" s="27">
        <f t="shared" si="6"/>
        <v>0</v>
      </c>
      <c r="AO129" s="26">
        <f t="shared" si="7"/>
        <v>0</v>
      </c>
      <c r="AP129" s="114">
        <f t="shared" si="8"/>
        <v>0</v>
      </c>
      <c r="AQ129" s="10"/>
    </row>
    <row r="130">
      <c r="A130" s="20" t="str">
        <f>'MASTER STOCK'!F127</f>
        <v>Stop kontak 3 lubang</v>
      </c>
      <c r="B130" s="21">
        <f>'NOV 25'!AJ:AJ</f>
        <v>4</v>
      </c>
      <c r="C130" s="10"/>
      <c r="D130" s="10"/>
      <c r="E130" s="10"/>
      <c r="F130" s="10"/>
      <c r="G130" s="10"/>
      <c r="H130" s="10"/>
      <c r="I130" s="10"/>
      <c r="J130" s="10"/>
      <c r="K130" s="22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23">
        <f t="shared" si="3"/>
        <v>0</v>
      </c>
      <c r="AI130" s="24">
        <v>0.0</v>
      </c>
      <c r="AJ130" s="23">
        <f t="shared" si="4"/>
        <v>4</v>
      </c>
      <c r="AK130" s="23">
        <f t="shared" si="5"/>
        <v>4</v>
      </c>
      <c r="AL130" s="25">
        <f>'MASTER STOCK'!I127</f>
        <v>6750</v>
      </c>
      <c r="AM130" s="27">
        <f>'MASTER STOCK'!L127</f>
        <v>14000</v>
      </c>
      <c r="AN130" s="27">
        <f t="shared" si="6"/>
        <v>0</v>
      </c>
      <c r="AO130" s="26">
        <f t="shared" si="7"/>
        <v>0</v>
      </c>
      <c r="AP130" s="114">
        <f t="shared" si="8"/>
        <v>0</v>
      </c>
      <c r="AQ130" s="10"/>
    </row>
    <row r="131">
      <c r="A131" s="20" t="str">
        <f>'MASTER STOCK'!F128</f>
        <v>Stop kontak 4 lubang</v>
      </c>
      <c r="B131" s="21">
        <f>'NOV 25'!AJ:AJ</f>
        <v>3</v>
      </c>
      <c r="C131" s="10"/>
      <c r="D131" s="10"/>
      <c r="E131" s="10"/>
      <c r="F131" s="22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22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23">
        <f t="shared" si="3"/>
        <v>0</v>
      </c>
      <c r="AI131" s="24">
        <v>0.0</v>
      </c>
      <c r="AJ131" s="23">
        <f t="shared" si="4"/>
        <v>3</v>
      </c>
      <c r="AK131" s="23">
        <f t="shared" si="5"/>
        <v>3</v>
      </c>
      <c r="AL131" s="25">
        <f>'MASTER STOCK'!I128</f>
        <v>8100</v>
      </c>
      <c r="AM131" s="27">
        <f>'MASTER STOCK'!L128</f>
        <v>16000</v>
      </c>
      <c r="AN131" s="27">
        <f t="shared" si="6"/>
        <v>0</v>
      </c>
      <c r="AO131" s="26">
        <f t="shared" si="7"/>
        <v>0</v>
      </c>
      <c r="AP131" s="114">
        <f t="shared" si="8"/>
        <v>0</v>
      </c>
      <c r="AQ131" s="10"/>
    </row>
    <row r="132">
      <c r="A132" s="20" t="str">
        <f>'MASTER STOCK'!F129</f>
        <v>Stop kontak 5 lubang</v>
      </c>
      <c r="B132" s="21">
        <f>'NOV 25'!AJ:AJ</f>
        <v>5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23">
        <f t="shared" si="3"/>
        <v>0</v>
      </c>
      <c r="AI132" s="24">
        <v>0.0</v>
      </c>
      <c r="AJ132" s="23">
        <f t="shared" si="4"/>
        <v>5</v>
      </c>
      <c r="AK132" s="23">
        <f t="shared" si="5"/>
        <v>5</v>
      </c>
      <c r="AL132" s="25">
        <f>'MASTER STOCK'!I129</f>
        <v>9750</v>
      </c>
      <c r="AM132" s="27">
        <f>'MASTER STOCK'!L129</f>
        <v>16575</v>
      </c>
      <c r="AN132" s="27">
        <f t="shared" si="6"/>
        <v>0</v>
      </c>
      <c r="AO132" s="26">
        <f t="shared" si="7"/>
        <v>0</v>
      </c>
      <c r="AP132" s="114">
        <f t="shared" si="8"/>
        <v>0</v>
      </c>
      <c r="AQ132" s="10"/>
    </row>
    <row r="133">
      <c r="A133" s="20" t="str">
        <f>'MASTER STOCK'!F130</f>
        <v>Baterai ABC</v>
      </c>
      <c r="B133" s="21">
        <f>'NOV 25'!AJ:AJ</f>
        <v>24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23">
        <f t="shared" si="3"/>
        <v>0</v>
      </c>
      <c r="AI133" s="24">
        <v>0.0</v>
      </c>
      <c r="AJ133" s="23">
        <f t="shared" si="4"/>
        <v>24</v>
      </c>
      <c r="AK133" s="23">
        <f t="shared" si="5"/>
        <v>24</v>
      </c>
      <c r="AL133" s="25">
        <f>'MASTER STOCK'!I130</f>
        <v>2600</v>
      </c>
      <c r="AM133" s="27">
        <f>'MASTER STOCK'!L130</f>
        <v>3900</v>
      </c>
      <c r="AN133" s="27">
        <f t="shared" si="6"/>
        <v>0</v>
      </c>
      <c r="AO133" s="26">
        <f t="shared" si="7"/>
        <v>0</v>
      </c>
      <c r="AP133" s="114">
        <f t="shared" si="8"/>
        <v>0</v>
      </c>
      <c r="AQ133" s="10"/>
    </row>
    <row r="134">
      <c r="A134" s="20" t="str">
        <f>'MASTER STOCK'!F131</f>
        <v>NAIL  PAKU PAYUNG 2"</v>
      </c>
      <c r="B134" s="21">
        <f>'NOV 25'!AJ:AJ</f>
        <v>5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23">
        <f t="shared" si="3"/>
        <v>0</v>
      </c>
      <c r="AI134" s="24">
        <v>0.0</v>
      </c>
      <c r="AJ134" s="23">
        <f t="shared" si="4"/>
        <v>5</v>
      </c>
      <c r="AK134" s="23">
        <f t="shared" si="5"/>
        <v>5</v>
      </c>
      <c r="AL134" s="25">
        <f>'MASTER STOCK'!I131</f>
        <v>17500</v>
      </c>
      <c r="AM134" s="27">
        <f>'MASTER STOCK'!L131</f>
        <v>26250</v>
      </c>
      <c r="AN134" s="27">
        <f t="shared" si="6"/>
        <v>0</v>
      </c>
      <c r="AO134" s="26">
        <f t="shared" si="7"/>
        <v>0</v>
      </c>
      <c r="AP134" s="114">
        <f t="shared" si="8"/>
        <v>0</v>
      </c>
      <c r="AQ134" s="10"/>
    </row>
    <row r="135">
      <c r="A135" s="20" t="str">
        <f>'MASTER STOCK'!F132</f>
        <v>NAIL PAKU PAYUNG ULIR 3"</v>
      </c>
      <c r="B135" s="21">
        <f>'NOV 25'!AJ:AJ</f>
        <v>5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23">
        <f t="shared" si="3"/>
        <v>0</v>
      </c>
      <c r="AI135" s="24">
        <v>0.0</v>
      </c>
      <c r="AJ135" s="23">
        <f t="shared" si="4"/>
        <v>5</v>
      </c>
      <c r="AK135" s="23">
        <f t="shared" si="5"/>
        <v>5</v>
      </c>
      <c r="AL135" s="25">
        <f>'MASTER STOCK'!I132</f>
        <v>18500</v>
      </c>
      <c r="AM135" s="27">
        <f>'MASTER STOCK'!L132</f>
        <v>27750</v>
      </c>
      <c r="AN135" s="27">
        <f t="shared" si="6"/>
        <v>0</v>
      </c>
      <c r="AO135" s="26">
        <f t="shared" si="7"/>
        <v>0</v>
      </c>
      <c r="AP135" s="114">
        <f t="shared" si="8"/>
        <v>0</v>
      </c>
      <c r="AQ135" s="10"/>
    </row>
    <row r="136">
      <c r="A136" s="20" t="str">
        <f>'MASTER STOCK'!F133</f>
        <v>NAIL PAKU PAYUNG ULIR 4"</v>
      </c>
      <c r="B136" s="21">
        <f>'NOV 25'!AJ:AJ</f>
        <v>5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23">
        <f t="shared" si="3"/>
        <v>0</v>
      </c>
      <c r="AI136" s="24">
        <v>0.0</v>
      </c>
      <c r="AJ136" s="23">
        <f t="shared" si="4"/>
        <v>5</v>
      </c>
      <c r="AK136" s="23">
        <f t="shared" si="5"/>
        <v>5</v>
      </c>
      <c r="AL136" s="25">
        <f>'MASTER STOCK'!I133</f>
        <v>16500</v>
      </c>
      <c r="AM136" s="27">
        <f>'MASTER STOCK'!L133</f>
        <v>24750</v>
      </c>
      <c r="AN136" s="27">
        <f t="shared" si="6"/>
        <v>0</v>
      </c>
      <c r="AO136" s="26">
        <f t="shared" si="7"/>
        <v>0</v>
      </c>
      <c r="AP136" s="114">
        <f t="shared" si="8"/>
        <v>0</v>
      </c>
      <c r="AQ136" s="10"/>
    </row>
    <row r="137">
      <c r="A137" s="20" t="str">
        <f>'MASTER STOCK'!F134</f>
        <v>PAKU PINES </v>
      </c>
      <c r="B137" s="21">
        <f>'NOV 25'!AJ:AJ</f>
        <v>7</v>
      </c>
      <c r="C137" s="10"/>
      <c r="D137" s="10"/>
      <c r="E137" s="22"/>
      <c r="F137" s="22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23">
        <f t="shared" si="3"/>
        <v>0</v>
      </c>
      <c r="AI137" s="24">
        <v>0.0</v>
      </c>
      <c r="AJ137" s="23">
        <f t="shared" si="4"/>
        <v>7</v>
      </c>
      <c r="AK137" s="23">
        <f t="shared" si="5"/>
        <v>7</v>
      </c>
      <c r="AL137" s="25">
        <f>'MASTER STOCK'!I134</f>
        <v>1200</v>
      </c>
      <c r="AM137" s="27">
        <f>'MASTER STOCK'!L134</f>
        <v>2040</v>
      </c>
      <c r="AN137" s="27">
        <f t="shared" si="6"/>
        <v>0</v>
      </c>
      <c r="AO137" s="26">
        <f t="shared" si="7"/>
        <v>0</v>
      </c>
      <c r="AP137" s="114">
        <f t="shared" si="8"/>
        <v>0</v>
      </c>
      <c r="AQ137" s="10"/>
    </row>
    <row r="138">
      <c r="A138" s="20" t="str">
        <f>'MASTER STOCK'!F135</f>
        <v>KIKIR 3 INC</v>
      </c>
      <c r="B138" s="21">
        <f>'NOV 25'!AJ:AJ</f>
        <v>5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23">
        <f t="shared" si="3"/>
        <v>0</v>
      </c>
      <c r="AI138" s="24">
        <v>0.0</v>
      </c>
      <c r="AJ138" s="23">
        <f t="shared" si="4"/>
        <v>5</v>
      </c>
      <c r="AK138" s="23">
        <f t="shared" si="5"/>
        <v>5</v>
      </c>
      <c r="AL138" s="25">
        <f>'MASTER STOCK'!I135</f>
        <v>8000</v>
      </c>
      <c r="AM138" s="27">
        <f>'MASTER STOCK'!L135</f>
        <v>17200</v>
      </c>
      <c r="AN138" s="27">
        <f t="shared" si="6"/>
        <v>0</v>
      </c>
      <c r="AO138" s="26">
        <f t="shared" si="7"/>
        <v>0</v>
      </c>
      <c r="AP138" s="114">
        <f t="shared" si="8"/>
        <v>0</v>
      </c>
      <c r="AQ138" s="10"/>
    </row>
    <row r="139">
      <c r="A139" s="20" t="str">
        <f>'MASTER STOCK'!F136</f>
        <v>KIKIR 3.5 INC</v>
      </c>
      <c r="B139" s="21">
        <f>'NOV 25'!AJ:AJ</f>
        <v>2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23">
        <f t="shared" si="3"/>
        <v>0</v>
      </c>
      <c r="AI139" s="24">
        <v>0.0</v>
      </c>
      <c r="AJ139" s="23">
        <f t="shared" si="4"/>
        <v>2</v>
      </c>
      <c r="AK139" s="23">
        <f t="shared" si="5"/>
        <v>2</v>
      </c>
      <c r="AL139" s="25">
        <f>'MASTER STOCK'!I136</f>
        <v>7500</v>
      </c>
      <c r="AM139" s="27">
        <f>'MASTER STOCK'!L136</f>
        <v>19125</v>
      </c>
      <c r="AN139" s="27">
        <f t="shared" si="6"/>
        <v>0</v>
      </c>
      <c r="AO139" s="26">
        <f t="shared" si="7"/>
        <v>0</v>
      </c>
      <c r="AP139" s="114">
        <f t="shared" si="8"/>
        <v>0</v>
      </c>
      <c r="AQ139" s="10"/>
    </row>
    <row r="140">
      <c r="A140" s="20" t="str">
        <f>'MASTER STOCK'!F137</f>
        <v>KIKIR 4 INC</v>
      </c>
      <c r="B140" s="21">
        <f>'NOV 25'!AJ:AJ</f>
        <v>2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23">
        <f t="shared" si="3"/>
        <v>0</v>
      </c>
      <c r="AI140" s="24">
        <v>0.0</v>
      </c>
      <c r="AJ140" s="23">
        <f t="shared" si="4"/>
        <v>2</v>
      </c>
      <c r="AK140" s="23">
        <f t="shared" si="5"/>
        <v>2</v>
      </c>
      <c r="AL140" s="25">
        <f>'MASTER STOCK'!I137</f>
        <v>9000</v>
      </c>
      <c r="AM140" s="27">
        <f>'MASTER STOCK'!L137</f>
        <v>20700</v>
      </c>
      <c r="AN140" s="27">
        <f t="shared" si="6"/>
        <v>0</v>
      </c>
      <c r="AO140" s="26">
        <f t="shared" si="7"/>
        <v>0</v>
      </c>
      <c r="AP140" s="114">
        <f t="shared" si="8"/>
        <v>0</v>
      </c>
      <c r="AQ140" s="10"/>
    </row>
    <row r="141">
      <c r="A141" s="20" t="str">
        <f>'MASTER STOCK'!F138</f>
        <v>AVIAN 192 VERMILLION 25CC</v>
      </c>
      <c r="B141" s="21">
        <f>'NOV 25'!AJ:AJ</f>
        <v>3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22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23">
        <f t="shared" si="3"/>
        <v>0</v>
      </c>
      <c r="AI141" s="24">
        <v>0.0</v>
      </c>
      <c r="AJ141" s="23">
        <f t="shared" si="4"/>
        <v>3</v>
      </c>
      <c r="AK141" s="23">
        <f t="shared" si="5"/>
        <v>3</v>
      </c>
      <c r="AL141" s="25">
        <f>'MASTER STOCK'!I138</f>
        <v>4500</v>
      </c>
      <c r="AM141" s="27">
        <f>'MASTER STOCK'!L138</f>
        <v>5580</v>
      </c>
      <c r="AN141" s="27">
        <f t="shared" si="6"/>
        <v>0</v>
      </c>
      <c r="AO141" s="26">
        <f t="shared" si="7"/>
        <v>0</v>
      </c>
      <c r="AP141" s="114">
        <f t="shared" si="8"/>
        <v>0</v>
      </c>
      <c r="AQ141" s="10"/>
    </row>
    <row r="142">
      <c r="A142" s="20" t="str">
        <f>'MASTER STOCK'!F139</f>
        <v>AVIAN SB 25CC</v>
      </c>
      <c r="B142" s="21">
        <f>'NOV 25'!AJ:AJ</f>
        <v>5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23">
        <f t="shared" si="3"/>
        <v>0</v>
      </c>
      <c r="AI142" s="24">
        <v>0.0</v>
      </c>
      <c r="AJ142" s="23">
        <f t="shared" si="4"/>
        <v>5</v>
      </c>
      <c r="AK142" s="23">
        <f t="shared" si="5"/>
        <v>5</v>
      </c>
      <c r="AL142" s="25">
        <f>'MASTER STOCK'!I139</f>
        <v>4500</v>
      </c>
      <c r="AM142" s="27">
        <f>'MASTER STOCK'!L139</f>
        <v>5580</v>
      </c>
      <c r="AN142" s="27">
        <f t="shared" si="6"/>
        <v>0</v>
      </c>
      <c r="AO142" s="26">
        <f t="shared" si="7"/>
        <v>0</v>
      </c>
      <c r="AP142" s="114">
        <f t="shared" si="8"/>
        <v>0</v>
      </c>
      <c r="AQ142" s="10"/>
    </row>
    <row r="143">
      <c r="A143" s="20" t="str">
        <f>'MASTER STOCK'!F140</f>
        <v>AVIAN 465 MEDIUM YELLOW 25CC</v>
      </c>
      <c r="B143" s="21">
        <f>'NOV 25'!AJ:AJ</f>
        <v>5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23">
        <f t="shared" si="3"/>
        <v>0</v>
      </c>
      <c r="AI143" s="24">
        <v>0.0</v>
      </c>
      <c r="AJ143" s="23">
        <f t="shared" si="4"/>
        <v>5</v>
      </c>
      <c r="AK143" s="23">
        <f t="shared" si="5"/>
        <v>5</v>
      </c>
      <c r="AL143" s="25">
        <f>'MASTER STOCK'!I140</f>
        <v>4500</v>
      </c>
      <c r="AM143" s="27">
        <f>'MASTER STOCK'!L140</f>
        <v>5580</v>
      </c>
      <c r="AN143" s="27">
        <f t="shared" si="6"/>
        <v>0</v>
      </c>
      <c r="AO143" s="26">
        <f t="shared" si="7"/>
        <v>0</v>
      </c>
      <c r="AP143" s="114">
        <f t="shared" si="8"/>
        <v>0</v>
      </c>
      <c r="AQ143" s="10"/>
    </row>
    <row r="144">
      <c r="A144" s="20" t="str">
        <f>'MASTER STOCK'!F141</f>
        <v>AVIAN 733 OCEAN BLUE 25CC</v>
      </c>
      <c r="B144" s="21">
        <f>'NOV 25'!AJ:AJ</f>
        <v>5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23">
        <f t="shared" si="3"/>
        <v>0</v>
      </c>
      <c r="AI144" s="24">
        <v>0.0</v>
      </c>
      <c r="AJ144" s="23">
        <f t="shared" si="4"/>
        <v>5</v>
      </c>
      <c r="AK144" s="23">
        <f t="shared" si="5"/>
        <v>5</v>
      </c>
      <c r="AL144" s="25">
        <f>'MASTER STOCK'!I141</f>
        <v>4500</v>
      </c>
      <c r="AM144" s="27">
        <f>'MASTER STOCK'!L141</f>
        <v>5580</v>
      </c>
      <c r="AN144" s="27">
        <f t="shared" si="6"/>
        <v>0</v>
      </c>
      <c r="AO144" s="26">
        <f t="shared" si="7"/>
        <v>0</v>
      </c>
      <c r="AP144" s="114">
        <f t="shared" si="8"/>
        <v>0</v>
      </c>
      <c r="AQ144" s="10"/>
    </row>
    <row r="145">
      <c r="A145" s="20" t="str">
        <f>'MASTER STOCK'!F142</f>
        <v>AVIAN SW 25CC</v>
      </c>
      <c r="B145" s="21">
        <f>'NOV 25'!AJ:AJ</f>
        <v>5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23">
        <f t="shared" si="3"/>
        <v>0</v>
      </c>
      <c r="AI145" s="24">
        <v>0.0</v>
      </c>
      <c r="AJ145" s="23">
        <f t="shared" si="4"/>
        <v>5</v>
      </c>
      <c r="AK145" s="23">
        <f t="shared" si="5"/>
        <v>5</v>
      </c>
      <c r="AL145" s="25">
        <f>'MASTER STOCK'!I142</f>
        <v>4500</v>
      </c>
      <c r="AM145" s="27">
        <f>'MASTER STOCK'!L142</f>
        <v>5580</v>
      </c>
      <c r="AN145" s="27">
        <f t="shared" si="6"/>
        <v>0</v>
      </c>
      <c r="AO145" s="26">
        <f t="shared" si="7"/>
        <v>0</v>
      </c>
      <c r="AP145" s="114">
        <f t="shared" si="8"/>
        <v>0</v>
      </c>
      <c r="AQ145" s="10"/>
    </row>
    <row r="146">
      <c r="A146" s="20" t="str">
        <f>'MASTER STOCK'!F143</f>
        <v>AVIAN KAYU BESI SB</v>
      </c>
      <c r="B146" s="21">
        <f>'NOV 25'!AJ:AJ</f>
        <v>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23">
        <f t="shared" si="3"/>
        <v>0</v>
      </c>
      <c r="AI146" s="24">
        <v>0.0</v>
      </c>
      <c r="AJ146" s="23">
        <f t="shared" si="4"/>
        <v>1</v>
      </c>
      <c r="AK146" s="23">
        <f t="shared" si="5"/>
        <v>1</v>
      </c>
      <c r="AL146" s="25">
        <f>'MASTER STOCK'!I143</f>
        <v>73000</v>
      </c>
      <c r="AM146" s="27">
        <f>'MASTER STOCK'!L143</f>
        <v>76650</v>
      </c>
      <c r="AN146" s="27">
        <f t="shared" si="6"/>
        <v>0</v>
      </c>
      <c r="AO146" s="26">
        <f t="shared" si="7"/>
        <v>0</v>
      </c>
      <c r="AP146" s="114">
        <f t="shared" si="8"/>
        <v>0</v>
      </c>
      <c r="AQ146" s="10"/>
    </row>
    <row r="147">
      <c r="A147" s="20" t="str">
        <f>'MASTER STOCK'!F144</f>
        <v>AVIAN KAYU BESI 192</v>
      </c>
      <c r="B147" s="21">
        <f>'NOV 25'!AJ:AJ</f>
        <v>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23">
        <f t="shared" si="3"/>
        <v>0</v>
      </c>
      <c r="AI147" s="24">
        <v>0.0</v>
      </c>
      <c r="AJ147" s="23">
        <f t="shared" si="4"/>
        <v>1</v>
      </c>
      <c r="AK147" s="23">
        <f t="shared" si="5"/>
        <v>1</v>
      </c>
      <c r="AL147" s="25">
        <f>'MASTER STOCK'!I144</f>
        <v>73000</v>
      </c>
      <c r="AM147" s="27">
        <f>'MASTER STOCK'!L144</f>
        <v>76650</v>
      </c>
      <c r="AN147" s="27">
        <f t="shared" si="6"/>
        <v>0</v>
      </c>
      <c r="AO147" s="26">
        <f t="shared" si="7"/>
        <v>0</v>
      </c>
      <c r="AP147" s="114">
        <f t="shared" si="8"/>
        <v>0</v>
      </c>
      <c r="AQ147" s="10"/>
    </row>
    <row r="148">
      <c r="A148" s="20" t="str">
        <f>'MASTER STOCK'!F145</f>
        <v>AVIAN KAYU BESI 480</v>
      </c>
      <c r="B148" s="21">
        <f>'NOV 25'!AJ:AJ</f>
        <v>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23">
        <f t="shared" si="3"/>
        <v>0</v>
      </c>
      <c r="AI148" s="24">
        <v>0.0</v>
      </c>
      <c r="AJ148" s="23">
        <f t="shared" si="4"/>
        <v>1</v>
      </c>
      <c r="AK148" s="23">
        <f t="shared" si="5"/>
        <v>1</v>
      </c>
      <c r="AL148" s="25">
        <f>'MASTER STOCK'!I145</f>
        <v>73000</v>
      </c>
      <c r="AM148" s="27">
        <f>'MASTER STOCK'!L145</f>
        <v>76650</v>
      </c>
      <c r="AN148" s="27">
        <f t="shared" si="6"/>
        <v>0</v>
      </c>
      <c r="AO148" s="26">
        <f t="shared" si="7"/>
        <v>0</v>
      </c>
      <c r="AP148" s="114">
        <f t="shared" si="8"/>
        <v>0</v>
      </c>
      <c r="AQ148" s="10"/>
    </row>
    <row r="149">
      <c r="A149" s="20" t="str">
        <f>'MASTER STOCK'!F146</f>
        <v>AVIAN KAYU BESI SW</v>
      </c>
      <c r="B149" s="21">
        <f>'NOV 25'!AJ:AJ</f>
        <v>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23">
        <f t="shared" si="3"/>
        <v>0</v>
      </c>
      <c r="AI149" s="24">
        <v>0.0</v>
      </c>
      <c r="AJ149" s="23">
        <f t="shared" si="4"/>
        <v>1</v>
      </c>
      <c r="AK149" s="23">
        <f t="shared" si="5"/>
        <v>1</v>
      </c>
      <c r="AL149" s="25">
        <f>'MASTER STOCK'!I146</f>
        <v>73000</v>
      </c>
      <c r="AM149" s="27">
        <f>'MASTER STOCK'!L146</f>
        <v>76650</v>
      </c>
      <c r="AN149" s="27">
        <f t="shared" si="6"/>
        <v>0</v>
      </c>
      <c r="AO149" s="26">
        <f t="shared" si="7"/>
        <v>0</v>
      </c>
      <c r="AP149" s="114">
        <f t="shared" si="8"/>
        <v>0</v>
      </c>
      <c r="AQ149" s="10"/>
    </row>
    <row r="150">
      <c r="A150" s="20" t="str">
        <f>'MASTER STOCK'!F147</f>
        <v>BEE BRAND KAYU BESI 126 GREEN</v>
      </c>
      <c r="B150" s="21">
        <f>'NOV 25'!AJ:AJ</f>
        <v>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23">
        <f t="shared" si="3"/>
        <v>0</v>
      </c>
      <c r="AI150" s="24">
        <v>0.0</v>
      </c>
      <c r="AJ150" s="23">
        <f t="shared" si="4"/>
        <v>1</v>
      </c>
      <c r="AK150" s="23">
        <f t="shared" si="5"/>
        <v>1</v>
      </c>
      <c r="AL150" s="25">
        <f>'MASTER STOCK'!I147</f>
        <v>68000</v>
      </c>
      <c r="AM150" s="27">
        <f>'MASTER STOCK'!L147</f>
        <v>72760</v>
      </c>
      <c r="AN150" s="27">
        <f t="shared" si="6"/>
        <v>0</v>
      </c>
      <c r="AO150" s="26">
        <f t="shared" si="7"/>
        <v>0</v>
      </c>
      <c r="AP150" s="114">
        <f t="shared" si="8"/>
        <v>0</v>
      </c>
      <c r="AQ150" s="10"/>
    </row>
    <row r="151">
      <c r="A151" s="20" t="str">
        <f>'MASTER STOCK'!F148</f>
        <v>BEE BRAND KAYU BESI 1019 DEL FOGLIO</v>
      </c>
      <c r="B151" s="21">
        <f>'NOV 25'!AJ:AJ</f>
        <v>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23">
        <f t="shared" si="3"/>
        <v>0</v>
      </c>
      <c r="AI151" s="24">
        <v>0.0</v>
      </c>
      <c r="AJ151" s="23">
        <f t="shared" si="4"/>
        <v>1</v>
      </c>
      <c r="AK151" s="23">
        <f t="shared" si="5"/>
        <v>1</v>
      </c>
      <c r="AL151" s="25">
        <f>'MASTER STOCK'!I148</f>
        <v>68000</v>
      </c>
      <c r="AM151" s="27">
        <f>'MASTER STOCK'!L148</f>
        <v>72760</v>
      </c>
      <c r="AN151" s="27">
        <f t="shared" si="6"/>
        <v>0</v>
      </c>
      <c r="AO151" s="26">
        <f t="shared" si="7"/>
        <v>0</v>
      </c>
      <c r="AP151" s="114">
        <f t="shared" si="8"/>
        <v>0</v>
      </c>
      <c r="AQ151" s="10"/>
    </row>
    <row r="152">
      <c r="A152" s="20" t="str">
        <f>'MASTER STOCK'!F149</f>
        <v>BEE BRAND KAYU BESI 115 SILVER</v>
      </c>
      <c r="B152" s="21">
        <f>'NOV 25'!AJ:AJ</f>
        <v>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23">
        <f t="shared" si="3"/>
        <v>0</v>
      </c>
      <c r="AI152" s="24">
        <v>0.0</v>
      </c>
      <c r="AJ152" s="23">
        <f t="shared" si="4"/>
        <v>1</v>
      </c>
      <c r="AK152" s="23">
        <f t="shared" si="5"/>
        <v>1</v>
      </c>
      <c r="AL152" s="25">
        <f>'MASTER STOCK'!I149</f>
        <v>68000</v>
      </c>
      <c r="AM152" s="27">
        <f>'MASTER STOCK'!L149</f>
        <v>72760</v>
      </c>
      <c r="AN152" s="27">
        <f t="shared" si="6"/>
        <v>0</v>
      </c>
      <c r="AO152" s="26">
        <f t="shared" si="7"/>
        <v>0</v>
      </c>
      <c r="AP152" s="114">
        <f t="shared" si="8"/>
        <v>0</v>
      </c>
      <c r="AQ152" s="10"/>
    </row>
    <row r="153">
      <c r="A153" s="20" t="str">
        <f>'MASTER STOCK'!F150</f>
        <v>PARAGON TEMBOK SW 5KG</v>
      </c>
      <c r="B153" s="21">
        <f>'NOV 25'!AJ:AJ</f>
        <v>2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23">
        <f t="shared" si="3"/>
        <v>0</v>
      </c>
      <c r="AI153" s="24">
        <v>0.0</v>
      </c>
      <c r="AJ153" s="23">
        <f t="shared" si="4"/>
        <v>2</v>
      </c>
      <c r="AK153" s="23">
        <f t="shared" si="5"/>
        <v>2</v>
      </c>
      <c r="AL153" s="25">
        <f>'MASTER STOCK'!I150</f>
        <v>122500</v>
      </c>
      <c r="AM153" s="27">
        <f>'MASTER STOCK'!L150</f>
        <v>134750</v>
      </c>
      <c r="AN153" s="27">
        <f t="shared" si="6"/>
        <v>0</v>
      </c>
      <c r="AO153" s="26">
        <f t="shared" si="7"/>
        <v>0</v>
      </c>
      <c r="AP153" s="114">
        <f t="shared" si="8"/>
        <v>0</v>
      </c>
      <c r="AQ153" s="10"/>
    </row>
    <row r="154">
      <c r="A154" s="20" t="str">
        <f>'MASTER STOCK'!F151</f>
        <v>PARAGON TEMBOK SW 1KG</v>
      </c>
      <c r="B154" s="21">
        <f>'NOV 25'!AJ:AJ</f>
        <v>4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23">
        <f t="shared" si="3"/>
        <v>0</v>
      </c>
      <c r="AI154" s="24">
        <v>0.0</v>
      </c>
      <c r="AJ154" s="23">
        <f t="shared" si="4"/>
        <v>4</v>
      </c>
      <c r="AK154" s="23">
        <f t="shared" si="5"/>
        <v>4</v>
      </c>
      <c r="AL154" s="25">
        <f>'MASTER STOCK'!I151</f>
        <v>32500</v>
      </c>
      <c r="AM154" s="27">
        <f>'MASTER STOCK'!L151</f>
        <v>35750</v>
      </c>
      <c r="AN154" s="27">
        <f t="shared" si="6"/>
        <v>0</v>
      </c>
      <c r="AO154" s="26">
        <f t="shared" si="7"/>
        <v>0</v>
      </c>
      <c r="AP154" s="114">
        <f t="shared" si="8"/>
        <v>0</v>
      </c>
      <c r="AQ154" s="10"/>
    </row>
    <row r="155">
      <c r="A155" s="20" t="str">
        <f>'MASTER STOCK'!F152</f>
        <v>NODROP TEMBOK ABU-ABU 602 1KG</v>
      </c>
      <c r="B155" s="21">
        <f>'NOV 25'!AJ:AJ</f>
        <v>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23">
        <f t="shared" si="3"/>
        <v>0</v>
      </c>
      <c r="AI155" s="24">
        <v>0.0</v>
      </c>
      <c r="AJ155" s="23">
        <f t="shared" si="4"/>
        <v>4</v>
      </c>
      <c r="AK155" s="23">
        <f t="shared" si="5"/>
        <v>4</v>
      </c>
      <c r="AL155" s="25">
        <f>'MASTER STOCK'!I152</f>
        <v>53500</v>
      </c>
      <c r="AM155" s="27">
        <f>'MASTER STOCK'!L152</f>
        <v>58850</v>
      </c>
      <c r="AN155" s="27">
        <f t="shared" si="6"/>
        <v>0</v>
      </c>
      <c r="AO155" s="26">
        <f t="shared" si="7"/>
        <v>0</v>
      </c>
      <c r="AP155" s="114">
        <f t="shared" si="8"/>
        <v>0</v>
      </c>
      <c r="AQ155" s="10"/>
    </row>
    <row r="156">
      <c r="A156" s="20" t="str">
        <f>'MASTER STOCK'!F153</f>
        <v>AVITEX TEMBOK 710 BLUE</v>
      </c>
      <c r="B156" s="21">
        <f>'NOV 25'!AJ:AJ</f>
        <v>2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23">
        <f t="shared" si="3"/>
        <v>0</v>
      </c>
      <c r="AI156" s="24">
        <v>0.0</v>
      </c>
      <c r="AJ156" s="23">
        <f t="shared" si="4"/>
        <v>2</v>
      </c>
      <c r="AK156" s="23">
        <f t="shared" si="5"/>
        <v>2</v>
      </c>
      <c r="AL156" s="25">
        <f>'MASTER STOCK'!I153</f>
        <v>35500</v>
      </c>
      <c r="AM156" s="27">
        <f>'MASTER STOCK'!L153</f>
        <v>39050</v>
      </c>
      <c r="AN156" s="27">
        <f t="shared" si="6"/>
        <v>0</v>
      </c>
      <c r="AO156" s="26">
        <f t="shared" si="7"/>
        <v>0</v>
      </c>
      <c r="AP156" s="114">
        <f t="shared" si="8"/>
        <v>0</v>
      </c>
      <c r="AQ156" s="10"/>
    </row>
    <row r="157">
      <c r="A157" s="20" t="str">
        <f>'MASTER STOCK'!F154</f>
        <v>AVITEX TEMBOK 770 GREEN</v>
      </c>
      <c r="B157" s="21">
        <f>'NOV 25'!AJ:AJ</f>
        <v>2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23">
        <f t="shared" si="3"/>
        <v>0</v>
      </c>
      <c r="AI157" s="24">
        <v>0.0</v>
      </c>
      <c r="AJ157" s="23">
        <f t="shared" si="4"/>
        <v>2</v>
      </c>
      <c r="AK157" s="23">
        <f t="shared" si="5"/>
        <v>2</v>
      </c>
      <c r="AL157" s="25">
        <f>'MASTER STOCK'!I154</f>
        <v>35500</v>
      </c>
      <c r="AM157" s="27">
        <f>'MASTER STOCK'!L154</f>
        <v>39050</v>
      </c>
      <c r="AN157" s="27">
        <f t="shared" si="6"/>
        <v>0</v>
      </c>
      <c r="AO157" s="26">
        <f t="shared" si="7"/>
        <v>0</v>
      </c>
      <c r="AP157" s="114">
        <f t="shared" si="8"/>
        <v>0</v>
      </c>
      <c r="AQ157" s="10"/>
    </row>
    <row r="158">
      <c r="A158" s="20" t="str">
        <f>'MASTER STOCK'!F155</f>
        <v>AVITEX TEMBOK 750 YELLOW</v>
      </c>
      <c r="B158" s="21">
        <f>'NOV 25'!AJ:AJ</f>
        <v>2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23">
        <f t="shared" si="3"/>
        <v>0</v>
      </c>
      <c r="AI158" s="24">
        <v>0.0</v>
      </c>
      <c r="AJ158" s="23">
        <f t="shared" si="4"/>
        <v>2</v>
      </c>
      <c r="AK158" s="23">
        <f t="shared" si="5"/>
        <v>2</v>
      </c>
      <c r="AL158" s="25">
        <f>'MASTER STOCK'!I155</f>
        <v>35500</v>
      </c>
      <c r="AM158" s="27">
        <f>'MASTER STOCK'!L155</f>
        <v>39050</v>
      </c>
      <c r="AN158" s="27">
        <f t="shared" si="6"/>
        <v>0</v>
      </c>
      <c r="AO158" s="26">
        <f t="shared" si="7"/>
        <v>0</v>
      </c>
      <c r="AP158" s="114">
        <f t="shared" si="8"/>
        <v>0</v>
      </c>
      <c r="AQ158" s="10"/>
    </row>
    <row r="159">
      <c r="A159" s="20" t="str">
        <f>'MASTER STOCK'!F156</f>
        <v>AVITEX TEMBOK 831 CREAM</v>
      </c>
      <c r="B159" s="21">
        <f>'NOV 25'!AJ:AJ</f>
        <v>2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23">
        <f t="shared" si="3"/>
        <v>0</v>
      </c>
      <c r="AI159" s="24">
        <v>0.0</v>
      </c>
      <c r="AJ159" s="23">
        <f t="shared" si="4"/>
        <v>2</v>
      </c>
      <c r="AK159" s="23">
        <f t="shared" si="5"/>
        <v>2</v>
      </c>
      <c r="AL159" s="25">
        <f>'MASTER STOCK'!I156</f>
        <v>35500</v>
      </c>
      <c r="AM159" s="27">
        <f>'MASTER STOCK'!L156</f>
        <v>39050</v>
      </c>
      <c r="AN159" s="27">
        <f t="shared" si="6"/>
        <v>0</v>
      </c>
      <c r="AO159" s="26">
        <f t="shared" si="7"/>
        <v>0</v>
      </c>
      <c r="AP159" s="114">
        <f t="shared" si="8"/>
        <v>0</v>
      </c>
      <c r="AQ159" s="10"/>
    </row>
    <row r="160">
      <c r="A160" s="20" t="str">
        <f>'MASTER STOCK'!F157</f>
        <v>AVITEX TEMBOK SB</v>
      </c>
      <c r="B160" s="21">
        <f>'NOV 25'!AJ:AJ</f>
        <v>2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23">
        <f t="shared" si="3"/>
        <v>0</v>
      </c>
      <c r="AI160" s="24">
        <v>0.0</v>
      </c>
      <c r="AJ160" s="23">
        <f t="shared" si="4"/>
        <v>2</v>
      </c>
      <c r="AK160" s="23">
        <f t="shared" si="5"/>
        <v>2</v>
      </c>
      <c r="AL160" s="25">
        <f>'MASTER STOCK'!I157</f>
        <v>35500</v>
      </c>
      <c r="AM160" s="27">
        <f>'MASTER STOCK'!L157</f>
        <v>39050</v>
      </c>
      <c r="AN160" s="27">
        <f t="shared" si="6"/>
        <v>0</v>
      </c>
      <c r="AO160" s="26">
        <f t="shared" si="7"/>
        <v>0</v>
      </c>
      <c r="AP160" s="114">
        <f t="shared" si="8"/>
        <v>0</v>
      </c>
      <c r="AQ160" s="10"/>
    </row>
    <row r="161">
      <c r="A161" s="29" t="str">
        <f>'MASTER STOCK'!F158</f>
        <v>knee 1/2 dim</v>
      </c>
      <c r="B161" s="30">
        <f>'NOV 25'!AJ:AJ</f>
        <v>45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22"/>
      <c r="AE161" s="10"/>
      <c r="AF161" s="10"/>
      <c r="AG161" s="10"/>
      <c r="AH161" s="23">
        <f t="shared" si="3"/>
        <v>0</v>
      </c>
      <c r="AI161" s="24">
        <v>0.0</v>
      </c>
      <c r="AJ161" s="32">
        <f t="shared" si="4"/>
        <v>45</v>
      </c>
      <c r="AK161" s="32">
        <f t="shared" si="5"/>
        <v>45</v>
      </c>
      <c r="AL161" s="25">
        <f>'MASTER STOCK'!I158</f>
        <v>2500</v>
      </c>
      <c r="AM161" s="27">
        <f>'MASTER STOCK'!L158</f>
        <v>2500</v>
      </c>
      <c r="AN161" s="27">
        <f t="shared" si="6"/>
        <v>0</v>
      </c>
      <c r="AO161" s="26">
        <f t="shared" si="7"/>
        <v>0</v>
      </c>
      <c r="AP161" s="114">
        <f t="shared" si="8"/>
        <v>0</v>
      </c>
      <c r="AQ161" s="10"/>
    </row>
    <row r="162">
      <c r="A162" s="29" t="str">
        <f>'MASTER STOCK'!F159</f>
        <v>knee 3/4 dim</v>
      </c>
      <c r="B162" s="30">
        <f>'NOV 25'!AJ:AJ</f>
        <v>33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22"/>
      <c r="M162" s="10"/>
      <c r="N162" s="22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23">
        <f t="shared" si="3"/>
        <v>0</v>
      </c>
      <c r="AI162" s="24">
        <v>0.0</v>
      </c>
      <c r="AJ162" s="32">
        <f t="shared" si="4"/>
        <v>33</v>
      </c>
      <c r="AK162" s="32">
        <f t="shared" si="5"/>
        <v>33</v>
      </c>
      <c r="AL162" s="25">
        <f>'MASTER STOCK'!I159</f>
        <v>3500</v>
      </c>
      <c r="AM162" s="27">
        <f>'MASTER STOCK'!L159</f>
        <v>3500</v>
      </c>
      <c r="AN162" s="27">
        <f t="shared" si="6"/>
        <v>0</v>
      </c>
      <c r="AO162" s="26">
        <f t="shared" si="7"/>
        <v>0</v>
      </c>
      <c r="AP162" s="114">
        <f t="shared" si="8"/>
        <v>0</v>
      </c>
      <c r="AQ162" s="10"/>
    </row>
    <row r="163">
      <c r="A163" s="29" t="str">
        <f>'MASTER STOCK'!F160</f>
        <v>knee drat dalam 3/4 dim</v>
      </c>
      <c r="B163" s="30">
        <f>'NOV 25'!AJ:AJ</f>
        <v>8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23">
        <f t="shared" si="3"/>
        <v>0</v>
      </c>
      <c r="AI163" s="24">
        <v>0.0</v>
      </c>
      <c r="AJ163" s="32">
        <f t="shared" si="4"/>
        <v>8</v>
      </c>
      <c r="AK163" s="32">
        <f t="shared" si="5"/>
        <v>8</v>
      </c>
      <c r="AL163" s="25">
        <f>'MASTER STOCK'!I160</f>
        <v>4500</v>
      </c>
      <c r="AM163" s="27">
        <f>'MASTER STOCK'!L160</f>
        <v>4500</v>
      </c>
      <c r="AN163" s="27">
        <f t="shared" si="6"/>
        <v>0</v>
      </c>
      <c r="AO163" s="26">
        <f t="shared" si="7"/>
        <v>0</v>
      </c>
      <c r="AP163" s="114">
        <f t="shared" si="8"/>
        <v>0</v>
      </c>
      <c r="AQ163" s="10"/>
    </row>
    <row r="164">
      <c r="A164" s="29" t="str">
        <f>'MASTER STOCK'!F161</f>
        <v>paku 1 1/2</v>
      </c>
      <c r="B164" s="30">
        <f>'NOV 25'!AJ:AJ</f>
        <v>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23">
        <f t="shared" si="3"/>
        <v>0</v>
      </c>
      <c r="AI164" s="24">
        <v>0.0</v>
      </c>
      <c r="AJ164" s="32">
        <f t="shared" si="4"/>
        <v>1</v>
      </c>
      <c r="AK164" s="32">
        <f t="shared" si="5"/>
        <v>1</v>
      </c>
      <c r="AL164" s="25">
        <f>'MASTER STOCK'!I161</f>
        <v>25000</v>
      </c>
      <c r="AM164" s="27">
        <f>'MASTER STOCK'!L161</f>
        <v>25000</v>
      </c>
      <c r="AN164" s="27">
        <f t="shared" si="6"/>
        <v>0</v>
      </c>
      <c r="AO164" s="26">
        <f t="shared" si="7"/>
        <v>0</v>
      </c>
      <c r="AP164" s="114">
        <f t="shared" si="8"/>
        <v>0</v>
      </c>
      <c r="AQ164" s="10"/>
    </row>
    <row r="165">
      <c r="A165" s="29" t="str">
        <f>'MASTER STOCK'!F162</f>
        <v>paku 3/4</v>
      </c>
      <c r="B165" s="30">
        <f>'NOV 25'!AJ:AJ</f>
        <v>1</v>
      </c>
      <c r="C165" s="10"/>
      <c r="D165" s="22"/>
      <c r="E165" s="10"/>
      <c r="F165" s="10"/>
      <c r="G165" s="10"/>
      <c r="H165" s="22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23">
        <f t="shared" si="3"/>
        <v>0</v>
      </c>
      <c r="AI165" s="24">
        <v>0.0</v>
      </c>
      <c r="AJ165" s="32">
        <f t="shared" si="4"/>
        <v>1</v>
      </c>
      <c r="AK165" s="32">
        <f t="shared" si="5"/>
        <v>1</v>
      </c>
      <c r="AL165" s="25">
        <f>'MASTER STOCK'!I162</f>
        <v>25000</v>
      </c>
      <c r="AM165" s="27">
        <f>'MASTER STOCK'!L162</f>
        <v>25000</v>
      </c>
      <c r="AN165" s="27">
        <f t="shared" si="6"/>
        <v>0</v>
      </c>
      <c r="AO165" s="26">
        <f t="shared" si="7"/>
        <v>0</v>
      </c>
      <c r="AP165" s="114">
        <f t="shared" si="8"/>
        <v>0</v>
      </c>
      <c r="AQ165" s="10"/>
    </row>
    <row r="166">
      <c r="A166" s="29" t="str">
        <f>'MASTER STOCK'!F163</f>
        <v>t  1/2 dim</v>
      </c>
      <c r="B166" s="30">
        <f>'NOV 25'!AJ:AJ</f>
        <v>9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23">
        <f t="shared" si="3"/>
        <v>0</v>
      </c>
      <c r="AI166" s="24">
        <v>0.0</v>
      </c>
      <c r="AJ166" s="32">
        <f t="shared" si="4"/>
        <v>9</v>
      </c>
      <c r="AK166" s="32">
        <f t="shared" si="5"/>
        <v>9</v>
      </c>
      <c r="AL166" s="25">
        <f>'MASTER STOCK'!I163</f>
        <v>2500</v>
      </c>
      <c r="AM166" s="27">
        <f>'MASTER STOCK'!L163</f>
        <v>2500</v>
      </c>
      <c r="AN166" s="27">
        <f t="shared" si="6"/>
        <v>0</v>
      </c>
      <c r="AO166" s="26">
        <f t="shared" si="7"/>
        <v>0</v>
      </c>
      <c r="AP166" s="114">
        <f t="shared" si="8"/>
        <v>0</v>
      </c>
      <c r="AQ166" s="10"/>
    </row>
    <row r="167">
      <c r="A167" s="29" t="str">
        <f>'MASTER STOCK'!F164</f>
        <v>knee 1 dim</v>
      </c>
      <c r="B167" s="30">
        <f>'NOV 25'!AJ:AJ</f>
        <v>18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23">
        <f t="shared" si="3"/>
        <v>0</v>
      </c>
      <c r="AI167" s="24">
        <v>0.0</v>
      </c>
      <c r="AJ167" s="32">
        <f t="shared" si="4"/>
        <v>18</v>
      </c>
      <c r="AK167" s="32">
        <f t="shared" si="5"/>
        <v>18</v>
      </c>
      <c r="AL167" s="25">
        <f>'MASTER STOCK'!I164</f>
        <v>4000</v>
      </c>
      <c r="AM167" s="27">
        <f>'MASTER STOCK'!L164</f>
        <v>4000</v>
      </c>
      <c r="AN167" s="27">
        <f t="shared" si="6"/>
        <v>0</v>
      </c>
      <c r="AO167" s="26">
        <f t="shared" si="7"/>
        <v>0</v>
      </c>
      <c r="AP167" s="114">
        <f t="shared" si="8"/>
        <v>0</v>
      </c>
      <c r="AQ167" s="10"/>
    </row>
    <row r="168">
      <c r="A168" s="29" t="str">
        <f>'MASTER STOCK'!F165</f>
        <v>t 1/2 dim</v>
      </c>
      <c r="B168" s="30">
        <f>'NOV 25'!AJ:AJ</f>
        <v>15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23">
        <f t="shared" si="3"/>
        <v>0</v>
      </c>
      <c r="AI168" s="24">
        <v>0.0</v>
      </c>
      <c r="AJ168" s="32">
        <f t="shared" si="4"/>
        <v>15</v>
      </c>
      <c r="AK168" s="32">
        <f t="shared" si="5"/>
        <v>15</v>
      </c>
      <c r="AL168" s="25">
        <f>'MASTER STOCK'!I165</f>
        <v>2500</v>
      </c>
      <c r="AM168" s="27">
        <f>'MASTER STOCK'!L165</f>
        <v>2500</v>
      </c>
      <c r="AN168" s="27">
        <f t="shared" si="6"/>
        <v>0</v>
      </c>
      <c r="AO168" s="26">
        <f t="shared" si="7"/>
        <v>0</v>
      </c>
      <c r="AP168" s="114">
        <f t="shared" si="8"/>
        <v>0</v>
      </c>
      <c r="AQ168" s="10"/>
    </row>
    <row r="169">
      <c r="A169" s="29" t="str">
        <f>'MASTER STOCK'!F166</f>
        <v>t 1/4 dim</v>
      </c>
      <c r="B169" s="30">
        <f>'NOV 25'!AJ:AJ</f>
        <v>5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23">
        <f t="shared" si="3"/>
        <v>0</v>
      </c>
      <c r="AI169" s="24">
        <v>0.0</v>
      </c>
      <c r="AJ169" s="32">
        <f t="shared" si="4"/>
        <v>5</v>
      </c>
      <c r="AK169" s="32">
        <f t="shared" si="5"/>
        <v>5</v>
      </c>
      <c r="AL169" s="25">
        <f>'MASTER STOCK'!I166</f>
        <v>2500</v>
      </c>
      <c r="AM169" s="27">
        <f>'MASTER STOCK'!L166</f>
        <v>2500</v>
      </c>
      <c r="AN169" s="27">
        <f t="shared" si="6"/>
        <v>0</v>
      </c>
      <c r="AO169" s="26">
        <f t="shared" si="7"/>
        <v>0</v>
      </c>
      <c r="AP169" s="114">
        <f t="shared" si="8"/>
        <v>0</v>
      </c>
      <c r="AQ169" s="10"/>
    </row>
    <row r="170">
      <c r="A170" s="29" t="str">
        <f>'MASTER STOCK'!F167</f>
        <v>t 2 dim</v>
      </c>
      <c r="B170" s="30">
        <f>'NOV 25'!AJ:AJ</f>
        <v>24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23">
        <f t="shared" si="3"/>
        <v>0</v>
      </c>
      <c r="AI170" s="24">
        <v>0.0</v>
      </c>
      <c r="AJ170" s="32">
        <f t="shared" si="4"/>
        <v>24</v>
      </c>
      <c r="AK170" s="32">
        <f t="shared" si="5"/>
        <v>24</v>
      </c>
      <c r="AL170" s="25">
        <f>'MASTER STOCK'!I167</f>
        <v>5000</v>
      </c>
      <c r="AM170" s="27">
        <f>'MASTER STOCK'!L167</f>
        <v>5000</v>
      </c>
      <c r="AN170" s="27">
        <f t="shared" si="6"/>
        <v>0</v>
      </c>
      <c r="AO170" s="26">
        <f t="shared" si="7"/>
        <v>0</v>
      </c>
      <c r="AP170" s="114">
        <f t="shared" si="8"/>
        <v>0</v>
      </c>
      <c r="AQ170" s="10"/>
    </row>
    <row r="171">
      <c r="A171" s="29" t="str">
        <f>'MASTER STOCK'!F168</f>
        <v>t 3/4 dim</v>
      </c>
      <c r="B171" s="30">
        <f>'NOV 25'!AJ:AJ</f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23">
        <f t="shared" si="3"/>
        <v>0</v>
      </c>
      <c r="AI171" s="24">
        <v>0.0</v>
      </c>
      <c r="AJ171" s="32">
        <f t="shared" si="4"/>
        <v>11</v>
      </c>
      <c r="AK171" s="32">
        <f t="shared" si="5"/>
        <v>11</v>
      </c>
      <c r="AL171" s="25">
        <f>'MASTER STOCK'!I168</f>
        <v>3500</v>
      </c>
      <c r="AM171" s="27">
        <f>'MASTER STOCK'!L168</f>
        <v>3500</v>
      </c>
      <c r="AN171" s="27">
        <f t="shared" si="6"/>
        <v>0</v>
      </c>
      <c r="AO171" s="26">
        <f t="shared" si="7"/>
        <v>0</v>
      </c>
      <c r="AP171" s="114">
        <f t="shared" si="8"/>
        <v>0</v>
      </c>
      <c r="AQ171" s="10"/>
    </row>
    <row r="172">
      <c r="A172" s="29" t="str">
        <f>'MASTER STOCK'!F169</f>
        <v>knee 1 1/2</v>
      </c>
      <c r="B172" s="30">
        <f>'NOV 25'!AJ:AJ</f>
        <v>10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23">
        <f t="shared" si="3"/>
        <v>0</v>
      </c>
      <c r="AI172" s="24">
        <v>0.0</v>
      </c>
      <c r="AJ172" s="32">
        <f t="shared" si="4"/>
        <v>10</v>
      </c>
      <c r="AK172" s="32">
        <f t="shared" si="5"/>
        <v>10</v>
      </c>
      <c r="AL172" s="25">
        <f>'MASTER STOCK'!I169</f>
        <v>4500</v>
      </c>
      <c r="AM172" s="27">
        <f>'MASTER STOCK'!L169</f>
        <v>4500</v>
      </c>
      <c r="AN172" s="27">
        <f t="shared" si="6"/>
        <v>0</v>
      </c>
      <c r="AO172" s="26">
        <f t="shared" si="7"/>
        <v>0</v>
      </c>
      <c r="AP172" s="114">
        <f t="shared" si="8"/>
        <v>0</v>
      </c>
      <c r="AQ172" s="10"/>
    </row>
    <row r="173">
      <c r="A173" s="29" t="str">
        <f>'MASTER STOCK'!F170</f>
        <v>t drat dalam 1/2 dim</v>
      </c>
      <c r="B173" s="30">
        <f>'NOV 25'!AJ:AJ</f>
        <v>10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23">
        <f t="shared" si="3"/>
        <v>0</v>
      </c>
      <c r="AI173" s="24">
        <v>0.0</v>
      </c>
      <c r="AJ173" s="32">
        <f t="shared" si="4"/>
        <v>10</v>
      </c>
      <c r="AK173" s="32">
        <f t="shared" si="5"/>
        <v>10</v>
      </c>
      <c r="AL173" s="25">
        <f>'MASTER STOCK'!I170</f>
        <v>3000</v>
      </c>
      <c r="AM173" s="27">
        <f>'MASTER STOCK'!L170</f>
        <v>3000</v>
      </c>
      <c r="AN173" s="27">
        <f t="shared" si="6"/>
        <v>0</v>
      </c>
      <c r="AO173" s="26">
        <f t="shared" si="7"/>
        <v>0</v>
      </c>
      <c r="AP173" s="114">
        <f t="shared" si="8"/>
        <v>0</v>
      </c>
      <c r="AQ173" s="10"/>
    </row>
    <row r="174">
      <c r="A174" s="29" t="str">
        <f>'MASTER STOCK'!F171</f>
        <v>t drat dalam 3/4</v>
      </c>
      <c r="B174" s="30">
        <f>'NOV 25'!AJ:AJ</f>
        <v>7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23">
        <f t="shared" si="3"/>
        <v>0</v>
      </c>
      <c r="AI174" s="24">
        <v>0.0</v>
      </c>
      <c r="AJ174" s="32">
        <f t="shared" si="4"/>
        <v>7</v>
      </c>
      <c r="AK174" s="32">
        <f t="shared" si="5"/>
        <v>7</v>
      </c>
      <c r="AL174" s="25">
        <f>'MASTER STOCK'!I171</f>
        <v>4000</v>
      </c>
      <c r="AM174" s="27">
        <f>'MASTER STOCK'!L171</f>
        <v>4000</v>
      </c>
      <c r="AN174" s="27">
        <f t="shared" si="6"/>
        <v>0</v>
      </c>
      <c r="AO174" s="26">
        <f t="shared" si="7"/>
        <v>0</v>
      </c>
      <c r="AP174" s="114">
        <f t="shared" si="8"/>
        <v>0</v>
      </c>
      <c r="AQ174" s="10"/>
    </row>
    <row r="175">
      <c r="A175" s="29" t="str">
        <f>'MASTER STOCK'!F172</f>
        <v>sok darat luar 1/2</v>
      </c>
      <c r="B175" s="30">
        <f>'NOV 25'!AJ:AJ</f>
        <v>12</v>
      </c>
      <c r="C175" s="22">
        <v>1.0</v>
      </c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23">
        <f t="shared" si="3"/>
        <v>1</v>
      </c>
      <c r="AI175" s="24">
        <v>0.0</v>
      </c>
      <c r="AJ175" s="32">
        <f t="shared" si="4"/>
        <v>11</v>
      </c>
      <c r="AK175" s="32">
        <f t="shared" si="5"/>
        <v>11</v>
      </c>
      <c r="AL175" s="25">
        <f>'MASTER STOCK'!I172</f>
        <v>2500</v>
      </c>
      <c r="AM175" s="27">
        <f>'MASTER STOCK'!L172</f>
        <v>2500</v>
      </c>
      <c r="AN175" s="27">
        <f t="shared" si="6"/>
        <v>2500</v>
      </c>
      <c r="AO175" s="26">
        <f t="shared" si="7"/>
        <v>0</v>
      </c>
      <c r="AP175" s="114">
        <f t="shared" si="8"/>
        <v>2500</v>
      </c>
      <c r="AQ175" s="10"/>
    </row>
    <row r="176">
      <c r="A176" s="29" t="str">
        <f>'MASTER STOCK'!F173</f>
        <v>knee 1 1/4</v>
      </c>
      <c r="B176" s="30">
        <f>'NOV 25'!AJ:AJ</f>
        <v>13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23">
        <f t="shared" si="3"/>
        <v>0</v>
      </c>
      <c r="AI176" s="24">
        <v>0.0</v>
      </c>
      <c r="AJ176" s="32">
        <f t="shared" si="4"/>
        <v>13</v>
      </c>
      <c r="AK176" s="32">
        <f t="shared" si="5"/>
        <v>13</v>
      </c>
      <c r="AL176" s="25">
        <f>'MASTER STOCK'!I173</f>
        <v>3500</v>
      </c>
      <c r="AM176" s="27">
        <f>'MASTER STOCK'!L173</f>
        <v>3500</v>
      </c>
      <c r="AN176" s="27">
        <f t="shared" si="6"/>
        <v>0</v>
      </c>
      <c r="AO176" s="26">
        <f t="shared" si="7"/>
        <v>0</v>
      </c>
      <c r="AP176" s="114">
        <f t="shared" si="8"/>
        <v>0</v>
      </c>
      <c r="AQ176" s="10"/>
    </row>
    <row r="177">
      <c r="A177" s="29" t="str">
        <f>'MASTER STOCK'!F174</f>
        <v>sok drat dalam 1/2</v>
      </c>
      <c r="B177" s="30">
        <f>'NOV 25'!AJ:AJ</f>
        <v>320</v>
      </c>
      <c r="C177" s="22">
        <v>1.0</v>
      </c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23">
        <f t="shared" si="3"/>
        <v>1</v>
      </c>
      <c r="AI177" s="24">
        <v>0.0</v>
      </c>
      <c r="AJ177" s="32">
        <f t="shared" si="4"/>
        <v>319</v>
      </c>
      <c r="AK177" s="32">
        <f t="shared" si="5"/>
        <v>319</v>
      </c>
      <c r="AL177" s="25">
        <f>'MASTER STOCK'!I174</f>
        <v>930</v>
      </c>
      <c r="AM177" s="27">
        <f>'MASTER STOCK'!L174</f>
        <v>2500</v>
      </c>
      <c r="AN177" s="27">
        <f t="shared" si="6"/>
        <v>2500</v>
      </c>
      <c r="AO177" s="26">
        <f t="shared" si="7"/>
        <v>1570</v>
      </c>
      <c r="AP177" s="114">
        <f t="shared" si="8"/>
        <v>930</v>
      </c>
      <c r="AQ177" s="10"/>
    </row>
    <row r="178">
      <c r="A178" s="29" t="str">
        <f>'MASTER STOCK'!F175</f>
        <v>sok 1/2</v>
      </c>
      <c r="B178" s="30">
        <f>'NOV 25'!AJ:AJ</f>
        <v>350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23">
        <f t="shared" si="3"/>
        <v>0</v>
      </c>
      <c r="AI178" s="24">
        <v>0.0</v>
      </c>
      <c r="AJ178" s="32">
        <f t="shared" si="4"/>
        <v>350</v>
      </c>
      <c r="AK178" s="32">
        <f t="shared" si="5"/>
        <v>350</v>
      </c>
      <c r="AL178" s="25">
        <f>'MASTER STOCK'!I175</f>
        <v>622</v>
      </c>
      <c r="AM178" s="27">
        <f>'MASTER STOCK'!L175</f>
        <v>2000</v>
      </c>
      <c r="AN178" s="27">
        <f t="shared" si="6"/>
        <v>0</v>
      </c>
      <c r="AO178" s="26">
        <f t="shared" si="7"/>
        <v>0</v>
      </c>
      <c r="AP178" s="114">
        <f t="shared" si="8"/>
        <v>0</v>
      </c>
      <c r="AQ178" s="10"/>
    </row>
    <row r="179">
      <c r="A179" s="29" t="str">
        <f>'MASTER STOCK'!F176</f>
        <v>sok 3/4</v>
      </c>
      <c r="B179" s="30">
        <f>'NOV 25'!AJ:AJ</f>
        <v>339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22"/>
      <c r="M179" s="10"/>
      <c r="N179" s="22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22"/>
      <c r="AA179" s="10"/>
      <c r="AB179" s="10"/>
      <c r="AC179" s="10"/>
      <c r="AD179" s="10"/>
      <c r="AE179" s="10"/>
      <c r="AF179" s="22">
        <v>3.0</v>
      </c>
      <c r="AG179" s="22"/>
      <c r="AH179" s="23">
        <f t="shared" si="3"/>
        <v>3</v>
      </c>
      <c r="AI179" s="24">
        <v>0.0</v>
      </c>
      <c r="AJ179" s="32">
        <f t="shared" si="4"/>
        <v>336</v>
      </c>
      <c r="AK179" s="32">
        <f t="shared" si="5"/>
        <v>336</v>
      </c>
      <c r="AL179" s="25">
        <f>'MASTER STOCK'!I176</f>
        <v>835</v>
      </c>
      <c r="AM179" s="27">
        <f>'MASTER STOCK'!L176</f>
        <v>3000</v>
      </c>
      <c r="AN179" s="27">
        <f t="shared" si="6"/>
        <v>9000</v>
      </c>
      <c r="AO179" s="26">
        <f t="shared" si="7"/>
        <v>6495</v>
      </c>
      <c r="AP179" s="114">
        <f t="shared" si="8"/>
        <v>2505</v>
      </c>
      <c r="AQ179" s="10"/>
    </row>
    <row r="180">
      <c r="A180" s="29" t="str">
        <f>'MASTER STOCK'!F177</f>
        <v>sok 1 1/2</v>
      </c>
      <c r="B180" s="30">
        <f>'NOV 25'!AJ:AJ</f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23">
        <f t="shared" si="3"/>
        <v>0</v>
      </c>
      <c r="AI180" s="24">
        <v>0.0</v>
      </c>
      <c r="AJ180" s="32">
        <f t="shared" si="4"/>
        <v>11</v>
      </c>
      <c r="AK180" s="32">
        <f t="shared" si="5"/>
        <v>11</v>
      </c>
      <c r="AL180" s="25">
        <f>'MASTER STOCK'!I177</f>
        <v>3500</v>
      </c>
      <c r="AM180" s="27">
        <f>'MASTER STOCK'!L177</f>
        <v>3500</v>
      </c>
      <c r="AN180" s="27">
        <f t="shared" si="6"/>
        <v>0</v>
      </c>
      <c r="AO180" s="26">
        <f t="shared" si="7"/>
        <v>0</v>
      </c>
      <c r="AP180" s="114">
        <f t="shared" si="8"/>
        <v>0</v>
      </c>
      <c r="AQ180" s="10"/>
    </row>
    <row r="181">
      <c r="A181" s="29" t="str">
        <f>'MASTER STOCK'!F178</f>
        <v>sok 2</v>
      </c>
      <c r="B181" s="30">
        <f>'NOV 25'!AJ:AJ</f>
        <v>6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22"/>
      <c r="AE181" s="10"/>
      <c r="AF181" s="10"/>
      <c r="AG181" s="10"/>
      <c r="AH181" s="23">
        <f t="shared" si="3"/>
        <v>0</v>
      </c>
      <c r="AI181" s="24">
        <v>0.0</v>
      </c>
      <c r="AJ181" s="32">
        <f t="shared" si="4"/>
        <v>6</v>
      </c>
      <c r="AK181" s="32">
        <f t="shared" si="5"/>
        <v>6</v>
      </c>
      <c r="AL181" s="25">
        <f>'MASTER STOCK'!I178</f>
        <v>2000</v>
      </c>
      <c r="AM181" s="27">
        <f>'MASTER STOCK'!L178</f>
        <v>2000</v>
      </c>
      <c r="AN181" s="27">
        <f t="shared" si="6"/>
        <v>0</v>
      </c>
      <c r="AO181" s="26">
        <f t="shared" si="7"/>
        <v>0</v>
      </c>
      <c r="AP181" s="114">
        <f t="shared" si="8"/>
        <v>0</v>
      </c>
      <c r="AQ181" s="10"/>
    </row>
    <row r="182">
      <c r="A182" s="29" t="str">
        <f>'MASTER STOCK'!F179</f>
        <v>sok 1 1/4</v>
      </c>
      <c r="B182" s="30">
        <f>'NOV 25'!AJ:AJ</f>
        <v>17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23">
        <f t="shared" si="3"/>
        <v>0</v>
      </c>
      <c r="AI182" s="24">
        <v>0.0</v>
      </c>
      <c r="AJ182" s="32">
        <f t="shared" si="4"/>
        <v>17</v>
      </c>
      <c r="AK182" s="32">
        <f t="shared" si="5"/>
        <v>17</v>
      </c>
      <c r="AL182" s="25">
        <f>'MASTER STOCK'!I179</f>
        <v>3500</v>
      </c>
      <c r="AM182" s="27">
        <f>'MASTER STOCK'!L179</f>
        <v>3500</v>
      </c>
      <c r="AN182" s="27">
        <f t="shared" si="6"/>
        <v>0</v>
      </c>
      <c r="AO182" s="26">
        <f t="shared" si="7"/>
        <v>0</v>
      </c>
      <c r="AP182" s="114">
        <f t="shared" si="8"/>
        <v>0</v>
      </c>
      <c r="AQ182" s="10"/>
    </row>
    <row r="183">
      <c r="A183" s="29" t="str">
        <f>'MASTER STOCK'!F180</f>
        <v>sok 3</v>
      </c>
      <c r="B183" s="30">
        <f>'NOV 25'!AJ:AJ</f>
        <v>8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23">
        <f t="shared" si="3"/>
        <v>0</v>
      </c>
      <c r="AI183" s="24">
        <v>0.0</v>
      </c>
      <c r="AJ183" s="32">
        <f t="shared" si="4"/>
        <v>8</v>
      </c>
      <c r="AK183" s="32">
        <f t="shared" si="5"/>
        <v>8</v>
      </c>
      <c r="AL183" s="25">
        <f>'MASTER STOCK'!I180</f>
        <v>7500</v>
      </c>
      <c r="AM183" s="27">
        <f>'MASTER STOCK'!L180</f>
        <v>7500</v>
      </c>
      <c r="AN183" s="27">
        <f t="shared" si="6"/>
        <v>0</v>
      </c>
      <c r="AO183" s="26">
        <f t="shared" si="7"/>
        <v>0</v>
      </c>
      <c r="AP183" s="114">
        <f t="shared" si="8"/>
        <v>0</v>
      </c>
      <c r="AQ183" s="10"/>
    </row>
    <row r="184">
      <c r="A184" s="29" t="str">
        <f>'MASTER STOCK'!F181</f>
        <v>sok drat dalam 1</v>
      </c>
      <c r="B184" s="30">
        <f>'NOV 25'!AJ:AJ</f>
        <v>9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23">
        <f t="shared" si="3"/>
        <v>0</v>
      </c>
      <c r="AI184" s="24">
        <v>0.0</v>
      </c>
      <c r="AJ184" s="32">
        <f t="shared" si="4"/>
        <v>9</v>
      </c>
      <c r="AK184" s="32">
        <f t="shared" si="5"/>
        <v>9</v>
      </c>
      <c r="AL184" s="25">
        <f>'MASTER STOCK'!I181</f>
        <v>3500</v>
      </c>
      <c r="AM184" s="27">
        <f>'MASTER STOCK'!L181</f>
        <v>3500</v>
      </c>
      <c r="AN184" s="27">
        <f t="shared" si="6"/>
        <v>0</v>
      </c>
      <c r="AO184" s="26">
        <f t="shared" si="7"/>
        <v>0</v>
      </c>
      <c r="AP184" s="114">
        <f t="shared" si="8"/>
        <v>0</v>
      </c>
      <c r="AQ184" s="10"/>
    </row>
    <row r="185">
      <c r="A185" s="29" t="str">
        <f>'MASTER STOCK'!F182</f>
        <v>sok drat dalam 3/4</v>
      </c>
      <c r="B185" s="30">
        <f>'NOV 25'!AJ:AJ</f>
        <v>5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23">
        <f t="shared" si="3"/>
        <v>0</v>
      </c>
      <c r="AI185" s="24">
        <v>0.0</v>
      </c>
      <c r="AJ185" s="32">
        <f t="shared" si="4"/>
        <v>5</v>
      </c>
      <c r="AK185" s="32">
        <f t="shared" si="5"/>
        <v>5</v>
      </c>
      <c r="AL185" s="25">
        <f>'MASTER STOCK'!I182</f>
        <v>4000</v>
      </c>
      <c r="AM185" s="27">
        <f>'MASTER STOCK'!L182</f>
        <v>4000</v>
      </c>
      <c r="AN185" s="27">
        <f t="shared" si="6"/>
        <v>0</v>
      </c>
      <c r="AO185" s="26">
        <f t="shared" si="7"/>
        <v>0</v>
      </c>
      <c r="AP185" s="114">
        <f t="shared" si="8"/>
        <v>0</v>
      </c>
      <c r="AQ185" s="10"/>
    </row>
    <row r="186">
      <c r="A186" s="29" t="str">
        <f>'MASTER STOCK'!F183</f>
        <v>sok drat luar 3/4</v>
      </c>
      <c r="B186" s="30">
        <f>'NOV 25'!AJ:AJ</f>
        <v>6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22"/>
      <c r="AA186" s="10"/>
      <c r="AB186" s="10"/>
      <c r="AC186" s="10"/>
      <c r="AD186" s="10"/>
      <c r="AE186" s="10"/>
      <c r="AF186" s="10"/>
      <c r="AG186" s="10"/>
      <c r="AH186" s="23">
        <f t="shared" si="3"/>
        <v>0</v>
      </c>
      <c r="AI186" s="24">
        <v>0.0</v>
      </c>
      <c r="AJ186" s="32">
        <f t="shared" si="4"/>
        <v>6</v>
      </c>
      <c r="AK186" s="32">
        <f t="shared" si="5"/>
        <v>6</v>
      </c>
      <c r="AL186" s="25">
        <f>'MASTER STOCK'!I183</f>
        <v>3000</v>
      </c>
      <c r="AM186" s="27">
        <f>'MASTER STOCK'!L183</f>
        <v>3000</v>
      </c>
      <c r="AN186" s="27">
        <f t="shared" si="6"/>
        <v>0</v>
      </c>
      <c r="AO186" s="26">
        <f t="shared" si="7"/>
        <v>0</v>
      </c>
      <c r="AP186" s="114">
        <f t="shared" si="8"/>
        <v>0</v>
      </c>
      <c r="AQ186" s="10"/>
    </row>
    <row r="187">
      <c r="A187" s="29" t="str">
        <f>'MASTER STOCK'!F184</f>
        <v>overlup 1 x 3/4</v>
      </c>
      <c r="B187" s="30">
        <f>'NOV 25'!AJ:AJ</f>
        <v>26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23">
        <f t="shared" si="3"/>
        <v>0</v>
      </c>
      <c r="AI187" s="24">
        <v>0.0</v>
      </c>
      <c r="AJ187" s="32">
        <f t="shared" si="4"/>
        <v>26</v>
      </c>
      <c r="AK187" s="32">
        <f t="shared" si="5"/>
        <v>26</v>
      </c>
      <c r="AL187" s="25">
        <f>'MASTER STOCK'!I184</f>
        <v>2500</v>
      </c>
      <c r="AM187" s="27">
        <f>'MASTER STOCK'!L184</f>
        <v>2500</v>
      </c>
      <c r="AN187" s="27">
        <f t="shared" si="6"/>
        <v>0</v>
      </c>
      <c r="AO187" s="26">
        <f t="shared" si="7"/>
        <v>0</v>
      </c>
      <c r="AP187" s="114">
        <f t="shared" si="8"/>
        <v>0</v>
      </c>
      <c r="AQ187" s="10"/>
    </row>
    <row r="188">
      <c r="A188" s="29" t="str">
        <f>'MASTER STOCK'!F185</f>
        <v>sok drat dalam 3/4 x 1/2</v>
      </c>
      <c r="B188" s="30">
        <f>'NOV 25'!AJ:AJ</f>
        <v>6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23">
        <f t="shared" si="3"/>
        <v>0</v>
      </c>
      <c r="AI188" s="24">
        <v>0.0</v>
      </c>
      <c r="AJ188" s="32">
        <f t="shared" si="4"/>
        <v>6</v>
      </c>
      <c r="AK188" s="32">
        <f t="shared" si="5"/>
        <v>6</v>
      </c>
      <c r="AL188" s="25">
        <f>'MASTER STOCK'!I185</f>
        <v>3000</v>
      </c>
      <c r="AM188" s="27">
        <f>'MASTER STOCK'!L185</f>
        <v>3000</v>
      </c>
      <c r="AN188" s="27">
        <f t="shared" si="6"/>
        <v>0</v>
      </c>
      <c r="AO188" s="26">
        <f t="shared" si="7"/>
        <v>0</v>
      </c>
      <c r="AP188" s="114">
        <f t="shared" si="8"/>
        <v>0</v>
      </c>
      <c r="AQ188" s="10"/>
    </row>
    <row r="189">
      <c r="A189" s="29" t="str">
        <f>'MASTER STOCK'!F186</f>
        <v>overlup 2 x 1</v>
      </c>
      <c r="B189" s="30">
        <f>'NOV 25'!AJ:AJ</f>
        <v>13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23">
        <f t="shared" si="3"/>
        <v>0</v>
      </c>
      <c r="AI189" s="24">
        <v>0.0</v>
      </c>
      <c r="AJ189" s="32">
        <f t="shared" si="4"/>
        <v>13</v>
      </c>
      <c r="AK189" s="32">
        <f t="shared" si="5"/>
        <v>13</v>
      </c>
      <c r="AL189" s="25">
        <f>'MASTER STOCK'!I186</f>
        <v>7500</v>
      </c>
      <c r="AM189" s="27">
        <f>'MASTER STOCK'!L186</f>
        <v>7500</v>
      </c>
      <c r="AN189" s="27">
        <f t="shared" si="6"/>
        <v>0</v>
      </c>
      <c r="AO189" s="26">
        <f t="shared" si="7"/>
        <v>0</v>
      </c>
      <c r="AP189" s="114">
        <f t="shared" si="8"/>
        <v>0</v>
      </c>
      <c r="AQ189" s="10"/>
    </row>
    <row r="190">
      <c r="A190" s="29" t="str">
        <f>'MASTER STOCK'!F187</f>
        <v>overlup 2 x 1 1/2</v>
      </c>
      <c r="B190" s="30">
        <f>'NOV 25'!AJ:AJ</f>
        <v>5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23">
        <f t="shared" si="3"/>
        <v>0</v>
      </c>
      <c r="AI190" s="24">
        <v>0.0</v>
      </c>
      <c r="AJ190" s="32">
        <f t="shared" si="4"/>
        <v>5</v>
      </c>
      <c r="AK190" s="32">
        <f t="shared" si="5"/>
        <v>5</v>
      </c>
      <c r="AL190" s="25">
        <f>'MASTER STOCK'!I187</f>
        <v>5500</v>
      </c>
      <c r="AM190" s="27">
        <f>'MASTER STOCK'!L187</f>
        <v>5500</v>
      </c>
      <c r="AN190" s="27">
        <f t="shared" si="6"/>
        <v>0</v>
      </c>
      <c r="AO190" s="26">
        <f t="shared" si="7"/>
        <v>0</v>
      </c>
      <c r="AP190" s="114">
        <f t="shared" si="8"/>
        <v>0</v>
      </c>
      <c r="AQ190" s="10"/>
    </row>
    <row r="191">
      <c r="A191" s="29" t="str">
        <f>'MASTER STOCK'!F188</f>
        <v>overlup 1 x 1 1/2</v>
      </c>
      <c r="B191" s="30">
        <f>'NOV 25'!AJ:AJ</f>
        <v>5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23">
        <f t="shared" si="3"/>
        <v>0</v>
      </c>
      <c r="AI191" s="24">
        <v>0.0</v>
      </c>
      <c r="AJ191" s="32">
        <f t="shared" si="4"/>
        <v>5</v>
      </c>
      <c r="AK191" s="32">
        <f t="shared" si="5"/>
        <v>5</v>
      </c>
      <c r="AL191" s="25">
        <f>'MASTER STOCK'!I188</f>
        <v>6500</v>
      </c>
      <c r="AM191" s="27">
        <f>'MASTER STOCK'!L188</f>
        <v>6500</v>
      </c>
      <c r="AN191" s="27">
        <f t="shared" si="6"/>
        <v>0</v>
      </c>
      <c r="AO191" s="26">
        <f t="shared" si="7"/>
        <v>0</v>
      </c>
      <c r="AP191" s="114">
        <f t="shared" si="8"/>
        <v>0</v>
      </c>
      <c r="AQ191" s="10"/>
    </row>
    <row r="192">
      <c r="A192" s="29" t="str">
        <f>'MASTER STOCK'!F189</f>
        <v>overlup 2 x 2 1/2</v>
      </c>
      <c r="B192" s="30">
        <f>'NOV 25'!AJ:AJ</f>
        <v>3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23">
        <f t="shared" si="3"/>
        <v>0</v>
      </c>
      <c r="AI192" s="24">
        <v>0.0</v>
      </c>
      <c r="AJ192" s="32">
        <f t="shared" si="4"/>
        <v>3</v>
      </c>
      <c r="AK192" s="32">
        <f t="shared" si="5"/>
        <v>3</v>
      </c>
      <c r="AL192" s="25">
        <f>'MASTER STOCK'!I189</f>
        <v>8000</v>
      </c>
      <c r="AM192" s="27">
        <f>'MASTER STOCK'!L189</f>
        <v>8000</v>
      </c>
      <c r="AN192" s="27">
        <f t="shared" si="6"/>
        <v>0</v>
      </c>
      <c r="AO192" s="26">
        <f t="shared" si="7"/>
        <v>0</v>
      </c>
      <c r="AP192" s="114">
        <f t="shared" si="8"/>
        <v>0</v>
      </c>
      <c r="AQ192" s="10"/>
    </row>
    <row r="193">
      <c r="A193" s="29" t="str">
        <f>'MASTER STOCK'!F190</f>
        <v>t  3/4 x 1</v>
      </c>
      <c r="B193" s="30">
        <f>'NOV 25'!AJ:AJ</f>
        <v>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23">
        <f t="shared" si="3"/>
        <v>0</v>
      </c>
      <c r="AI193" s="24">
        <v>0.0</v>
      </c>
      <c r="AJ193" s="32">
        <f t="shared" si="4"/>
        <v>1</v>
      </c>
      <c r="AK193" s="32">
        <f t="shared" si="5"/>
        <v>1</v>
      </c>
      <c r="AL193" s="25">
        <f>'MASTER STOCK'!I190</f>
        <v>3500</v>
      </c>
      <c r="AM193" s="27">
        <f>'MASTER STOCK'!L190</f>
        <v>3500</v>
      </c>
      <c r="AN193" s="27">
        <f t="shared" si="6"/>
        <v>0</v>
      </c>
      <c r="AO193" s="26">
        <f t="shared" si="7"/>
        <v>0</v>
      </c>
      <c r="AP193" s="114">
        <f t="shared" si="8"/>
        <v>0</v>
      </c>
      <c r="AQ193" s="10"/>
    </row>
    <row r="194">
      <c r="A194" s="29" t="str">
        <f>'MASTER STOCK'!F191</f>
        <v>knee 2 1/2</v>
      </c>
      <c r="B194" s="30">
        <f>'NOV 25'!AJ:AJ</f>
        <v>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23">
        <f t="shared" si="3"/>
        <v>0</v>
      </c>
      <c r="AI194" s="24">
        <v>0.0</v>
      </c>
      <c r="AJ194" s="32">
        <f t="shared" si="4"/>
        <v>8</v>
      </c>
      <c r="AK194" s="32">
        <f t="shared" si="5"/>
        <v>8</v>
      </c>
      <c r="AL194" s="25">
        <f>'MASTER STOCK'!I191</f>
        <v>7500</v>
      </c>
      <c r="AM194" s="27">
        <f>'MASTER STOCK'!L191</f>
        <v>7500</v>
      </c>
      <c r="AN194" s="27">
        <f t="shared" si="6"/>
        <v>0</v>
      </c>
      <c r="AO194" s="26">
        <f t="shared" si="7"/>
        <v>0</v>
      </c>
      <c r="AP194" s="114">
        <f t="shared" si="8"/>
        <v>0</v>
      </c>
      <c r="AQ194" s="10"/>
    </row>
    <row r="195">
      <c r="A195" s="29" t="str">
        <f>'MASTER STOCK'!F192</f>
        <v>sok 4</v>
      </c>
      <c r="B195" s="30">
        <f>'NOV 25'!AJ:AJ</f>
        <v>22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23">
        <f t="shared" si="3"/>
        <v>0</v>
      </c>
      <c r="AI195" s="24">
        <v>0.0</v>
      </c>
      <c r="AJ195" s="32">
        <f t="shared" si="4"/>
        <v>22</v>
      </c>
      <c r="AK195" s="32">
        <f t="shared" si="5"/>
        <v>22</v>
      </c>
      <c r="AL195" s="25">
        <f>'MASTER STOCK'!I192</f>
        <v>9000</v>
      </c>
      <c r="AM195" s="27">
        <f>'MASTER STOCK'!L192</f>
        <v>9000</v>
      </c>
      <c r="AN195" s="27">
        <f t="shared" si="6"/>
        <v>0</v>
      </c>
      <c r="AO195" s="26">
        <f t="shared" si="7"/>
        <v>0</v>
      </c>
      <c r="AP195" s="114">
        <f t="shared" si="8"/>
        <v>0</v>
      </c>
      <c r="AQ195" s="10"/>
    </row>
    <row r="196">
      <c r="A196" s="29" t="str">
        <f>'MASTER STOCK'!F193</f>
        <v>sok 2 1/2</v>
      </c>
      <c r="B196" s="30">
        <f>'NOV 25'!AJ:AJ</f>
        <v>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23">
        <f t="shared" si="3"/>
        <v>0</v>
      </c>
      <c r="AI196" s="24">
        <v>0.0</v>
      </c>
      <c r="AJ196" s="32">
        <f t="shared" si="4"/>
        <v>2</v>
      </c>
      <c r="AK196" s="32">
        <f t="shared" si="5"/>
        <v>2</v>
      </c>
      <c r="AL196" s="25">
        <f>'MASTER STOCK'!I193</f>
        <v>5500</v>
      </c>
      <c r="AM196" s="27">
        <f>'MASTER STOCK'!L193</f>
        <v>5500</v>
      </c>
      <c r="AN196" s="27">
        <f t="shared" si="6"/>
        <v>0</v>
      </c>
      <c r="AO196" s="26">
        <f t="shared" si="7"/>
        <v>0</v>
      </c>
      <c r="AP196" s="114">
        <f t="shared" si="8"/>
        <v>0</v>
      </c>
      <c r="AQ196" s="10"/>
    </row>
    <row r="197">
      <c r="A197" s="29" t="str">
        <f>'MASTER STOCK'!F194</f>
        <v>sok drat luar 2</v>
      </c>
      <c r="B197" s="30">
        <f>'NOV 25'!AJ:AJ</f>
        <v>5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23">
        <f t="shared" si="3"/>
        <v>0</v>
      </c>
      <c r="AI197" s="24">
        <v>0.0</v>
      </c>
      <c r="AJ197" s="32">
        <f t="shared" si="4"/>
        <v>5</v>
      </c>
      <c r="AK197" s="32">
        <f t="shared" si="5"/>
        <v>5</v>
      </c>
      <c r="AL197" s="25">
        <f>'MASTER STOCK'!I194</f>
        <v>7500</v>
      </c>
      <c r="AM197" s="27">
        <f>'MASTER STOCK'!L194</f>
        <v>7500</v>
      </c>
      <c r="AN197" s="27">
        <f t="shared" si="6"/>
        <v>0</v>
      </c>
      <c r="AO197" s="26">
        <f t="shared" si="7"/>
        <v>0</v>
      </c>
      <c r="AP197" s="114">
        <f t="shared" si="8"/>
        <v>0</v>
      </c>
      <c r="AQ197" s="10"/>
    </row>
    <row r="198">
      <c r="A198" s="29" t="str">
        <f>'MASTER STOCK'!F195</f>
        <v>t 4</v>
      </c>
      <c r="B198" s="30">
        <f>'NOV 25'!AJ:AJ</f>
        <v>10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23">
        <f t="shared" si="3"/>
        <v>0</v>
      </c>
      <c r="AI198" s="24">
        <v>0.0</v>
      </c>
      <c r="AJ198" s="32">
        <f t="shared" si="4"/>
        <v>10</v>
      </c>
      <c r="AK198" s="32">
        <f t="shared" si="5"/>
        <v>10</v>
      </c>
      <c r="AL198" s="25">
        <f>'MASTER STOCK'!I195</f>
        <v>16500</v>
      </c>
      <c r="AM198" s="27">
        <f>'MASTER STOCK'!L195</f>
        <v>16500</v>
      </c>
      <c r="AN198" s="27">
        <f t="shared" si="6"/>
        <v>0</v>
      </c>
      <c r="AO198" s="26">
        <f t="shared" si="7"/>
        <v>0</v>
      </c>
      <c r="AP198" s="114">
        <f t="shared" si="8"/>
        <v>0</v>
      </c>
      <c r="AQ198" s="10"/>
    </row>
    <row r="199">
      <c r="A199" s="29" t="str">
        <f>'MASTER STOCK'!F196</f>
        <v>t 3</v>
      </c>
      <c r="B199" s="30">
        <f>'NOV 25'!AJ:AJ</f>
        <v>7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23">
        <f t="shared" si="3"/>
        <v>0</v>
      </c>
      <c r="AI199" s="24">
        <v>0.0</v>
      </c>
      <c r="AJ199" s="32">
        <f t="shared" si="4"/>
        <v>7</v>
      </c>
      <c r="AK199" s="32">
        <f t="shared" si="5"/>
        <v>7</v>
      </c>
      <c r="AL199" s="25">
        <f>'MASTER STOCK'!I196</f>
        <v>10000</v>
      </c>
      <c r="AM199" s="27">
        <f>'MASTER STOCK'!L196</f>
        <v>10000</v>
      </c>
      <c r="AN199" s="27">
        <f t="shared" si="6"/>
        <v>0</v>
      </c>
      <c r="AO199" s="26">
        <f t="shared" si="7"/>
        <v>0</v>
      </c>
      <c r="AP199" s="114">
        <f t="shared" si="8"/>
        <v>0</v>
      </c>
      <c r="AQ199" s="10"/>
    </row>
    <row r="200">
      <c r="A200" s="29" t="str">
        <f>'MASTER STOCK'!F197</f>
        <v>knee 4</v>
      </c>
      <c r="B200" s="30">
        <f>'NOV 25'!AJ:AJ</f>
        <v>13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23">
        <f t="shared" si="3"/>
        <v>0</v>
      </c>
      <c r="AI200" s="24">
        <v>0.0</v>
      </c>
      <c r="AJ200" s="32">
        <f t="shared" si="4"/>
        <v>13</v>
      </c>
      <c r="AK200" s="32">
        <f t="shared" si="5"/>
        <v>13</v>
      </c>
      <c r="AL200" s="25">
        <f>'MASTER STOCK'!I197</f>
        <v>14000</v>
      </c>
      <c r="AM200" s="27">
        <f>'MASTER STOCK'!L197</f>
        <v>14000</v>
      </c>
      <c r="AN200" s="27">
        <f t="shared" si="6"/>
        <v>0</v>
      </c>
      <c r="AO200" s="26">
        <f t="shared" si="7"/>
        <v>0</v>
      </c>
      <c r="AP200" s="114">
        <f t="shared" si="8"/>
        <v>0</v>
      </c>
      <c r="AQ200" s="10"/>
    </row>
    <row r="201">
      <c r="A201" s="29" t="str">
        <f>'MASTER STOCK'!F198</f>
        <v>overlup 4 x 2 1/2</v>
      </c>
      <c r="B201" s="30">
        <f>'NOV 25'!AJ:AJ</f>
        <v>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23">
        <f t="shared" si="3"/>
        <v>0</v>
      </c>
      <c r="AI201" s="24">
        <v>0.0</v>
      </c>
      <c r="AJ201" s="32">
        <f t="shared" si="4"/>
        <v>1</v>
      </c>
      <c r="AK201" s="32">
        <f t="shared" si="5"/>
        <v>1</v>
      </c>
      <c r="AL201" s="25">
        <f>'MASTER STOCK'!I198</f>
        <v>12000</v>
      </c>
      <c r="AM201" s="27">
        <f>'MASTER STOCK'!L198</f>
        <v>12000</v>
      </c>
      <c r="AN201" s="27">
        <f t="shared" si="6"/>
        <v>0</v>
      </c>
      <c r="AO201" s="26">
        <f t="shared" si="7"/>
        <v>0</v>
      </c>
      <c r="AP201" s="114">
        <f t="shared" si="8"/>
        <v>0</v>
      </c>
      <c r="AQ201" s="10"/>
    </row>
    <row r="202">
      <c r="A202" s="29" t="str">
        <f>'MASTER STOCK'!F199</f>
        <v>overlup 4 x 3</v>
      </c>
      <c r="B202" s="30">
        <f>'NOV 25'!AJ:AJ</f>
        <v>2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23">
        <f t="shared" si="3"/>
        <v>0</v>
      </c>
      <c r="AI202" s="24">
        <v>0.0</v>
      </c>
      <c r="AJ202" s="32">
        <f t="shared" si="4"/>
        <v>2</v>
      </c>
      <c r="AK202" s="32">
        <f t="shared" si="5"/>
        <v>2</v>
      </c>
      <c r="AL202" s="25">
        <f>'MASTER STOCK'!I199</f>
        <v>12500</v>
      </c>
      <c r="AM202" s="27">
        <f>'MASTER STOCK'!L199</f>
        <v>12500</v>
      </c>
      <c r="AN202" s="27">
        <f t="shared" si="6"/>
        <v>0</v>
      </c>
      <c r="AO202" s="26">
        <f t="shared" si="7"/>
        <v>0</v>
      </c>
      <c r="AP202" s="114">
        <f t="shared" si="8"/>
        <v>0</v>
      </c>
      <c r="AQ202" s="10"/>
    </row>
    <row r="203">
      <c r="A203" s="29" t="str">
        <f>'MASTER STOCK'!F200</f>
        <v>knee 3</v>
      </c>
      <c r="B203" s="30">
        <f>'NOV 25'!AJ:AJ</f>
        <v>6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23">
        <f t="shared" si="3"/>
        <v>0</v>
      </c>
      <c r="AI203" s="24">
        <v>0.0</v>
      </c>
      <c r="AJ203" s="32">
        <f t="shared" si="4"/>
        <v>6</v>
      </c>
      <c r="AK203" s="32">
        <f t="shared" si="5"/>
        <v>6</v>
      </c>
      <c r="AL203" s="25">
        <f>'MASTER STOCK'!I200</f>
        <v>10000</v>
      </c>
      <c r="AM203" s="27">
        <f>'MASTER STOCK'!L200</f>
        <v>10000</v>
      </c>
      <c r="AN203" s="27">
        <f t="shared" si="6"/>
        <v>0</v>
      </c>
      <c r="AO203" s="26">
        <f t="shared" si="7"/>
        <v>0</v>
      </c>
      <c r="AP203" s="114">
        <f t="shared" si="8"/>
        <v>0</v>
      </c>
      <c r="AQ203" s="10"/>
    </row>
    <row r="204">
      <c r="A204" s="29" t="str">
        <f>'MASTER STOCK'!F201</f>
        <v>tutup pipa 3</v>
      </c>
      <c r="B204" s="30">
        <f>'NOV 25'!AJ:AJ</f>
        <v>4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23">
        <f t="shared" si="3"/>
        <v>0</v>
      </c>
      <c r="AI204" s="24">
        <v>0.0</v>
      </c>
      <c r="AJ204" s="32">
        <f t="shared" si="4"/>
        <v>4</v>
      </c>
      <c r="AK204" s="32">
        <f t="shared" si="5"/>
        <v>4</v>
      </c>
      <c r="AL204" s="25">
        <f>'MASTER STOCK'!I201</f>
        <v>8500</v>
      </c>
      <c r="AM204" s="27">
        <f>'MASTER STOCK'!L201</f>
        <v>8500</v>
      </c>
      <c r="AN204" s="27">
        <f t="shared" si="6"/>
        <v>0</v>
      </c>
      <c r="AO204" s="26">
        <f t="shared" si="7"/>
        <v>0</v>
      </c>
      <c r="AP204" s="114">
        <f t="shared" si="8"/>
        <v>0</v>
      </c>
      <c r="AQ204" s="10"/>
    </row>
    <row r="205">
      <c r="A205" s="29" t="str">
        <f>'MASTER STOCK'!F202</f>
        <v>tutup pipa 4</v>
      </c>
      <c r="B205" s="30">
        <f>'NOV 25'!AJ:AJ</f>
        <v>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23">
        <f t="shared" si="3"/>
        <v>0</v>
      </c>
      <c r="AI205" s="24">
        <v>0.0</v>
      </c>
      <c r="AJ205" s="32">
        <f t="shared" si="4"/>
        <v>1</v>
      </c>
      <c r="AK205" s="32">
        <f t="shared" si="5"/>
        <v>1</v>
      </c>
      <c r="AL205" s="25">
        <f>'MASTER STOCK'!I202</f>
        <v>9500</v>
      </c>
      <c r="AM205" s="27">
        <f>'MASTER STOCK'!L202</f>
        <v>9500</v>
      </c>
      <c r="AN205" s="27">
        <f t="shared" si="6"/>
        <v>0</v>
      </c>
      <c r="AO205" s="26">
        <f t="shared" si="7"/>
        <v>0</v>
      </c>
      <c r="AP205" s="114">
        <f t="shared" si="8"/>
        <v>0</v>
      </c>
      <c r="AQ205" s="10"/>
    </row>
    <row r="206">
      <c r="A206" s="29" t="str">
        <f>'MASTER STOCK'!F203</f>
        <v>tutup pipa 2 1/2</v>
      </c>
      <c r="B206" s="30">
        <f>'NOV 25'!AJ:AJ</f>
        <v>2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23">
        <f t="shared" si="3"/>
        <v>0</v>
      </c>
      <c r="AI206" s="24">
        <v>0.0</v>
      </c>
      <c r="AJ206" s="32">
        <f t="shared" si="4"/>
        <v>2</v>
      </c>
      <c r="AK206" s="32">
        <f t="shared" si="5"/>
        <v>2</v>
      </c>
      <c r="AL206" s="25">
        <f>'MASTER STOCK'!I203</f>
        <v>6500</v>
      </c>
      <c r="AM206" s="27">
        <f>'MASTER STOCK'!L203</f>
        <v>6500</v>
      </c>
      <c r="AN206" s="27">
        <f t="shared" si="6"/>
        <v>0</v>
      </c>
      <c r="AO206" s="26">
        <f t="shared" si="7"/>
        <v>0</v>
      </c>
      <c r="AP206" s="114">
        <f t="shared" si="8"/>
        <v>0</v>
      </c>
      <c r="AQ206" s="10"/>
    </row>
    <row r="207">
      <c r="A207" s="29" t="str">
        <f>'MASTER STOCK'!F204</f>
        <v>tutup pipa 2</v>
      </c>
      <c r="B207" s="30">
        <f>'NOV 25'!AJ:AJ</f>
        <v>2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23">
        <f t="shared" si="3"/>
        <v>0</v>
      </c>
      <c r="AI207" s="24">
        <v>0.0</v>
      </c>
      <c r="AJ207" s="32">
        <f t="shared" si="4"/>
        <v>2</v>
      </c>
      <c r="AK207" s="32">
        <f t="shared" si="5"/>
        <v>2</v>
      </c>
      <c r="AL207" s="25">
        <f>'MASTER STOCK'!I204</f>
        <v>6000</v>
      </c>
      <c r="AM207" s="27">
        <f>'MASTER STOCK'!L204</f>
        <v>6000</v>
      </c>
      <c r="AN207" s="27">
        <f t="shared" si="6"/>
        <v>0</v>
      </c>
      <c r="AO207" s="26">
        <f t="shared" si="7"/>
        <v>0</v>
      </c>
      <c r="AP207" s="114">
        <f t="shared" si="8"/>
        <v>0</v>
      </c>
      <c r="AQ207" s="10"/>
    </row>
    <row r="208">
      <c r="A208" s="29" t="str">
        <f>'MASTER STOCK'!F205</f>
        <v>pipa 1/2</v>
      </c>
      <c r="B208" s="30">
        <f>'NOV 25'!AJ:AJ</f>
        <v>3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23">
        <f t="shared" si="3"/>
        <v>0</v>
      </c>
      <c r="AI208" s="24">
        <v>0.0</v>
      </c>
      <c r="AJ208" s="32">
        <f t="shared" si="4"/>
        <v>3</v>
      </c>
      <c r="AK208" s="32">
        <f t="shared" si="5"/>
        <v>3</v>
      </c>
      <c r="AL208" s="25">
        <f>'MASTER STOCK'!I205</f>
        <v>2500</v>
      </c>
      <c r="AM208" s="27">
        <f>'MASTER STOCK'!L205</f>
        <v>2500</v>
      </c>
      <c r="AN208" s="27">
        <f t="shared" si="6"/>
        <v>0</v>
      </c>
      <c r="AO208" s="26">
        <f t="shared" si="7"/>
        <v>0</v>
      </c>
      <c r="AP208" s="114">
        <f t="shared" si="8"/>
        <v>0</v>
      </c>
      <c r="AQ208" s="10"/>
    </row>
    <row r="209">
      <c r="A209" s="29" t="str">
        <f>'MASTER STOCK'!F206</f>
        <v>pipa 3/4</v>
      </c>
      <c r="B209" s="30">
        <f>'NOV 25'!AJ:AJ</f>
        <v>5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22"/>
      <c r="AE209" s="10"/>
      <c r="AF209" s="10"/>
      <c r="AG209" s="10"/>
      <c r="AH209" s="23">
        <f t="shared" si="3"/>
        <v>0</v>
      </c>
      <c r="AI209" s="24">
        <v>0.0</v>
      </c>
      <c r="AJ209" s="32">
        <f t="shared" si="4"/>
        <v>5</v>
      </c>
      <c r="AK209" s="32">
        <f t="shared" si="5"/>
        <v>5</v>
      </c>
      <c r="AL209" s="25">
        <f>'MASTER STOCK'!I206</f>
        <v>27500</v>
      </c>
      <c r="AM209" s="27">
        <f>'MASTER STOCK'!L206</f>
        <v>27500</v>
      </c>
      <c r="AN209" s="27">
        <f t="shared" si="6"/>
        <v>0</v>
      </c>
      <c r="AO209" s="26">
        <f t="shared" si="7"/>
        <v>0</v>
      </c>
      <c r="AP209" s="114">
        <f t="shared" si="8"/>
        <v>0</v>
      </c>
      <c r="AQ209" s="10"/>
    </row>
    <row r="210">
      <c r="A210" s="29" t="str">
        <f>'MASTER STOCK'!F207</f>
        <v>pipa 5/8</v>
      </c>
      <c r="B210" s="30">
        <f>'NOV 25'!AJ:AJ</f>
        <v>4</v>
      </c>
      <c r="C210" s="10"/>
      <c r="D210" s="10"/>
      <c r="E210" s="10"/>
      <c r="F210" s="10"/>
      <c r="G210" s="10"/>
      <c r="H210" s="22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23">
        <f t="shared" si="3"/>
        <v>0</v>
      </c>
      <c r="AI210" s="24">
        <v>0.0</v>
      </c>
      <c r="AJ210" s="32">
        <f t="shared" si="4"/>
        <v>4</v>
      </c>
      <c r="AK210" s="32">
        <f t="shared" si="5"/>
        <v>4</v>
      </c>
      <c r="AL210" s="25">
        <f>'MASTER STOCK'!I207</f>
        <v>0</v>
      </c>
      <c r="AM210" s="27">
        <f>'MASTER STOCK'!L207</f>
        <v>0</v>
      </c>
      <c r="AN210" s="27">
        <f t="shared" si="6"/>
        <v>0</v>
      </c>
      <c r="AO210" s="26">
        <f t="shared" si="7"/>
        <v>0</v>
      </c>
      <c r="AP210" s="114">
        <f t="shared" si="8"/>
        <v>0</v>
      </c>
      <c r="AQ210" s="10"/>
    </row>
    <row r="211">
      <c r="A211" s="29" t="str">
        <f>'MASTER STOCK'!F208</f>
        <v>pipa 1 aw</v>
      </c>
      <c r="B211" s="30">
        <f>'NOV 25'!AJ:AJ</f>
        <v>3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23">
        <f t="shared" si="3"/>
        <v>0</v>
      </c>
      <c r="AI211" s="24">
        <v>0.0</v>
      </c>
      <c r="AJ211" s="32">
        <f t="shared" si="4"/>
        <v>3</v>
      </c>
      <c r="AK211" s="32">
        <f t="shared" si="5"/>
        <v>3</v>
      </c>
      <c r="AL211" s="25">
        <f>'MASTER STOCK'!I208</f>
        <v>38000</v>
      </c>
      <c r="AM211" s="27">
        <f>'MASTER STOCK'!L208</f>
        <v>38000</v>
      </c>
      <c r="AN211" s="27">
        <f t="shared" si="6"/>
        <v>0</v>
      </c>
      <c r="AO211" s="26">
        <f t="shared" si="7"/>
        <v>0</v>
      </c>
      <c r="AP211" s="114">
        <f t="shared" si="8"/>
        <v>0</v>
      </c>
      <c r="AQ211" s="10"/>
    </row>
    <row r="212">
      <c r="A212" s="29" t="str">
        <f>'MASTER STOCK'!F209</f>
        <v>pipa bluefin 1 1/2</v>
      </c>
      <c r="B212" s="30">
        <f>'NOV 25'!AJ:AJ</f>
        <v>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23">
        <f t="shared" si="3"/>
        <v>0</v>
      </c>
      <c r="AI212" s="24">
        <v>0.0</v>
      </c>
      <c r="AJ212" s="32">
        <f t="shared" si="4"/>
        <v>1</v>
      </c>
      <c r="AK212" s="32">
        <f t="shared" si="5"/>
        <v>1</v>
      </c>
      <c r="AL212" s="25">
        <f>'MASTER STOCK'!I209</f>
        <v>35000</v>
      </c>
      <c r="AM212" s="27">
        <f>'MASTER STOCK'!L209</f>
        <v>35000</v>
      </c>
      <c r="AN212" s="27">
        <f t="shared" si="6"/>
        <v>0</v>
      </c>
      <c r="AO212" s="26">
        <f t="shared" si="7"/>
        <v>0</v>
      </c>
      <c r="AP212" s="114">
        <f t="shared" si="8"/>
        <v>0</v>
      </c>
      <c r="AQ212" s="10"/>
    </row>
    <row r="213">
      <c r="A213" s="29" t="str">
        <f>'MASTER STOCK'!F210</f>
        <v>pipa quinlon 1 1/2</v>
      </c>
      <c r="B213" s="30">
        <f>'NOV 25'!AJ:AJ</f>
        <v>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23">
        <f t="shared" si="3"/>
        <v>0</v>
      </c>
      <c r="AI213" s="24">
        <v>0.0</v>
      </c>
      <c r="AJ213" s="32">
        <f t="shared" si="4"/>
        <v>1</v>
      </c>
      <c r="AK213" s="32">
        <f t="shared" si="5"/>
        <v>1</v>
      </c>
      <c r="AL213" s="25">
        <f>'MASTER STOCK'!I210</f>
        <v>32000</v>
      </c>
      <c r="AM213" s="27">
        <f>'MASTER STOCK'!L210</f>
        <v>32000</v>
      </c>
      <c r="AN213" s="27">
        <f t="shared" si="6"/>
        <v>0</v>
      </c>
      <c r="AO213" s="26">
        <f t="shared" si="7"/>
        <v>0</v>
      </c>
      <c r="AP213" s="114">
        <f t="shared" si="8"/>
        <v>0</v>
      </c>
      <c r="AQ213" s="10"/>
    </row>
    <row r="214">
      <c r="A214" s="29" t="str">
        <f>'MASTER STOCK'!F211</f>
        <v>pipa bluefin 2 dim c</v>
      </c>
      <c r="B214" s="30">
        <f>'NOV 25'!AJ:AJ</f>
        <v>6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23">
        <f t="shared" si="3"/>
        <v>0</v>
      </c>
      <c r="AI214" s="24">
        <v>0.0</v>
      </c>
      <c r="AJ214" s="32">
        <f t="shared" si="4"/>
        <v>6</v>
      </c>
      <c r="AK214" s="32">
        <f t="shared" si="5"/>
        <v>6</v>
      </c>
      <c r="AL214" s="25">
        <f>'MASTER STOCK'!I211</f>
        <v>41000</v>
      </c>
      <c r="AM214" s="27">
        <f>'MASTER STOCK'!L211</f>
        <v>41000</v>
      </c>
      <c r="AN214" s="27">
        <f t="shared" si="6"/>
        <v>0</v>
      </c>
      <c r="AO214" s="26">
        <f t="shared" si="7"/>
        <v>0</v>
      </c>
      <c r="AP214" s="114">
        <f t="shared" si="8"/>
        <v>0</v>
      </c>
      <c r="AQ214" s="10"/>
    </row>
    <row r="215">
      <c r="A215" s="29" t="str">
        <f>'MASTER STOCK'!F212</f>
        <v>pipa bluefin 2 dim d</v>
      </c>
      <c r="B215" s="30">
        <f>'NOV 25'!AJ:AJ</f>
        <v>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23">
        <f t="shared" si="3"/>
        <v>0</v>
      </c>
      <c r="AI215" s="24">
        <v>0.0</v>
      </c>
      <c r="AJ215" s="32">
        <f t="shared" si="4"/>
        <v>1</v>
      </c>
      <c r="AK215" s="32">
        <f t="shared" si="5"/>
        <v>1</v>
      </c>
      <c r="AL215" s="25">
        <f>'MASTER STOCK'!I212</f>
        <v>46000</v>
      </c>
      <c r="AM215" s="27">
        <f>'MASTER STOCK'!L212</f>
        <v>46000</v>
      </c>
      <c r="AN215" s="27">
        <f t="shared" si="6"/>
        <v>0</v>
      </c>
      <c r="AO215" s="26">
        <f t="shared" si="7"/>
        <v>0</v>
      </c>
      <c r="AP215" s="114">
        <f t="shared" si="8"/>
        <v>0</v>
      </c>
      <c r="AQ215" s="10"/>
    </row>
    <row r="216">
      <c r="A216" s="29" t="str">
        <f>'MASTER STOCK'!F213</f>
        <v>pipa interniti 2 dim</v>
      </c>
      <c r="B216" s="30">
        <f>'NOV 25'!AJ:AJ</f>
        <v>7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23">
        <f t="shared" si="3"/>
        <v>0</v>
      </c>
      <c r="AI216" s="24">
        <v>0.0</v>
      </c>
      <c r="AJ216" s="32">
        <f t="shared" si="4"/>
        <v>7</v>
      </c>
      <c r="AK216" s="32">
        <f t="shared" si="5"/>
        <v>7</v>
      </c>
      <c r="AL216" s="25">
        <f>'MASTER STOCK'!I213</f>
        <v>42000</v>
      </c>
      <c r="AM216" s="27">
        <f>'MASTER STOCK'!L213</f>
        <v>42000</v>
      </c>
      <c r="AN216" s="27">
        <f t="shared" si="6"/>
        <v>0</v>
      </c>
      <c r="AO216" s="26">
        <f t="shared" si="7"/>
        <v>0</v>
      </c>
      <c r="AP216" s="114">
        <f t="shared" si="8"/>
        <v>0</v>
      </c>
      <c r="AQ216" s="10"/>
    </row>
    <row r="217">
      <c r="A217" s="29" t="str">
        <f>'MASTER STOCK'!F214</f>
        <v>pipa bluefin 2 1/2 dim c</v>
      </c>
      <c r="B217" s="30">
        <f>'NOV 25'!AJ:AJ</f>
        <v>1</v>
      </c>
      <c r="C217" s="10"/>
      <c r="D217" s="10"/>
      <c r="E217" s="10"/>
      <c r="F217" s="22">
        <v>1.0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22"/>
      <c r="Z217" s="10"/>
      <c r="AA217" s="10"/>
      <c r="AB217" s="10"/>
      <c r="AC217" s="10"/>
      <c r="AD217" s="10"/>
      <c r="AE217" s="10"/>
      <c r="AF217" s="10"/>
      <c r="AG217" s="10"/>
      <c r="AH217" s="23">
        <f t="shared" si="3"/>
        <v>1</v>
      </c>
      <c r="AI217" s="24">
        <v>0.0</v>
      </c>
      <c r="AJ217" s="32">
        <f t="shared" si="4"/>
        <v>0</v>
      </c>
      <c r="AK217" s="32">
        <f t="shared" si="5"/>
        <v>0</v>
      </c>
      <c r="AL217" s="25">
        <f>'MASTER STOCK'!I214</f>
        <v>57500</v>
      </c>
      <c r="AM217" s="27">
        <f>'MASTER STOCK'!L214</f>
        <v>57500</v>
      </c>
      <c r="AN217" s="27">
        <f t="shared" si="6"/>
        <v>57500</v>
      </c>
      <c r="AO217" s="26">
        <f t="shared" si="7"/>
        <v>0</v>
      </c>
      <c r="AP217" s="114">
        <f t="shared" si="8"/>
        <v>57500</v>
      </c>
      <c r="AQ217" s="10"/>
    </row>
    <row r="218">
      <c r="A218" s="29" t="str">
        <f>'MASTER STOCK'!F215</f>
        <v>pipa quinlon 3 dim c</v>
      </c>
      <c r="B218" s="30">
        <f>'NOV 25'!AJ:AJ</f>
        <v>3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23">
        <f t="shared" si="3"/>
        <v>0</v>
      </c>
      <c r="AI218" s="24">
        <v>0.0</v>
      </c>
      <c r="AJ218" s="32">
        <f t="shared" si="4"/>
        <v>3</v>
      </c>
      <c r="AK218" s="32">
        <f t="shared" si="5"/>
        <v>3</v>
      </c>
      <c r="AL218" s="25">
        <f>'MASTER STOCK'!I215</f>
        <v>53000</v>
      </c>
      <c r="AM218" s="27">
        <f>'MASTER STOCK'!L215</f>
        <v>53000</v>
      </c>
      <c r="AN218" s="27">
        <f t="shared" si="6"/>
        <v>0</v>
      </c>
      <c r="AO218" s="26">
        <f t="shared" si="7"/>
        <v>0</v>
      </c>
      <c r="AP218" s="114">
        <f t="shared" si="8"/>
        <v>0</v>
      </c>
      <c r="AQ218" s="10"/>
    </row>
    <row r="219">
      <c r="A219" s="29" t="str">
        <f>'MASTER STOCK'!F216</f>
        <v>pipa quinlon 3 dim d</v>
      </c>
      <c r="B219" s="30">
        <f>'NOV 25'!AJ:AJ</f>
        <v>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23">
        <f t="shared" si="3"/>
        <v>0</v>
      </c>
      <c r="AI219" s="24">
        <v>0.0</v>
      </c>
      <c r="AJ219" s="32">
        <f t="shared" si="4"/>
        <v>1</v>
      </c>
      <c r="AK219" s="32">
        <f t="shared" si="5"/>
        <v>1</v>
      </c>
      <c r="AL219" s="25">
        <f>'MASTER STOCK'!I216</f>
        <v>78000</v>
      </c>
      <c r="AM219" s="27">
        <f>'MASTER STOCK'!L216</f>
        <v>78000</v>
      </c>
      <c r="AN219" s="27">
        <f t="shared" si="6"/>
        <v>0</v>
      </c>
      <c r="AO219" s="26">
        <f t="shared" si="7"/>
        <v>0</v>
      </c>
      <c r="AP219" s="114">
        <f t="shared" si="8"/>
        <v>0</v>
      </c>
      <c r="AQ219" s="10"/>
    </row>
    <row r="220">
      <c r="A220" s="29" t="str">
        <f>'MASTER STOCK'!F217</f>
        <v>asbes 180 x 1 m</v>
      </c>
      <c r="B220" s="30">
        <f>'NOV 25'!AJ:AJ</f>
        <v>2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23">
        <f t="shared" si="3"/>
        <v>0</v>
      </c>
      <c r="AI220" s="24">
        <v>0.0</v>
      </c>
      <c r="AJ220" s="32">
        <f t="shared" si="4"/>
        <v>2</v>
      </c>
      <c r="AK220" s="32">
        <f t="shared" si="5"/>
        <v>2</v>
      </c>
      <c r="AL220" s="25">
        <f>'MASTER STOCK'!I217</f>
        <v>59000</v>
      </c>
      <c r="AM220" s="27">
        <f>'MASTER STOCK'!L217</f>
        <v>59000</v>
      </c>
      <c r="AN220" s="27">
        <f t="shared" si="6"/>
        <v>0</v>
      </c>
      <c r="AO220" s="26">
        <f t="shared" si="7"/>
        <v>0</v>
      </c>
      <c r="AP220" s="114">
        <f t="shared" si="8"/>
        <v>0</v>
      </c>
      <c r="AQ220" s="10"/>
    </row>
    <row r="221">
      <c r="A221" s="29" t="str">
        <f>'MASTER STOCK'!F218</f>
        <v>asbes 240 x 1 m</v>
      </c>
      <c r="B221" s="30">
        <f>'NOV 25'!AJ:AJ</f>
        <v>0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22"/>
      <c r="Y221" s="10"/>
      <c r="Z221" s="10"/>
      <c r="AA221" s="10"/>
      <c r="AB221" s="10"/>
      <c r="AC221" s="10"/>
      <c r="AD221" s="10"/>
      <c r="AE221" s="10"/>
      <c r="AF221" s="10"/>
      <c r="AG221" s="10"/>
      <c r="AH221" s="23">
        <f t="shared" si="3"/>
        <v>0</v>
      </c>
      <c r="AI221" s="24">
        <v>0.0</v>
      </c>
      <c r="AJ221" s="32">
        <f t="shared" si="4"/>
        <v>0</v>
      </c>
      <c r="AK221" s="32">
        <f t="shared" si="5"/>
        <v>0</v>
      </c>
      <c r="AL221" s="25">
        <f>'MASTER STOCK'!I218</f>
        <v>72000</v>
      </c>
      <c r="AM221" s="27">
        <f>'MASTER STOCK'!L218</f>
        <v>72000</v>
      </c>
      <c r="AN221" s="27">
        <f t="shared" si="6"/>
        <v>0</v>
      </c>
      <c r="AO221" s="26">
        <f t="shared" si="7"/>
        <v>0</v>
      </c>
      <c r="AP221" s="114">
        <f t="shared" si="8"/>
        <v>0</v>
      </c>
      <c r="AQ221" s="10"/>
    </row>
    <row r="222">
      <c r="A222" s="29" t="str">
        <f>'MASTER STOCK'!F219</f>
        <v>fiber glass</v>
      </c>
      <c r="B222" s="30">
        <f>'NOV 25'!AJ:AJ</f>
        <v>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23">
        <f t="shared" si="3"/>
        <v>0</v>
      </c>
      <c r="AI222" s="24">
        <v>0.0</v>
      </c>
      <c r="AJ222" s="32">
        <f t="shared" si="4"/>
        <v>1</v>
      </c>
      <c r="AK222" s="32">
        <f t="shared" si="5"/>
        <v>1</v>
      </c>
      <c r="AL222" s="25">
        <f>'MASTER STOCK'!I219</f>
        <v>150000</v>
      </c>
      <c r="AM222" s="27">
        <f>'MASTER STOCK'!L219</f>
        <v>150000</v>
      </c>
      <c r="AN222" s="27">
        <f t="shared" si="6"/>
        <v>0</v>
      </c>
      <c r="AO222" s="26">
        <f t="shared" si="7"/>
        <v>0</v>
      </c>
      <c r="AP222" s="114">
        <f t="shared" si="8"/>
        <v>0</v>
      </c>
      <c r="AQ222" s="10"/>
    </row>
    <row r="223">
      <c r="A223" s="29" t="str">
        <f>'MASTER STOCK'!F220</f>
        <v>kasiboard 2 m</v>
      </c>
      <c r="B223" s="30">
        <f>'NOV 25'!AJ:AJ</f>
        <v>2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23">
        <f t="shared" si="3"/>
        <v>0</v>
      </c>
      <c r="AI223" s="24">
        <v>0.0</v>
      </c>
      <c r="AJ223" s="32">
        <f t="shared" si="4"/>
        <v>2</v>
      </c>
      <c r="AK223" s="32">
        <f t="shared" si="5"/>
        <v>2</v>
      </c>
      <c r="AL223" s="25">
        <f>'MASTER STOCK'!I220</f>
        <v>0</v>
      </c>
      <c r="AM223" s="27">
        <f>'MASTER STOCK'!L220</f>
        <v>0</v>
      </c>
      <c r="AN223" s="27">
        <f t="shared" si="6"/>
        <v>0</v>
      </c>
      <c r="AO223" s="26">
        <f t="shared" si="7"/>
        <v>0</v>
      </c>
      <c r="AP223" s="114">
        <f t="shared" si="8"/>
        <v>0</v>
      </c>
      <c r="AQ223" s="10"/>
    </row>
    <row r="224">
      <c r="A224" s="29" t="str">
        <f>'MASTER STOCK'!F221</f>
        <v>besi  p 10</v>
      </c>
      <c r="B224" s="30">
        <f>'NOV 25'!AJ:AJ</f>
        <v>4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23">
        <f t="shared" si="3"/>
        <v>0</v>
      </c>
      <c r="AI224" s="24">
        <v>0.0</v>
      </c>
      <c r="AJ224" s="32">
        <f t="shared" si="4"/>
        <v>4</v>
      </c>
      <c r="AK224" s="32">
        <f t="shared" si="5"/>
        <v>4</v>
      </c>
      <c r="AL224" s="25">
        <f>'MASTER STOCK'!I221</f>
        <v>71000</v>
      </c>
      <c r="AM224" s="27">
        <f>'MASTER STOCK'!L221</f>
        <v>71000</v>
      </c>
      <c r="AN224" s="27">
        <f t="shared" si="6"/>
        <v>0</v>
      </c>
      <c r="AO224" s="26">
        <f t="shared" si="7"/>
        <v>0</v>
      </c>
      <c r="AP224" s="114">
        <f t="shared" si="8"/>
        <v>0</v>
      </c>
      <c r="AQ224" s="10"/>
    </row>
    <row r="225">
      <c r="A225" s="29" t="str">
        <f>'MASTER STOCK'!F222</f>
        <v>besi  8</v>
      </c>
      <c r="B225" s="30">
        <f>'NOV 25'!AJ:AJ</f>
        <v>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23">
        <f t="shared" si="3"/>
        <v>0</v>
      </c>
      <c r="AI225" s="24">
        <v>0.0</v>
      </c>
      <c r="AJ225" s="32">
        <f t="shared" si="4"/>
        <v>1</v>
      </c>
      <c r="AK225" s="32">
        <f t="shared" si="5"/>
        <v>1</v>
      </c>
      <c r="AL225" s="25">
        <f>'MASTER STOCK'!I222</f>
        <v>43000</v>
      </c>
      <c r="AM225" s="27">
        <f>'MASTER STOCK'!L222</f>
        <v>43000</v>
      </c>
      <c r="AN225" s="27">
        <f t="shared" si="6"/>
        <v>0</v>
      </c>
      <c r="AO225" s="26">
        <f t="shared" si="7"/>
        <v>0</v>
      </c>
      <c r="AP225" s="114">
        <f t="shared" si="8"/>
        <v>0</v>
      </c>
      <c r="AQ225" s="10"/>
    </row>
    <row r="226">
      <c r="A226" s="29" t="str">
        <f>'MASTER STOCK'!F223</f>
        <v>talang seng gulung</v>
      </c>
      <c r="B226" s="30">
        <f>'NOV 25'!AJ:AJ</f>
        <v>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23">
        <f t="shared" si="3"/>
        <v>0</v>
      </c>
      <c r="AI226" s="24">
        <v>0.0</v>
      </c>
      <c r="AJ226" s="32">
        <f t="shared" si="4"/>
        <v>1</v>
      </c>
      <c r="AK226" s="32">
        <f t="shared" si="5"/>
        <v>1</v>
      </c>
      <c r="AL226" s="25">
        <f>'MASTER STOCK'!I223</f>
        <v>19000</v>
      </c>
      <c r="AM226" s="27">
        <f>'MASTER STOCK'!L223</f>
        <v>19000</v>
      </c>
      <c r="AN226" s="27">
        <f t="shared" si="6"/>
        <v>0</v>
      </c>
      <c r="AO226" s="26">
        <f t="shared" si="7"/>
        <v>0</v>
      </c>
      <c r="AP226" s="114">
        <f t="shared" si="8"/>
        <v>0</v>
      </c>
      <c r="AQ226" s="10"/>
    </row>
    <row r="227">
      <c r="A227" s="29" t="str">
        <f>'MASTER STOCK'!F224</f>
        <v>galvalum</v>
      </c>
      <c r="B227" s="30">
        <f>'NOV 25'!AJ:AJ</f>
        <v>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23">
        <f t="shared" si="3"/>
        <v>0</v>
      </c>
      <c r="AI227" s="24">
        <v>0.0</v>
      </c>
      <c r="AJ227" s="32">
        <f t="shared" si="4"/>
        <v>1</v>
      </c>
      <c r="AK227" s="32">
        <f t="shared" si="5"/>
        <v>1</v>
      </c>
      <c r="AL227" s="25">
        <f>'MASTER STOCK'!I224</f>
        <v>23000</v>
      </c>
      <c r="AM227" s="27">
        <f>'MASTER STOCK'!L224</f>
        <v>23000</v>
      </c>
      <c r="AN227" s="27">
        <f t="shared" si="6"/>
        <v>0</v>
      </c>
      <c r="AO227" s="26">
        <f t="shared" si="7"/>
        <v>0</v>
      </c>
      <c r="AP227" s="114">
        <f t="shared" si="8"/>
        <v>0</v>
      </c>
      <c r="AQ227" s="10"/>
    </row>
    <row r="228">
      <c r="A228" s="29" t="str">
        <f>'MASTER STOCK'!F225</f>
        <v>watermur 1/2</v>
      </c>
      <c r="B228" s="30">
        <f>'NOV 25'!AJ:AJ</f>
        <v>6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23">
        <f t="shared" si="3"/>
        <v>0</v>
      </c>
      <c r="AI228" s="24">
        <v>0.0</v>
      </c>
      <c r="AJ228" s="32">
        <f t="shared" si="4"/>
        <v>6</v>
      </c>
      <c r="AK228" s="32">
        <f t="shared" si="5"/>
        <v>6</v>
      </c>
      <c r="AL228" s="25">
        <f>'MASTER STOCK'!I225</f>
        <v>5000</v>
      </c>
      <c r="AM228" s="27">
        <f>'MASTER STOCK'!L225</f>
        <v>5000</v>
      </c>
      <c r="AN228" s="27">
        <f t="shared" si="6"/>
        <v>0</v>
      </c>
      <c r="AO228" s="26">
        <f t="shared" si="7"/>
        <v>0</v>
      </c>
      <c r="AP228" s="114">
        <f t="shared" si="8"/>
        <v>0</v>
      </c>
      <c r="AQ228" s="10"/>
    </row>
    <row r="229">
      <c r="A229" s="29" t="str">
        <f>'MASTER STOCK'!F226</f>
        <v>loster besar kotak</v>
      </c>
      <c r="B229" s="30">
        <f>'NOV 25'!AJ:AJ</f>
        <v>13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23">
        <f t="shared" si="3"/>
        <v>0</v>
      </c>
      <c r="AI229" s="24">
        <v>0.0</v>
      </c>
      <c r="AJ229" s="32">
        <f t="shared" si="4"/>
        <v>13</v>
      </c>
      <c r="AK229" s="32">
        <f t="shared" si="5"/>
        <v>13</v>
      </c>
      <c r="AL229" s="25">
        <f>'MASTER STOCK'!I226</f>
        <v>15500</v>
      </c>
      <c r="AM229" s="27">
        <f>'MASTER STOCK'!L226</f>
        <v>15500</v>
      </c>
      <c r="AN229" s="27">
        <f t="shared" si="6"/>
        <v>0</v>
      </c>
      <c r="AO229" s="26">
        <f t="shared" si="7"/>
        <v>0</v>
      </c>
      <c r="AP229" s="114">
        <f t="shared" si="8"/>
        <v>0</v>
      </c>
      <c r="AQ229" s="10"/>
    </row>
    <row r="230">
      <c r="A230" s="29" t="str">
        <f>'MASTER STOCK'!F227</f>
        <v>loster besar saringan</v>
      </c>
      <c r="B230" s="30">
        <f>'NOV 25'!AJ:AJ</f>
        <v>15</v>
      </c>
      <c r="C230" s="10"/>
      <c r="D230" s="10"/>
      <c r="E230" s="22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23">
        <f t="shared" si="3"/>
        <v>0</v>
      </c>
      <c r="AI230" s="24">
        <v>0.0</v>
      </c>
      <c r="AJ230" s="32">
        <f t="shared" si="4"/>
        <v>15</v>
      </c>
      <c r="AK230" s="32">
        <f t="shared" si="5"/>
        <v>15</v>
      </c>
      <c r="AL230" s="25">
        <f>'MASTER STOCK'!I227</f>
        <v>17500</v>
      </c>
      <c r="AM230" s="27">
        <f>'MASTER STOCK'!L227</f>
        <v>17500</v>
      </c>
      <c r="AN230" s="27">
        <f t="shared" si="6"/>
        <v>0</v>
      </c>
      <c r="AO230" s="26">
        <f t="shared" si="7"/>
        <v>0</v>
      </c>
      <c r="AP230" s="114">
        <f t="shared" si="8"/>
        <v>0</v>
      </c>
      <c r="AQ230" s="10"/>
    </row>
    <row r="231">
      <c r="A231" s="29" t="str">
        <f>'MASTER STOCK'!F228</f>
        <v>lem rajawali</v>
      </c>
      <c r="B231" s="30">
        <f>'NOV 25'!AJ:AJ</f>
        <v>19</v>
      </c>
      <c r="C231" s="10"/>
      <c r="D231" s="10"/>
      <c r="E231" s="22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22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23">
        <f t="shared" si="3"/>
        <v>0</v>
      </c>
      <c r="AI231" s="24">
        <v>0.0</v>
      </c>
      <c r="AJ231" s="32">
        <f t="shared" si="4"/>
        <v>19</v>
      </c>
      <c r="AK231" s="32">
        <f t="shared" si="5"/>
        <v>19</v>
      </c>
      <c r="AL231" s="25">
        <f>'MASTER STOCK'!I228</f>
        <v>19500</v>
      </c>
      <c r="AM231" s="27">
        <f>'MASTER STOCK'!L228</f>
        <v>21500</v>
      </c>
      <c r="AN231" s="27">
        <f t="shared" si="6"/>
        <v>0</v>
      </c>
      <c r="AO231" s="26">
        <f t="shared" si="7"/>
        <v>0</v>
      </c>
      <c r="AP231" s="114">
        <f t="shared" si="8"/>
        <v>0</v>
      </c>
      <c r="AQ231" s="10"/>
    </row>
    <row r="232">
      <c r="A232" s="29" t="str">
        <f>'MASTER STOCK'!F229</f>
        <v>pain roller nippon pain</v>
      </c>
      <c r="B232" s="30">
        <f>'NOV 25'!AJ:AJ</f>
        <v>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23">
        <f t="shared" si="3"/>
        <v>0</v>
      </c>
      <c r="AI232" s="24">
        <v>0.0</v>
      </c>
      <c r="AJ232" s="32">
        <f t="shared" si="4"/>
        <v>1</v>
      </c>
      <c r="AK232" s="32">
        <f t="shared" si="5"/>
        <v>1</v>
      </c>
      <c r="AL232" s="25">
        <f>'MASTER STOCK'!I229</f>
        <v>30000</v>
      </c>
      <c r="AM232" s="27">
        <f>'MASTER STOCK'!L229</f>
        <v>30000</v>
      </c>
      <c r="AN232" s="27">
        <f t="shared" si="6"/>
        <v>0</v>
      </c>
      <c r="AO232" s="26">
        <f t="shared" si="7"/>
        <v>0</v>
      </c>
      <c r="AP232" s="114">
        <f t="shared" si="8"/>
        <v>0</v>
      </c>
      <c r="AQ232" s="10"/>
    </row>
    <row r="233">
      <c r="A233" s="29" t="str">
        <f>'MASTER STOCK'!F230</f>
        <v>pain roller index </v>
      </c>
      <c r="B233" s="30">
        <f>'NOV 25'!AJ:AJ</f>
        <v>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23">
        <f t="shared" si="3"/>
        <v>0</v>
      </c>
      <c r="AI233" s="24">
        <v>0.0</v>
      </c>
      <c r="AJ233" s="32">
        <f t="shared" si="4"/>
        <v>1</v>
      </c>
      <c r="AK233" s="32">
        <f t="shared" si="5"/>
        <v>1</v>
      </c>
      <c r="AL233" s="25">
        <f>'MASTER STOCK'!I230</f>
        <v>25000</v>
      </c>
      <c r="AM233" s="27">
        <f>'MASTER STOCK'!L230</f>
        <v>25000</v>
      </c>
      <c r="AN233" s="27">
        <f t="shared" si="6"/>
        <v>0</v>
      </c>
      <c r="AO233" s="26">
        <f t="shared" si="7"/>
        <v>0</v>
      </c>
      <c r="AP233" s="114">
        <f t="shared" si="8"/>
        <v>0</v>
      </c>
      <c r="AQ233" s="10"/>
    </row>
    <row r="234">
      <c r="A234" s="29" t="str">
        <f>'MASTER STOCK'!F231</f>
        <v>timba</v>
      </c>
      <c r="B234" s="30">
        <f>'NOV 25'!AJ:AJ</f>
        <v>4</v>
      </c>
      <c r="C234" s="22"/>
      <c r="D234" s="10"/>
      <c r="E234" s="10"/>
      <c r="F234" s="10"/>
      <c r="G234" s="10"/>
      <c r="H234" s="10"/>
      <c r="I234" s="22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22"/>
      <c r="AH234" s="23">
        <f t="shared" si="3"/>
        <v>0</v>
      </c>
      <c r="AI234" s="24">
        <v>0.0</v>
      </c>
      <c r="AJ234" s="32">
        <f t="shared" si="4"/>
        <v>4</v>
      </c>
      <c r="AK234" s="32">
        <f t="shared" si="5"/>
        <v>4</v>
      </c>
      <c r="AL234" s="25">
        <f>'MASTER STOCK'!I231</f>
        <v>10000</v>
      </c>
      <c r="AM234" s="27">
        <f>'MASTER STOCK'!L231</f>
        <v>10000</v>
      </c>
      <c r="AN234" s="27">
        <f t="shared" si="6"/>
        <v>0</v>
      </c>
      <c r="AO234" s="26">
        <f t="shared" si="7"/>
        <v>0</v>
      </c>
      <c r="AP234" s="114">
        <f t="shared" si="8"/>
        <v>0</v>
      </c>
      <c r="AQ234" s="10"/>
    </row>
    <row r="235">
      <c r="A235" s="29" t="str">
        <f>'MASTER STOCK'!F232</f>
        <v>paku 5</v>
      </c>
      <c r="B235" s="30">
        <f>'NOV 25'!AJ:AJ</f>
        <v>-0.6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22"/>
      <c r="Z235" s="10"/>
      <c r="AA235" s="10"/>
      <c r="AB235" s="10"/>
      <c r="AC235" s="10"/>
      <c r="AD235" s="10"/>
      <c r="AE235" s="10"/>
      <c r="AF235" s="10"/>
      <c r="AG235" s="10"/>
      <c r="AH235" s="23">
        <f t="shared" si="3"/>
        <v>0</v>
      </c>
      <c r="AI235" s="24">
        <v>0.0</v>
      </c>
      <c r="AJ235" s="32">
        <f t="shared" si="4"/>
        <v>-0.6</v>
      </c>
      <c r="AK235" s="32">
        <f t="shared" si="5"/>
        <v>-0.6</v>
      </c>
      <c r="AL235" s="25">
        <f>'MASTER STOCK'!I232</f>
        <v>26000</v>
      </c>
      <c r="AM235" s="27">
        <f>'MASTER STOCK'!L232</f>
        <v>26000</v>
      </c>
      <c r="AN235" s="27">
        <f t="shared" si="6"/>
        <v>0</v>
      </c>
      <c r="AO235" s="26">
        <f t="shared" si="7"/>
        <v>0</v>
      </c>
      <c r="AP235" s="114">
        <f t="shared" si="8"/>
        <v>0</v>
      </c>
      <c r="AQ235" s="10"/>
    </row>
    <row r="236">
      <c r="A236" s="29" t="str">
        <f>'MASTER STOCK'!F233</f>
        <v>paku 3 1/2</v>
      </c>
      <c r="B236" s="30">
        <f>'NOV 25'!AJ:AJ</f>
        <v>4.75</v>
      </c>
      <c r="C236" s="10"/>
      <c r="D236" s="10"/>
      <c r="E236" s="10"/>
      <c r="F236" s="10"/>
      <c r="G236" s="10"/>
      <c r="H236" s="10"/>
      <c r="I236" s="10"/>
      <c r="J236" s="10"/>
      <c r="K236" s="22"/>
      <c r="L236" s="10"/>
      <c r="M236" s="10"/>
      <c r="N236" s="10"/>
      <c r="O236" s="10"/>
      <c r="P236" s="10"/>
      <c r="Q236" s="10"/>
      <c r="R236" s="10"/>
      <c r="S236" s="22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23">
        <f t="shared" si="3"/>
        <v>0</v>
      </c>
      <c r="AI236" s="24">
        <v>0.0</v>
      </c>
      <c r="AJ236" s="32">
        <f t="shared" si="4"/>
        <v>4.75</v>
      </c>
      <c r="AK236" s="32">
        <f t="shared" si="5"/>
        <v>4.75</v>
      </c>
      <c r="AL236" s="25">
        <f>'MASTER STOCK'!I233</f>
        <v>24000</v>
      </c>
      <c r="AM236" s="27">
        <f>'MASTER STOCK'!L233</f>
        <v>24000</v>
      </c>
      <c r="AN236" s="27">
        <f t="shared" si="6"/>
        <v>0</v>
      </c>
      <c r="AO236" s="26">
        <f t="shared" si="7"/>
        <v>0</v>
      </c>
      <c r="AP236" s="114">
        <f t="shared" si="8"/>
        <v>0</v>
      </c>
      <c r="AQ236" s="10"/>
    </row>
    <row r="237">
      <c r="A237" s="29" t="str">
        <f>'MASTER STOCK'!F234</f>
        <v>geraji</v>
      </c>
      <c r="B237" s="30">
        <f>'NOV 25'!AJ:AJ</f>
        <v>8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23">
        <f t="shared" si="3"/>
        <v>0</v>
      </c>
      <c r="AI237" s="24">
        <v>0.0</v>
      </c>
      <c r="AJ237" s="32">
        <f t="shared" si="4"/>
        <v>8</v>
      </c>
      <c r="AK237" s="32">
        <f t="shared" si="5"/>
        <v>8</v>
      </c>
      <c r="AL237" s="25">
        <f>'MASTER STOCK'!I234</f>
        <v>30000</v>
      </c>
      <c r="AM237" s="27">
        <f>'MASTER STOCK'!L234</f>
        <v>30000</v>
      </c>
      <c r="AN237" s="27">
        <f t="shared" si="6"/>
        <v>0</v>
      </c>
      <c r="AO237" s="26">
        <f t="shared" si="7"/>
        <v>0</v>
      </c>
      <c r="AP237" s="114">
        <f t="shared" si="8"/>
        <v>0</v>
      </c>
      <c r="AQ237" s="10"/>
    </row>
    <row r="238">
      <c r="A238" s="29" t="str">
        <f>'MASTER STOCK'!F235</f>
        <v>cutter</v>
      </c>
      <c r="B238" s="30">
        <f>'NOV 25'!AJ:AJ</f>
        <v>10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23">
        <f t="shared" si="3"/>
        <v>0</v>
      </c>
      <c r="AI238" s="24">
        <v>0.0</v>
      </c>
      <c r="AJ238" s="32">
        <f t="shared" si="4"/>
        <v>10</v>
      </c>
      <c r="AK238" s="32">
        <f t="shared" si="5"/>
        <v>10</v>
      </c>
      <c r="AL238" s="25">
        <f>'MASTER STOCK'!I235</f>
        <v>3000</v>
      </c>
      <c r="AM238" s="27">
        <f>'MASTER STOCK'!L235</f>
        <v>3000</v>
      </c>
      <c r="AN238" s="27">
        <f t="shared" si="6"/>
        <v>0</v>
      </c>
      <c r="AO238" s="26">
        <f t="shared" si="7"/>
        <v>0</v>
      </c>
      <c r="AP238" s="114">
        <f t="shared" si="8"/>
        <v>0</v>
      </c>
      <c r="AQ238" s="10"/>
    </row>
    <row r="239">
      <c r="A239" s="29" t="str">
        <f>'MASTER STOCK'!F236</f>
        <v>cutter joyko</v>
      </c>
      <c r="B239" s="30">
        <f>'NOV 25'!AJ:AJ</f>
        <v>3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23">
        <f t="shared" si="3"/>
        <v>0</v>
      </c>
      <c r="AI239" s="24">
        <v>0.0</v>
      </c>
      <c r="AJ239" s="32">
        <f t="shared" si="4"/>
        <v>3</v>
      </c>
      <c r="AK239" s="32">
        <f t="shared" si="5"/>
        <v>3</v>
      </c>
      <c r="AL239" s="25">
        <f>'MASTER STOCK'!I236</f>
        <v>5000</v>
      </c>
      <c r="AM239" s="27">
        <f>'MASTER STOCK'!L236</f>
        <v>5000</v>
      </c>
      <c r="AN239" s="27">
        <f t="shared" si="6"/>
        <v>0</v>
      </c>
      <c r="AO239" s="26">
        <f t="shared" si="7"/>
        <v>0</v>
      </c>
      <c r="AP239" s="114">
        <f t="shared" si="8"/>
        <v>0</v>
      </c>
      <c r="AQ239" s="10"/>
    </row>
    <row r="240">
      <c r="A240" s="29" t="str">
        <f>'MASTER STOCK'!F237</f>
        <v>tang</v>
      </c>
      <c r="B240" s="30">
        <f>'NOV 25'!AJ:AJ</f>
        <v>2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23">
        <f t="shared" si="3"/>
        <v>0</v>
      </c>
      <c r="AI240" s="24">
        <v>0.0</v>
      </c>
      <c r="AJ240" s="32">
        <f t="shared" si="4"/>
        <v>2</v>
      </c>
      <c r="AK240" s="32">
        <f t="shared" si="5"/>
        <v>2</v>
      </c>
      <c r="AL240" s="25">
        <f>'MASTER STOCK'!I237</f>
        <v>29500</v>
      </c>
      <c r="AM240" s="27">
        <f>'MASTER STOCK'!L237</f>
        <v>29500</v>
      </c>
      <c r="AN240" s="27">
        <f t="shared" si="6"/>
        <v>0</v>
      </c>
      <c r="AO240" s="26">
        <f t="shared" si="7"/>
        <v>0</v>
      </c>
      <c r="AP240" s="114">
        <f t="shared" si="8"/>
        <v>0</v>
      </c>
      <c r="AQ240" s="10"/>
    </row>
    <row r="241">
      <c r="A241" s="29" t="str">
        <f>'MASTER STOCK'!F238</f>
        <v>sarung tangan karet</v>
      </c>
      <c r="B241" s="30">
        <f>'NOV 25'!AJ:AJ</f>
        <v>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23">
        <f t="shared" si="3"/>
        <v>0</v>
      </c>
      <c r="AI241" s="24">
        <v>0.0</v>
      </c>
      <c r="AJ241" s="32">
        <f t="shared" si="4"/>
        <v>1</v>
      </c>
      <c r="AK241" s="32">
        <f t="shared" si="5"/>
        <v>1</v>
      </c>
      <c r="AL241" s="25">
        <f>'MASTER STOCK'!I238</f>
        <v>1600</v>
      </c>
      <c r="AM241" s="27">
        <f>'MASTER STOCK'!L238</f>
        <v>1600</v>
      </c>
      <c r="AN241" s="27">
        <f t="shared" si="6"/>
        <v>0</v>
      </c>
      <c r="AO241" s="26">
        <f t="shared" si="7"/>
        <v>0</v>
      </c>
      <c r="AP241" s="114">
        <f t="shared" si="8"/>
        <v>0</v>
      </c>
      <c r="AQ241" s="10"/>
    </row>
    <row r="242">
      <c r="A242" s="29" t="str">
        <f>'MASTER STOCK'!F239</f>
        <v>batrai panasonic 1,5 volt AAA</v>
      </c>
      <c r="B242" s="30">
        <f>'NOV 25'!AJ:AJ</f>
        <v>2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22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23">
        <f t="shared" si="3"/>
        <v>0</v>
      </c>
      <c r="AI242" s="24">
        <v>0.0</v>
      </c>
      <c r="AJ242" s="32">
        <f t="shared" si="4"/>
        <v>2</v>
      </c>
      <c r="AK242" s="32">
        <f t="shared" si="5"/>
        <v>2</v>
      </c>
      <c r="AL242" s="25">
        <f>'MASTER STOCK'!I239</f>
        <v>4500</v>
      </c>
      <c r="AM242" s="27">
        <f>'MASTER STOCK'!L239</f>
        <v>3000</v>
      </c>
      <c r="AN242" s="27">
        <f t="shared" si="6"/>
        <v>0</v>
      </c>
      <c r="AO242" s="26">
        <f t="shared" si="7"/>
        <v>0</v>
      </c>
      <c r="AP242" s="114">
        <f t="shared" si="8"/>
        <v>0</v>
      </c>
      <c r="AQ242" s="10"/>
    </row>
    <row r="243">
      <c r="A243" s="29" t="str">
        <f>'MASTER STOCK'!F240</f>
        <v>penggaris siku</v>
      </c>
      <c r="B243" s="30">
        <f>'NOV 25'!AJ:AJ</f>
        <v>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23">
        <f t="shared" si="3"/>
        <v>0</v>
      </c>
      <c r="AI243" s="24">
        <v>0.0</v>
      </c>
      <c r="AJ243" s="32">
        <f t="shared" si="4"/>
        <v>1</v>
      </c>
      <c r="AK243" s="32">
        <f t="shared" si="5"/>
        <v>1</v>
      </c>
      <c r="AL243" s="25">
        <f>'MASTER STOCK'!I240</f>
        <v>41500</v>
      </c>
      <c r="AM243" s="27">
        <f>'MASTER STOCK'!L240</f>
        <v>41500</v>
      </c>
      <c r="AN243" s="27">
        <f t="shared" si="6"/>
        <v>0</v>
      </c>
      <c r="AO243" s="26">
        <f t="shared" si="7"/>
        <v>0</v>
      </c>
      <c r="AP243" s="114">
        <f t="shared" si="8"/>
        <v>0</v>
      </c>
      <c r="AQ243" s="10"/>
    </row>
    <row r="244">
      <c r="A244" s="29" t="str">
        <f>'MASTER STOCK'!F241</f>
        <v>turbo cut 1,2 mm</v>
      </c>
      <c r="B244" s="30">
        <f>'NOV 25'!AJ:AJ</f>
        <v>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23">
        <f t="shared" si="3"/>
        <v>0</v>
      </c>
      <c r="AI244" s="24">
        <v>0.0</v>
      </c>
      <c r="AJ244" s="32">
        <f t="shared" si="4"/>
        <v>1</v>
      </c>
      <c r="AK244" s="32">
        <f t="shared" si="5"/>
        <v>1</v>
      </c>
      <c r="AL244" s="25">
        <f>'MASTER STOCK'!I241</f>
        <v>35000</v>
      </c>
      <c r="AM244" s="27">
        <f>'MASTER STOCK'!L241</f>
        <v>35000</v>
      </c>
      <c r="AN244" s="27">
        <f t="shared" si="6"/>
        <v>0</v>
      </c>
      <c r="AO244" s="26">
        <f t="shared" si="7"/>
        <v>0</v>
      </c>
      <c r="AP244" s="114">
        <f t="shared" si="8"/>
        <v>0</v>
      </c>
      <c r="AQ244" s="10"/>
    </row>
    <row r="245">
      <c r="A245" s="29" t="str">
        <f>'MASTER STOCK'!F242</f>
        <v>diamond cutting well</v>
      </c>
      <c r="B245" s="30">
        <f>'NOV 25'!AJ:AJ</f>
        <v>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23">
        <f t="shared" si="3"/>
        <v>0</v>
      </c>
      <c r="AI245" s="24">
        <v>0.0</v>
      </c>
      <c r="AJ245" s="32">
        <f t="shared" si="4"/>
        <v>1</v>
      </c>
      <c r="AK245" s="32">
        <f t="shared" si="5"/>
        <v>1</v>
      </c>
      <c r="AL245" s="25">
        <f>'MASTER STOCK'!I242</f>
        <v>35000</v>
      </c>
      <c r="AM245" s="27">
        <f>'MASTER STOCK'!L242</f>
        <v>35000</v>
      </c>
      <c r="AN245" s="27">
        <f t="shared" si="6"/>
        <v>0</v>
      </c>
      <c r="AO245" s="26">
        <f t="shared" si="7"/>
        <v>0</v>
      </c>
      <c r="AP245" s="114">
        <f t="shared" si="8"/>
        <v>0</v>
      </c>
      <c r="AQ245" s="10"/>
    </row>
    <row r="246">
      <c r="A246" s="29" t="str">
        <f>'MASTER STOCK'!F243</f>
        <v>paku 1 1/4</v>
      </c>
      <c r="B246" s="30">
        <f>'NOV 25'!AJ:AJ</f>
        <v>-0.65</v>
      </c>
      <c r="C246" s="10"/>
      <c r="D246" s="10"/>
      <c r="E246" s="22"/>
      <c r="F246" s="10"/>
      <c r="G246" s="10"/>
      <c r="H246" s="22"/>
      <c r="I246" s="10"/>
      <c r="J246" s="22"/>
      <c r="K246" s="10"/>
      <c r="L246" s="10"/>
      <c r="M246" s="22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22"/>
      <c r="AA246" s="10"/>
      <c r="AB246" s="10"/>
      <c r="AC246" s="10"/>
      <c r="AD246" s="10"/>
      <c r="AE246" s="10"/>
      <c r="AF246" s="10"/>
      <c r="AG246" s="10"/>
      <c r="AH246" s="23">
        <f t="shared" si="3"/>
        <v>0</v>
      </c>
      <c r="AI246" s="24">
        <v>0.0</v>
      </c>
      <c r="AJ246" s="32">
        <f t="shared" si="4"/>
        <v>-0.65</v>
      </c>
      <c r="AK246" s="32">
        <f t="shared" si="5"/>
        <v>-0.65</v>
      </c>
      <c r="AL246" s="25">
        <f>'MASTER STOCK'!I243</f>
        <v>25000</v>
      </c>
      <c r="AM246" s="27">
        <f>'MASTER STOCK'!L243</f>
        <v>25000</v>
      </c>
      <c r="AN246" s="27">
        <f t="shared" si="6"/>
        <v>0</v>
      </c>
      <c r="AO246" s="26">
        <f t="shared" si="7"/>
        <v>0</v>
      </c>
      <c r="AP246" s="114">
        <f t="shared" si="8"/>
        <v>0</v>
      </c>
      <c r="AQ246" s="10"/>
    </row>
    <row r="247">
      <c r="A247" s="29" t="str">
        <f>'MASTER STOCK'!F244</f>
        <v>siku  kecil</v>
      </c>
      <c r="B247" s="30">
        <f>'NOV 25'!AJ:AJ</f>
        <v>7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23">
        <f t="shared" si="3"/>
        <v>0</v>
      </c>
      <c r="AI247" s="24">
        <v>0.0</v>
      </c>
      <c r="AJ247" s="32">
        <f t="shared" si="4"/>
        <v>7</v>
      </c>
      <c r="AK247" s="32">
        <f t="shared" si="5"/>
        <v>7</v>
      </c>
      <c r="AL247" s="25">
        <f>'MASTER STOCK'!I244</f>
        <v>7500</v>
      </c>
      <c r="AM247" s="27">
        <f>'MASTER STOCK'!L244</f>
        <v>7500</v>
      </c>
      <c r="AN247" s="27">
        <f t="shared" si="6"/>
        <v>0</v>
      </c>
      <c r="AO247" s="26">
        <f t="shared" si="7"/>
        <v>0</v>
      </c>
      <c r="AP247" s="114">
        <f t="shared" si="8"/>
        <v>0</v>
      </c>
      <c r="AQ247" s="10"/>
    </row>
    <row r="248">
      <c r="A248" s="29" t="str">
        <f>'MASTER STOCK'!F245</f>
        <v>paku 6</v>
      </c>
      <c r="B248" s="30">
        <f>'NOV 25'!AJ:AJ</f>
        <v>-1.5</v>
      </c>
      <c r="C248" s="10"/>
      <c r="D248" s="10"/>
      <c r="E248" s="10"/>
      <c r="F248" s="10"/>
      <c r="G248" s="10"/>
      <c r="H248" s="10"/>
      <c r="I248" s="22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22"/>
      <c r="Z248" s="10"/>
      <c r="AA248" s="10"/>
      <c r="AB248" s="10"/>
      <c r="AC248" s="10"/>
      <c r="AD248" s="10"/>
      <c r="AE248" s="10"/>
      <c r="AF248" s="10"/>
      <c r="AG248" s="10"/>
      <c r="AH248" s="23">
        <f t="shared" si="3"/>
        <v>0</v>
      </c>
      <c r="AI248" s="24">
        <v>0.0</v>
      </c>
      <c r="AJ248" s="32">
        <f t="shared" si="4"/>
        <v>-1.5</v>
      </c>
      <c r="AK248" s="32">
        <f t="shared" si="5"/>
        <v>-1.5</v>
      </c>
      <c r="AL248" s="25">
        <f>'MASTER STOCK'!I245</f>
        <v>26000</v>
      </c>
      <c r="AM248" s="27">
        <f>'MASTER STOCK'!L245</f>
        <v>26000</v>
      </c>
      <c r="AN248" s="27">
        <f t="shared" si="6"/>
        <v>0</v>
      </c>
      <c r="AO248" s="26">
        <f t="shared" si="7"/>
        <v>0</v>
      </c>
      <c r="AP248" s="114">
        <f t="shared" si="8"/>
        <v>0</v>
      </c>
      <c r="AQ248" s="10"/>
    </row>
    <row r="249">
      <c r="A249" s="29" t="str">
        <f>'MASTER STOCK'!F246</f>
        <v>paku 4</v>
      </c>
      <c r="B249" s="30">
        <f>'NOV 25'!AJ:AJ</f>
        <v>4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22"/>
      <c r="Z249" s="10"/>
      <c r="AA249" s="10"/>
      <c r="AB249" s="10"/>
      <c r="AC249" s="10"/>
      <c r="AD249" s="10"/>
      <c r="AE249" s="10"/>
      <c r="AF249" s="10"/>
      <c r="AG249" s="10"/>
      <c r="AH249" s="23">
        <f t="shared" si="3"/>
        <v>0</v>
      </c>
      <c r="AI249" s="24">
        <v>0.0</v>
      </c>
      <c r="AJ249" s="32">
        <f t="shared" si="4"/>
        <v>4</v>
      </c>
      <c r="AK249" s="32">
        <f t="shared" si="5"/>
        <v>4</v>
      </c>
      <c r="AL249" s="25">
        <f>'MASTER STOCK'!I246</f>
        <v>2600</v>
      </c>
      <c r="AM249" s="27">
        <f>'MASTER STOCK'!L246</f>
        <v>2600</v>
      </c>
      <c r="AN249" s="27">
        <f t="shared" si="6"/>
        <v>0</v>
      </c>
      <c r="AO249" s="26">
        <f t="shared" si="7"/>
        <v>0</v>
      </c>
      <c r="AP249" s="114">
        <f t="shared" si="8"/>
        <v>0</v>
      </c>
      <c r="AQ249" s="10"/>
    </row>
    <row r="250">
      <c r="A250" s="29" t="str">
        <f>'MASTER STOCK'!F247</f>
        <v>kasutan /  trowel</v>
      </c>
      <c r="B250" s="30">
        <f>'NOV 25'!AJ:AJ</f>
        <v>4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23">
        <f t="shared" si="3"/>
        <v>0</v>
      </c>
      <c r="AI250" s="24">
        <v>0.0</v>
      </c>
      <c r="AJ250" s="32">
        <f t="shared" si="4"/>
        <v>4</v>
      </c>
      <c r="AK250" s="32">
        <f t="shared" si="5"/>
        <v>4</v>
      </c>
      <c r="AL250" s="25">
        <f>'MASTER STOCK'!I247</f>
        <v>13500</v>
      </c>
      <c r="AM250" s="27">
        <f>'MASTER STOCK'!L247</f>
        <v>13500</v>
      </c>
      <c r="AN250" s="27">
        <f t="shared" si="6"/>
        <v>0</v>
      </c>
      <c r="AO250" s="26">
        <f t="shared" si="7"/>
        <v>0</v>
      </c>
      <c r="AP250" s="114">
        <f t="shared" si="8"/>
        <v>0</v>
      </c>
      <c r="AQ250" s="10"/>
    </row>
    <row r="251">
      <c r="A251" s="29" t="str">
        <f>'MASTER STOCK'!F248</f>
        <v>kapi 3 dim</v>
      </c>
      <c r="B251" s="30">
        <f>'NOV 25'!AJ:AJ</f>
        <v>2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23">
        <f t="shared" si="3"/>
        <v>0</v>
      </c>
      <c r="AI251" s="24">
        <v>0.0</v>
      </c>
      <c r="AJ251" s="32">
        <f t="shared" si="4"/>
        <v>2</v>
      </c>
      <c r="AK251" s="32">
        <f t="shared" si="5"/>
        <v>2</v>
      </c>
      <c r="AL251" s="25">
        <f>'MASTER STOCK'!I248</f>
        <v>5500</v>
      </c>
      <c r="AM251" s="27">
        <f>'MASTER STOCK'!L248</f>
        <v>5500</v>
      </c>
      <c r="AN251" s="27">
        <f t="shared" si="6"/>
        <v>0</v>
      </c>
      <c r="AO251" s="26">
        <f t="shared" si="7"/>
        <v>0</v>
      </c>
      <c r="AP251" s="114">
        <f t="shared" si="8"/>
        <v>0</v>
      </c>
      <c r="AQ251" s="10"/>
    </row>
    <row r="252">
      <c r="A252" s="29" t="str">
        <f>'MASTER STOCK'!F249</f>
        <v>kapi 5 dim</v>
      </c>
      <c r="B252" s="30">
        <f>'NOV 25'!AJ:AJ</f>
        <v>3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23">
        <f t="shared" si="3"/>
        <v>0</v>
      </c>
      <c r="AI252" s="24">
        <v>0.0</v>
      </c>
      <c r="AJ252" s="32">
        <f t="shared" si="4"/>
        <v>3</v>
      </c>
      <c r="AK252" s="32">
        <f t="shared" si="5"/>
        <v>3</v>
      </c>
      <c r="AL252" s="25">
        <f>'MASTER STOCK'!I249</f>
        <v>7500</v>
      </c>
      <c r="AM252" s="27">
        <f>'MASTER STOCK'!L249</f>
        <v>7500</v>
      </c>
      <c r="AN252" s="27">
        <f t="shared" si="6"/>
        <v>0</v>
      </c>
      <c r="AO252" s="26">
        <f t="shared" si="7"/>
        <v>0</v>
      </c>
      <c r="AP252" s="114">
        <f t="shared" si="8"/>
        <v>0</v>
      </c>
      <c r="AQ252" s="10"/>
    </row>
    <row r="253">
      <c r="A253" s="29" t="str">
        <f>'MASTER STOCK'!F250</f>
        <v>cetok sukun hitam</v>
      </c>
      <c r="B253" s="30">
        <f>'NOV 25'!AJ:AJ</f>
        <v>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23">
        <f t="shared" si="3"/>
        <v>0</v>
      </c>
      <c r="AI253" s="24">
        <v>0.0</v>
      </c>
      <c r="AJ253" s="32">
        <f t="shared" si="4"/>
        <v>1</v>
      </c>
      <c r="AK253" s="32">
        <f t="shared" si="5"/>
        <v>1</v>
      </c>
      <c r="AL253" s="25">
        <f>'MASTER STOCK'!I250</f>
        <v>25000</v>
      </c>
      <c r="AM253" s="27">
        <f>'MASTER STOCK'!L250</f>
        <v>25000</v>
      </c>
      <c r="AN253" s="27">
        <f t="shared" si="6"/>
        <v>0</v>
      </c>
      <c r="AO253" s="26">
        <f t="shared" si="7"/>
        <v>0</v>
      </c>
      <c r="AP253" s="114">
        <f t="shared" si="8"/>
        <v>0</v>
      </c>
      <c r="AQ253" s="10"/>
    </row>
    <row r="254">
      <c r="A254" s="29" t="str">
        <f>'MASTER STOCK'!F251</f>
        <v>cetok sukun sedang</v>
      </c>
      <c r="B254" s="30">
        <f>'NOV 25'!AJ:AJ</f>
        <v>2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23">
        <f t="shared" si="3"/>
        <v>0</v>
      </c>
      <c r="AI254" s="24">
        <v>0.0</v>
      </c>
      <c r="AJ254" s="32">
        <f t="shared" si="4"/>
        <v>2</v>
      </c>
      <c r="AK254" s="32">
        <f t="shared" si="5"/>
        <v>2</v>
      </c>
      <c r="AL254" s="25">
        <f>'MASTER STOCK'!I251</f>
        <v>17000</v>
      </c>
      <c r="AM254" s="27">
        <f>'MASTER STOCK'!L251</f>
        <v>17000</v>
      </c>
      <c r="AN254" s="27">
        <f t="shared" si="6"/>
        <v>0</v>
      </c>
      <c r="AO254" s="26">
        <f t="shared" si="7"/>
        <v>0</v>
      </c>
      <c r="AP254" s="114">
        <f t="shared" si="8"/>
        <v>0</v>
      </c>
      <c r="AQ254" s="10"/>
    </row>
    <row r="255">
      <c r="A255" s="29" t="str">
        <f>'MASTER STOCK'!F252</f>
        <v>cetak sukun kecil</v>
      </c>
      <c r="B255" s="30">
        <f>'NOV 25'!AJ:AJ</f>
        <v>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23">
        <f t="shared" si="3"/>
        <v>0</v>
      </c>
      <c r="AI255" s="24">
        <v>0.0</v>
      </c>
      <c r="AJ255" s="32">
        <f t="shared" si="4"/>
        <v>1</v>
      </c>
      <c r="AK255" s="32">
        <f t="shared" si="5"/>
        <v>1</v>
      </c>
      <c r="AL255" s="25">
        <f>'MASTER STOCK'!I252</f>
        <v>14000</v>
      </c>
      <c r="AM255" s="27">
        <f>'MASTER STOCK'!L252</f>
        <v>14000</v>
      </c>
      <c r="AN255" s="27">
        <f t="shared" si="6"/>
        <v>0</v>
      </c>
      <c r="AO255" s="26">
        <f t="shared" si="7"/>
        <v>0</v>
      </c>
      <c r="AP255" s="114">
        <f t="shared" si="8"/>
        <v>0</v>
      </c>
      <c r="AQ255" s="10"/>
    </row>
    <row r="256">
      <c r="A256" s="29" t="str">
        <f>'MASTER STOCK'!F253</f>
        <v>paku payung</v>
      </c>
      <c r="B256" s="30">
        <f>'NOV 25'!AJ:AJ</f>
        <v>57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23">
        <f t="shared" si="3"/>
        <v>0</v>
      </c>
      <c r="AI256" s="24">
        <v>0.0</v>
      </c>
      <c r="AJ256" s="32">
        <f t="shared" si="4"/>
        <v>57</v>
      </c>
      <c r="AK256" s="32">
        <f t="shared" si="5"/>
        <v>57</v>
      </c>
      <c r="AL256" s="25">
        <f>'MASTER STOCK'!I253</f>
        <v>25000</v>
      </c>
      <c r="AM256" s="27">
        <f>'MASTER STOCK'!L253</f>
        <v>25000</v>
      </c>
      <c r="AN256" s="27">
        <f t="shared" si="6"/>
        <v>0</v>
      </c>
      <c r="AO256" s="26">
        <f t="shared" si="7"/>
        <v>0</v>
      </c>
      <c r="AP256" s="114">
        <f t="shared" si="8"/>
        <v>0</v>
      </c>
      <c r="AQ256" s="10"/>
    </row>
    <row r="257">
      <c r="A257" s="29" t="str">
        <f>'MASTER STOCK'!F254</f>
        <v>pinnes</v>
      </c>
      <c r="B257" s="30">
        <f>'NOV 25'!AJ:AJ</f>
        <v>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23">
        <f t="shared" si="3"/>
        <v>0</v>
      </c>
      <c r="AI257" s="24">
        <v>0.0</v>
      </c>
      <c r="AJ257" s="32">
        <f t="shared" si="4"/>
        <v>1</v>
      </c>
      <c r="AK257" s="32">
        <f t="shared" si="5"/>
        <v>1</v>
      </c>
      <c r="AL257" s="25">
        <f>'MASTER STOCK'!I254</f>
        <v>6000</v>
      </c>
      <c r="AM257" s="27">
        <f>'MASTER STOCK'!L254</f>
        <v>6000</v>
      </c>
      <c r="AN257" s="27">
        <f t="shared" si="6"/>
        <v>0</v>
      </c>
      <c r="AO257" s="26">
        <f t="shared" si="7"/>
        <v>0</v>
      </c>
      <c r="AP257" s="114">
        <f t="shared" si="8"/>
        <v>0</v>
      </c>
      <c r="AQ257" s="10"/>
    </row>
    <row r="258">
      <c r="A258" s="29" t="str">
        <f>'MASTER STOCK'!F255</f>
        <v>jaring kawat 1/2</v>
      </c>
      <c r="B258" s="30">
        <f>'NOV 25'!AJ:AJ</f>
        <v>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23">
        <f t="shared" si="3"/>
        <v>0</v>
      </c>
      <c r="AI258" s="24">
        <v>0.0</v>
      </c>
      <c r="AJ258" s="32">
        <f t="shared" si="4"/>
        <v>1</v>
      </c>
      <c r="AK258" s="32">
        <f t="shared" si="5"/>
        <v>1</v>
      </c>
      <c r="AL258" s="25">
        <f>'MASTER STOCK'!I255</f>
        <v>14000</v>
      </c>
      <c r="AM258" s="27">
        <f>'MASTER STOCK'!L255</f>
        <v>14000</v>
      </c>
      <c r="AN258" s="27">
        <f t="shared" si="6"/>
        <v>0</v>
      </c>
      <c r="AO258" s="26">
        <f t="shared" si="7"/>
        <v>0</v>
      </c>
      <c r="AP258" s="114">
        <f t="shared" si="8"/>
        <v>0</v>
      </c>
      <c r="AQ258" s="10"/>
    </row>
    <row r="259">
      <c r="A259" s="29" t="str">
        <f>'MASTER STOCK'!F256</f>
        <v>jaring kawat 1/4</v>
      </c>
      <c r="B259" s="30">
        <f>'NOV 25'!AJ:AJ</f>
        <v>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23">
        <f t="shared" si="3"/>
        <v>0</v>
      </c>
      <c r="AI259" s="24">
        <v>0.0</v>
      </c>
      <c r="AJ259" s="32">
        <f t="shared" si="4"/>
        <v>1</v>
      </c>
      <c r="AK259" s="32">
        <f t="shared" si="5"/>
        <v>1</v>
      </c>
      <c r="AL259" s="25">
        <f>'MASTER STOCK'!I256</f>
        <v>15000</v>
      </c>
      <c r="AM259" s="27">
        <f>'MASTER STOCK'!L256</f>
        <v>15000</v>
      </c>
      <c r="AN259" s="27">
        <f t="shared" si="6"/>
        <v>0</v>
      </c>
      <c r="AO259" s="26">
        <f t="shared" si="7"/>
        <v>0</v>
      </c>
      <c r="AP259" s="114">
        <f t="shared" si="8"/>
        <v>0</v>
      </c>
      <c r="AQ259" s="10"/>
    </row>
    <row r="260">
      <c r="A260" s="29" t="str">
        <f>'MASTER STOCK'!F257</f>
        <v>lampu kepala</v>
      </c>
      <c r="B260" s="30">
        <f>'NOV 25'!AJ:AJ</f>
        <v>4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23">
        <f t="shared" si="3"/>
        <v>0</v>
      </c>
      <c r="AI260" s="24">
        <v>0.0</v>
      </c>
      <c r="AJ260" s="32">
        <f t="shared" si="4"/>
        <v>4</v>
      </c>
      <c r="AK260" s="32">
        <f t="shared" si="5"/>
        <v>4</v>
      </c>
      <c r="AL260" s="25">
        <f>'MASTER STOCK'!I257</f>
        <v>31500</v>
      </c>
      <c r="AM260" s="27">
        <f>'MASTER STOCK'!L257</f>
        <v>31500</v>
      </c>
      <c r="AN260" s="27">
        <f t="shared" si="6"/>
        <v>0</v>
      </c>
      <c r="AO260" s="26">
        <f t="shared" si="7"/>
        <v>0</v>
      </c>
      <c r="AP260" s="114">
        <f t="shared" si="8"/>
        <v>0</v>
      </c>
      <c r="AQ260" s="10"/>
    </row>
    <row r="261">
      <c r="A261" s="29" t="str">
        <f>'MASTER STOCK'!F258</f>
        <v>lampu led muxindo 25 watt</v>
      </c>
      <c r="B261" s="30">
        <f>'NOV 25'!AJ:AJ</f>
        <v>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23">
        <f t="shared" si="3"/>
        <v>0</v>
      </c>
      <c r="AI261" s="24">
        <v>0.0</v>
      </c>
      <c r="AJ261" s="32">
        <f t="shared" si="4"/>
        <v>1</v>
      </c>
      <c r="AK261" s="32">
        <f t="shared" si="5"/>
        <v>1</v>
      </c>
      <c r="AL261" s="25">
        <f>'MASTER STOCK'!I258</f>
        <v>25000</v>
      </c>
      <c r="AM261" s="27">
        <f>'MASTER STOCK'!L258</f>
        <v>25000</v>
      </c>
      <c r="AN261" s="27">
        <f t="shared" si="6"/>
        <v>0</v>
      </c>
      <c r="AO261" s="26">
        <f t="shared" si="7"/>
        <v>0</v>
      </c>
      <c r="AP261" s="114">
        <f t="shared" si="8"/>
        <v>0</v>
      </c>
      <c r="AQ261" s="10"/>
    </row>
    <row r="262">
      <c r="A262" s="29" t="str">
        <f>'MASTER STOCK'!F259</f>
        <v>lampu hemat  5 watt</v>
      </c>
      <c r="B262" s="30">
        <f>'NOV 25'!AJ:AJ</f>
        <v>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22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23">
        <f t="shared" si="3"/>
        <v>0</v>
      </c>
      <c r="AI262" s="24">
        <v>0.0</v>
      </c>
      <c r="AJ262" s="32">
        <f t="shared" si="4"/>
        <v>1</v>
      </c>
      <c r="AK262" s="32">
        <f t="shared" si="5"/>
        <v>1</v>
      </c>
      <c r="AL262" s="25">
        <f>'MASTER STOCK'!I259</f>
        <v>6000</v>
      </c>
      <c r="AM262" s="27">
        <f>'MASTER STOCK'!L259</f>
        <v>7000</v>
      </c>
      <c r="AN262" s="27">
        <f t="shared" si="6"/>
        <v>0</v>
      </c>
      <c r="AO262" s="26">
        <f t="shared" si="7"/>
        <v>0</v>
      </c>
      <c r="AP262" s="114">
        <f t="shared" si="8"/>
        <v>0</v>
      </c>
      <c r="AQ262" s="10"/>
    </row>
    <row r="263">
      <c r="A263" s="29" t="str">
        <f>'MASTER STOCK'!F260</f>
        <v>skrup atap  sedang</v>
      </c>
      <c r="B263" s="30">
        <f>'NOV 25'!AJ:AJ</f>
        <v>20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23">
        <f t="shared" si="3"/>
        <v>0</v>
      </c>
      <c r="AI263" s="24">
        <v>0.0</v>
      </c>
      <c r="AJ263" s="32">
        <f t="shared" si="4"/>
        <v>20</v>
      </c>
      <c r="AK263" s="32">
        <f t="shared" si="5"/>
        <v>20</v>
      </c>
      <c r="AL263" s="25">
        <f>'MASTER STOCK'!I260</f>
        <v>0</v>
      </c>
      <c r="AM263" s="27">
        <f>'MASTER STOCK'!L260</f>
        <v>0</v>
      </c>
      <c r="AN263" s="27">
        <f t="shared" si="6"/>
        <v>0</v>
      </c>
      <c r="AO263" s="26">
        <f t="shared" si="7"/>
        <v>0</v>
      </c>
      <c r="AP263" s="114">
        <f t="shared" si="8"/>
        <v>0</v>
      </c>
      <c r="AQ263" s="10"/>
    </row>
    <row r="264">
      <c r="A264" s="29" t="str">
        <f>'MASTER STOCK'!F261</f>
        <v>waseo led panel 3+3w</v>
      </c>
      <c r="B264" s="30">
        <f>'NOV 25'!AJ:AJ</f>
        <v>2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23">
        <f t="shared" si="3"/>
        <v>0</v>
      </c>
      <c r="AI264" s="24">
        <v>0.0</v>
      </c>
      <c r="AJ264" s="32">
        <f t="shared" si="4"/>
        <v>2</v>
      </c>
      <c r="AK264" s="32">
        <f t="shared" si="5"/>
        <v>2</v>
      </c>
      <c r="AL264" s="25">
        <f>'MASTER STOCK'!I261</f>
        <v>23000</v>
      </c>
      <c r="AM264" s="27">
        <f>'MASTER STOCK'!L261</f>
        <v>23000</v>
      </c>
      <c r="AN264" s="27">
        <f t="shared" si="6"/>
        <v>0</v>
      </c>
      <c r="AO264" s="26">
        <f t="shared" si="7"/>
        <v>0</v>
      </c>
      <c r="AP264" s="114">
        <f t="shared" si="8"/>
        <v>0</v>
      </c>
      <c r="AQ264" s="10"/>
    </row>
    <row r="265">
      <c r="A265" s="29" t="str">
        <f>'MASTER STOCK'!F262</f>
        <v>distribution box</v>
      </c>
      <c r="B265" s="30">
        <f>'NOV 25'!AJ:AJ</f>
        <v>2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23">
        <f t="shared" si="3"/>
        <v>0</v>
      </c>
      <c r="AI265" s="24">
        <v>0.0</v>
      </c>
      <c r="AJ265" s="32">
        <f t="shared" si="4"/>
        <v>2</v>
      </c>
      <c r="AK265" s="32">
        <f t="shared" si="5"/>
        <v>2</v>
      </c>
      <c r="AL265" s="25">
        <f>'MASTER STOCK'!I262</f>
        <v>15000</v>
      </c>
      <c r="AM265" s="27">
        <f>'MASTER STOCK'!L262</f>
        <v>15000</v>
      </c>
      <c r="AN265" s="27">
        <f t="shared" si="6"/>
        <v>0</v>
      </c>
      <c r="AO265" s="26">
        <f t="shared" si="7"/>
        <v>0</v>
      </c>
      <c r="AP265" s="114">
        <f t="shared" si="8"/>
        <v>0</v>
      </c>
      <c r="AQ265" s="10"/>
    </row>
    <row r="266">
      <c r="A266" s="29" t="str">
        <f>'MASTER STOCK'!F263</f>
        <v>skrup kecil</v>
      </c>
      <c r="B266" s="30">
        <f>'NOV 25'!AJ:AJ</f>
        <v>10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23">
        <f t="shared" si="3"/>
        <v>0</v>
      </c>
      <c r="AI266" s="24">
        <v>0.0</v>
      </c>
      <c r="AJ266" s="32">
        <f t="shared" si="4"/>
        <v>10</v>
      </c>
      <c r="AK266" s="32">
        <f t="shared" si="5"/>
        <v>10</v>
      </c>
      <c r="AL266" s="25">
        <f>'MASTER STOCK'!I263</f>
        <v>0</v>
      </c>
      <c r="AM266" s="27">
        <f>'MASTER STOCK'!L263</f>
        <v>0</v>
      </c>
      <c r="AN266" s="27">
        <f t="shared" si="6"/>
        <v>0</v>
      </c>
      <c r="AO266" s="26">
        <f t="shared" si="7"/>
        <v>0</v>
      </c>
      <c r="AP266" s="114">
        <f t="shared" si="8"/>
        <v>0</v>
      </c>
      <c r="AQ266" s="10"/>
    </row>
    <row r="267">
      <c r="A267" s="29" t="str">
        <f>'MASTER STOCK'!F264</f>
        <v>skrup besar</v>
      </c>
      <c r="B267" s="30">
        <f>'NOV 25'!AJ:AJ</f>
        <v>41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23">
        <f t="shared" si="3"/>
        <v>0</v>
      </c>
      <c r="AI267" s="24">
        <v>0.0</v>
      </c>
      <c r="AJ267" s="32">
        <f t="shared" si="4"/>
        <v>41</v>
      </c>
      <c r="AK267" s="32">
        <f t="shared" si="5"/>
        <v>41</v>
      </c>
      <c r="AL267" s="25">
        <f>'MASTER STOCK'!I264</f>
        <v>0</v>
      </c>
      <c r="AM267" s="27">
        <f>'MASTER STOCK'!L264</f>
        <v>0</v>
      </c>
      <c r="AN267" s="27">
        <f t="shared" si="6"/>
        <v>0</v>
      </c>
      <c r="AO267" s="26">
        <f t="shared" si="7"/>
        <v>0</v>
      </c>
      <c r="AP267" s="114">
        <f t="shared" si="8"/>
        <v>0</v>
      </c>
      <c r="AQ267" s="10"/>
    </row>
    <row r="268">
      <c r="A268" s="29" t="str">
        <f>'MASTER STOCK'!F265</f>
        <v>floor stainer plastik</v>
      </c>
      <c r="B268" s="30">
        <f>'NOV 25'!AJ:AJ</f>
        <v>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23">
        <f t="shared" si="3"/>
        <v>0</v>
      </c>
      <c r="AI268" s="24">
        <v>0.0</v>
      </c>
      <c r="AJ268" s="32">
        <f t="shared" si="4"/>
        <v>1</v>
      </c>
      <c r="AK268" s="32">
        <f t="shared" si="5"/>
        <v>1</v>
      </c>
      <c r="AL268" s="25">
        <f>'MASTER STOCK'!I265</f>
        <v>24000</v>
      </c>
      <c r="AM268" s="27">
        <f>'MASTER STOCK'!L265</f>
        <v>24000</v>
      </c>
      <c r="AN268" s="27">
        <f t="shared" si="6"/>
        <v>0</v>
      </c>
      <c r="AO268" s="26">
        <f t="shared" si="7"/>
        <v>0</v>
      </c>
      <c r="AP268" s="114">
        <f t="shared" si="8"/>
        <v>0</v>
      </c>
      <c r="AQ268" s="10"/>
    </row>
    <row r="269">
      <c r="A269" s="29" t="str">
        <f>'MASTER STOCK'!F266</f>
        <v>skrup atap  kecil</v>
      </c>
      <c r="B269" s="30">
        <f>'NOV 25'!AJ:AJ</f>
        <v>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23">
        <f t="shared" si="3"/>
        <v>0</v>
      </c>
      <c r="AI269" s="24">
        <v>0.0</v>
      </c>
      <c r="AJ269" s="32">
        <f t="shared" si="4"/>
        <v>1</v>
      </c>
      <c r="AK269" s="32">
        <f t="shared" si="5"/>
        <v>1</v>
      </c>
      <c r="AL269" s="25">
        <f>'MASTER STOCK'!I266</f>
        <v>0</v>
      </c>
      <c r="AM269" s="27">
        <f>'MASTER STOCK'!L266</f>
        <v>0</v>
      </c>
      <c r="AN269" s="27">
        <f t="shared" si="6"/>
        <v>0</v>
      </c>
      <c r="AO269" s="26">
        <f t="shared" si="7"/>
        <v>0</v>
      </c>
      <c r="AP269" s="114">
        <f t="shared" si="8"/>
        <v>0</v>
      </c>
      <c r="AQ269" s="10"/>
    </row>
    <row r="270">
      <c r="A270" s="29" t="str">
        <f>'MASTER STOCK'!F267</f>
        <v>lampu led</v>
      </c>
      <c r="B270" s="30">
        <f>'NOV 25'!AJ:AJ</f>
        <v>10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23">
        <f t="shared" si="3"/>
        <v>0</v>
      </c>
      <c r="AI270" s="24">
        <v>0.0</v>
      </c>
      <c r="AJ270" s="32">
        <f t="shared" si="4"/>
        <v>10</v>
      </c>
      <c r="AK270" s="32">
        <f t="shared" si="5"/>
        <v>10</v>
      </c>
      <c r="AL270" s="25">
        <f>'MASTER STOCK'!I267</f>
        <v>11000</v>
      </c>
      <c r="AM270" s="27">
        <f>'MASTER STOCK'!L267</f>
        <v>11000</v>
      </c>
      <c r="AN270" s="27">
        <f t="shared" si="6"/>
        <v>0</v>
      </c>
      <c r="AO270" s="26">
        <f t="shared" si="7"/>
        <v>0</v>
      </c>
      <c r="AP270" s="114">
        <f t="shared" si="8"/>
        <v>0</v>
      </c>
      <c r="AQ270" s="10"/>
    </row>
    <row r="271">
      <c r="A271" s="29" t="str">
        <f>'MASTER STOCK'!F268</f>
        <v>waterpres magnet (alat ukur)</v>
      </c>
      <c r="B271" s="30">
        <f>'NOV 25'!AJ:AJ</f>
        <v>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23">
        <f t="shared" si="3"/>
        <v>0</v>
      </c>
      <c r="AI271" s="24">
        <v>0.0</v>
      </c>
      <c r="AJ271" s="32">
        <f t="shared" si="4"/>
        <v>1</v>
      </c>
      <c r="AK271" s="32">
        <f t="shared" si="5"/>
        <v>1</v>
      </c>
      <c r="AL271" s="25">
        <f>'MASTER STOCK'!I268</f>
        <v>33000</v>
      </c>
      <c r="AM271" s="27">
        <f>'MASTER STOCK'!L268</f>
        <v>33000</v>
      </c>
      <c r="AN271" s="27">
        <f t="shared" si="6"/>
        <v>0</v>
      </c>
      <c r="AO271" s="26">
        <f t="shared" si="7"/>
        <v>0</v>
      </c>
      <c r="AP271" s="114">
        <f t="shared" si="8"/>
        <v>0</v>
      </c>
      <c r="AQ271" s="10"/>
    </row>
    <row r="272">
      <c r="A272" s="29" t="str">
        <f>'MASTER STOCK'!F269</f>
        <v>round kabel klip 6 mm</v>
      </c>
      <c r="B272" s="30">
        <f>'NOV 25'!AJ:AJ</f>
        <v>15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23">
        <f t="shared" si="3"/>
        <v>0</v>
      </c>
      <c r="AI272" s="24">
        <v>0.0</v>
      </c>
      <c r="AJ272" s="32">
        <f t="shared" si="4"/>
        <v>15</v>
      </c>
      <c r="AK272" s="32">
        <f t="shared" si="5"/>
        <v>15</v>
      </c>
      <c r="AL272" s="25">
        <f>'MASTER STOCK'!I269</f>
        <v>2000</v>
      </c>
      <c r="AM272" s="27">
        <f>'MASTER STOCK'!L269</f>
        <v>2000</v>
      </c>
      <c r="AN272" s="27">
        <f t="shared" si="6"/>
        <v>0</v>
      </c>
      <c r="AO272" s="26">
        <f t="shared" si="7"/>
        <v>0</v>
      </c>
      <c r="AP272" s="114">
        <f t="shared" si="8"/>
        <v>0</v>
      </c>
      <c r="AQ272" s="10"/>
    </row>
    <row r="273">
      <c r="A273" s="29" t="str">
        <f>'MASTER STOCK'!F270</f>
        <v>round kabel klip 7 mm</v>
      </c>
      <c r="B273" s="30">
        <f>'NOV 25'!AJ:AJ</f>
        <v>4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22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23">
        <f t="shared" si="3"/>
        <v>0</v>
      </c>
      <c r="AI273" s="24">
        <v>0.0</v>
      </c>
      <c r="AJ273" s="32">
        <f t="shared" si="4"/>
        <v>4</v>
      </c>
      <c r="AK273" s="32">
        <f t="shared" si="5"/>
        <v>4</v>
      </c>
      <c r="AL273" s="25">
        <f>'MASTER STOCK'!I270</f>
        <v>2000</v>
      </c>
      <c r="AM273" s="27">
        <f>'MASTER STOCK'!L270</f>
        <v>2000</v>
      </c>
      <c r="AN273" s="27">
        <f t="shared" si="6"/>
        <v>0</v>
      </c>
      <c r="AO273" s="26">
        <f t="shared" si="7"/>
        <v>0</v>
      </c>
      <c r="AP273" s="114">
        <f t="shared" si="8"/>
        <v>0</v>
      </c>
      <c r="AQ273" s="10"/>
    </row>
    <row r="274">
      <c r="A274" s="29" t="str">
        <f>'MASTER STOCK'!F271</f>
        <v>round kabel klip 9 mm</v>
      </c>
      <c r="B274" s="30">
        <f>'NOV 25'!AJ:AJ</f>
        <v>12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23">
        <f t="shared" si="3"/>
        <v>0</v>
      </c>
      <c r="AI274" s="24">
        <v>0.0</v>
      </c>
      <c r="AJ274" s="32">
        <f t="shared" si="4"/>
        <v>12</v>
      </c>
      <c r="AK274" s="32">
        <f t="shared" si="5"/>
        <v>12</v>
      </c>
      <c r="AL274" s="25">
        <f>'MASTER STOCK'!I271</f>
        <v>2500</v>
      </c>
      <c r="AM274" s="27">
        <f>'MASTER STOCK'!L271</f>
        <v>2500</v>
      </c>
      <c r="AN274" s="27">
        <f t="shared" si="6"/>
        <v>0</v>
      </c>
      <c r="AO274" s="26">
        <f t="shared" si="7"/>
        <v>0</v>
      </c>
      <c r="AP274" s="114">
        <f t="shared" si="8"/>
        <v>0</v>
      </c>
      <c r="AQ274" s="10"/>
    </row>
    <row r="275">
      <c r="A275" s="29" t="str">
        <f>'MASTER STOCK'!F272</f>
        <v>round kabel klip 10 mm</v>
      </c>
      <c r="B275" s="30">
        <f>'NOV 25'!AJ:AJ</f>
        <v>16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23">
        <f t="shared" si="3"/>
        <v>0</v>
      </c>
      <c r="AI275" s="24">
        <v>0.0</v>
      </c>
      <c r="AJ275" s="32">
        <f t="shared" si="4"/>
        <v>16</v>
      </c>
      <c r="AK275" s="32">
        <f t="shared" si="5"/>
        <v>16</v>
      </c>
      <c r="AL275" s="25">
        <f>'MASTER STOCK'!I272</f>
        <v>2500</v>
      </c>
      <c r="AM275" s="27">
        <f>'MASTER STOCK'!L272</f>
        <v>2500</v>
      </c>
      <c r="AN275" s="27">
        <f t="shared" si="6"/>
        <v>0</v>
      </c>
      <c r="AO275" s="26">
        <f t="shared" si="7"/>
        <v>0</v>
      </c>
      <c r="AP275" s="114">
        <f t="shared" si="8"/>
        <v>0</v>
      </c>
      <c r="AQ275" s="10"/>
    </row>
    <row r="276">
      <c r="A276" s="29" t="str">
        <f>'MASTER STOCK'!F273</f>
        <v>floor stainer stainless</v>
      </c>
      <c r="B276" s="30">
        <f>'NOV 25'!AJ:AJ</f>
        <v>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23">
        <f t="shared" si="3"/>
        <v>0</v>
      </c>
      <c r="AI276" s="24">
        <v>0.0</v>
      </c>
      <c r="AJ276" s="32">
        <f t="shared" si="4"/>
        <v>1</v>
      </c>
      <c r="AK276" s="32">
        <f t="shared" si="5"/>
        <v>1</v>
      </c>
      <c r="AL276" s="25">
        <f>'MASTER STOCK'!I273</f>
        <v>24000</v>
      </c>
      <c r="AM276" s="27">
        <f>'MASTER STOCK'!L273</f>
        <v>24000</v>
      </c>
      <c r="AN276" s="27">
        <f t="shared" si="6"/>
        <v>0</v>
      </c>
      <c r="AO276" s="26">
        <f t="shared" si="7"/>
        <v>0</v>
      </c>
      <c r="AP276" s="114">
        <f t="shared" si="8"/>
        <v>0</v>
      </c>
      <c r="AQ276" s="10"/>
    </row>
    <row r="277">
      <c r="A277" s="29" t="str">
        <f>'MASTER STOCK'!F274</f>
        <v>amplass bunder</v>
      </c>
      <c r="B277" s="30">
        <f>'NOV 25'!AJ:AJ</f>
        <v>8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23">
        <f t="shared" si="3"/>
        <v>0</v>
      </c>
      <c r="AI277" s="24">
        <v>0.0</v>
      </c>
      <c r="AJ277" s="32">
        <f t="shared" si="4"/>
        <v>8</v>
      </c>
      <c r="AK277" s="32">
        <f t="shared" si="5"/>
        <v>8</v>
      </c>
      <c r="AL277" s="25">
        <f>'MASTER STOCK'!I274</f>
        <v>2500</v>
      </c>
      <c r="AM277" s="27">
        <f>'MASTER STOCK'!L274</f>
        <v>2500</v>
      </c>
      <c r="AN277" s="27">
        <f t="shared" si="6"/>
        <v>0</v>
      </c>
      <c r="AO277" s="26">
        <f t="shared" si="7"/>
        <v>0</v>
      </c>
      <c r="AP277" s="114">
        <f t="shared" si="8"/>
        <v>0</v>
      </c>
      <c r="AQ277" s="10"/>
    </row>
    <row r="278">
      <c r="A278" s="29" t="str">
        <f>'MASTER STOCK'!F275</f>
        <v>paku beton 1 1/2</v>
      </c>
      <c r="B278" s="30">
        <f>'NOV 25'!AJ:AJ</f>
        <v>2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23">
        <f t="shared" si="3"/>
        <v>0</v>
      </c>
      <c r="AI278" s="24">
        <v>0.0</v>
      </c>
      <c r="AJ278" s="32">
        <f t="shared" si="4"/>
        <v>2</v>
      </c>
      <c r="AK278" s="32">
        <f t="shared" si="5"/>
        <v>2</v>
      </c>
      <c r="AL278" s="25">
        <f>'MASTER STOCK'!I275</f>
        <v>14000</v>
      </c>
      <c r="AM278" s="27">
        <f>'MASTER STOCK'!L275</f>
        <v>14000</v>
      </c>
      <c r="AN278" s="27">
        <f t="shared" si="6"/>
        <v>0</v>
      </c>
      <c r="AO278" s="26">
        <f t="shared" si="7"/>
        <v>0</v>
      </c>
      <c r="AP278" s="114">
        <f t="shared" si="8"/>
        <v>0</v>
      </c>
      <c r="AQ278" s="10"/>
    </row>
    <row r="279">
      <c r="A279" s="29" t="str">
        <f>'MASTER STOCK'!F276</f>
        <v>tusen klep air</v>
      </c>
      <c r="B279" s="30">
        <f>'NOV 25'!AJ:AJ</f>
        <v>4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23">
        <f t="shared" si="3"/>
        <v>0</v>
      </c>
      <c r="AI279" s="24">
        <v>0.0</v>
      </c>
      <c r="AJ279" s="32">
        <f t="shared" si="4"/>
        <v>4</v>
      </c>
      <c r="AK279" s="32">
        <f t="shared" si="5"/>
        <v>4</v>
      </c>
      <c r="AL279" s="25">
        <f>'MASTER STOCK'!I276</f>
        <v>0</v>
      </c>
      <c r="AM279" s="27">
        <f>'MASTER STOCK'!L276</f>
        <v>0</v>
      </c>
      <c r="AN279" s="27">
        <f t="shared" si="6"/>
        <v>0</v>
      </c>
      <c r="AO279" s="26">
        <f t="shared" si="7"/>
        <v>0</v>
      </c>
      <c r="AP279" s="114">
        <f t="shared" si="8"/>
        <v>0</v>
      </c>
      <c r="AQ279" s="10"/>
    </row>
    <row r="280">
      <c r="A280" s="29" t="str">
        <f>'MASTER STOCK'!F277</f>
        <v>saringan plastik biasa</v>
      </c>
      <c r="B280" s="30">
        <f>'NOV 25'!AJ:AJ</f>
        <v>3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23">
        <f t="shared" si="3"/>
        <v>0</v>
      </c>
      <c r="AI280" s="24">
        <v>0.0</v>
      </c>
      <c r="AJ280" s="32">
        <f t="shared" si="4"/>
        <v>3</v>
      </c>
      <c r="AK280" s="32">
        <f t="shared" si="5"/>
        <v>3</v>
      </c>
      <c r="AL280" s="25">
        <f>'MASTER STOCK'!I277</f>
        <v>12000</v>
      </c>
      <c r="AM280" s="27">
        <f>'MASTER STOCK'!L277</f>
        <v>12000</v>
      </c>
      <c r="AN280" s="27">
        <f t="shared" si="6"/>
        <v>0</v>
      </c>
      <c r="AO280" s="26">
        <f t="shared" si="7"/>
        <v>0</v>
      </c>
      <c r="AP280" s="114">
        <f t="shared" si="8"/>
        <v>0</v>
      </c>
      <c r="AQ280" s="10"/>
    </row>
    <row r="281">
      <c r="A281" s="29" t="str">
        <f>'MASTER STOCK'!F278</f>
        <v>kuas  2</v>
      </c>
      <c r="B281" s="30">
        <f>'NOV 25'!AJ:AJ</f>
        <v>2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23">
        <f t="shared" si="3"/>
        <v>0</v>
      </c>
      <c r="AI281" s="24">
        <v>0.0</v>
      </c>
      <c r="AJ281" s="32">
        <f t="shared" si="4"/>
        <v>2</v>
      </c>
      <c r="AK281" s="32">
        <f t="shared" si="5"/>
        <v>2</v>
      </c>
      <c r="AL281" s="25">
        <f>'MASTER STOCK'!I278</f>
        <v>8000</v>
      </c>
      <c r="AM281" s="27">
        <f>'MASTER STOCK'!L278</f>
        <v>8000</v>
      </c>
      <c r="AN281" s="27">
        <f t="shared" si="6"/>
        <v>0</v>
      </c>
      <c r="AO281" s="26">
        <f t="shared" si="7"/>
        <v>0</v>
      </c>
      <c r="AP281" s="114">
        <f t="shared" si="8"/>
        <v>0</v>
      </c>
      <c r="AQ281" s="10"/>
    </row>
    <row r="282">
      <c r="A282" s="29" t="str">
        <f>'MASTER STOCK'!F279</f>
        <v>afur hpp</v>
      </c>
      <c r="B282" s="30">
        <f>'NOV 25'!AJ:AJ</f>
        <v>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23">
        <f t="shared" si="3"/>
        <v>0</v>
      </c>
      <c r="AI282" s="24">
        <v>0.0</v>
      </c>
      <c r="AJ282" s="32">
        <f t="shared" si="4"/>
        <v>1</v>
      </c>
      <c r="AK282" s="32">
        <f t="shared" si="5"/>
        <v>1</v>
      </c>
      <c r="AL282" s="25">
        <f>'MASTER STOCK'!I279</f>
        <v>27000</v>
      </c>
      <c r="AM282" s="27">
        <f>'MASTER STOCK'!L279</f>
        <v>27000</v>
      </c>
      <c r="AN282" s="27">
        <f t="shared" si="6"/>
        <v>0</v>
      </c>
      <c r="AO282" s="26">
        <f t="shared" si="7"/>
        <v>0</v>
      </c>
      <c r="AP282" s="114">
        <f t="shared" si="8"/>
        <v>0</v>
      </c>
      <c r="AQ282" s="10"/>
    </row>
    <row r="283">
      <c r="A283" s="29" t="str">
        <f>'MASTER STOCK'!F280</f>
        <v>afur klasik</v>
      </c>
      <c r="B283" s="30">
        <f>'NOV 25'!AJ:AJ</f>
        <v>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23">
        <f t="shared" si="3"/>
        <v>0</v>
      </c>
      <c r="AI283" s="24">
        <v>0.0</v>
      </c>
      <c r="AJ283" s="32">
        <f t="shared" si="4"/>
        <v>1</v>
      </c>
      <c r="AK283" s="32">
        <f t="shared" si="5"/>
        <v>1</v>
      </c>
      <c r="AL283" s="25">
        <f>'MASTER STOCK'!I280</f>
        <v>32000</v>
      </c>
      <c r="AM283" s="27">
        <f>'MASTER STOCK'!L280</f>
        <v>32000</v>
      </c>
      <c r="AN283" s="27">
        <f t="shared" si="6"/>
        <v>0</v>
      </c>
      <c r="AO283" s="26">
        <f t="shared" si="7"/>
        <v>0</v>
      </c>
      <c r="AP283" s="114">
        <f t="shared" si="8"/>
        <v>0</v>
      </c>
      <c r="AQ283" s="10"/>
    </row>
    <row r="284">
      <c r="A284" s="29" t="str">
        <f>'MASTER STOCK'!F281</f>
        <v>kuas cat garis</v>
      </c>
      <c r="B284" s="30">
        <f>'NOV 25'!AJ:AJ</f>
        <v>4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23">
        <f t="shared" si="3"/>
        <v>0</v>
      </c>
      <c r="AI284" s="24">
        <v>0.0</v>
      </c>
      <c r="AJ284" s="32">
        <f t="shared" si="4"/>
        <v>4</v>
      </c>
      <c r="AK284" s="32">
        <f t="shared" si="5"/>
        <v>4</v>
      </c>
      <c r="AL284" s="25">
        <f>'MASTER STOCK'!I281</f>
        <v>9000</v>
      </c>
      <c r="AM284" s="27">
        <f>'MASTER STOCK'!L281</f>
        <v>9000</v>
      </c>
      <c r="AN284" s="27">
        <f t="shared" si="6"/>
        <v>0</v>
      </c>
      <c r="AO284" s="26">
        <f t="shared" si="7"/>
        <v>0</v>
      </c>
      <c r="AP284" s="114">
        <f t="shared" si="8"/>
        <v>0</v>
      </c>
      <c r="AQ284" s="10"/>
    </row>
    <row r="285">
      <c r="A285" s="29" t="str">
        <f>'MASTER STOCK'!F282</f>
        <v>pilox</v>
      </c>
      <c r="B285" s="30">
        <f>'NOV 25'!AJ:AJ</f>
        <v>4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23">
        <f t="shared" si="3"/>
        <v>0</v>
      </c>
      <c r="AI285" s="24">
        <v>0.0</v>
      </c>
      <c r="AJ285" s="32">
        <f t="shared" si="4"/>
        <v>4</v>
      </c>
      <c r="AK285" s="32">
        <f t="shared" si="5"/>
        <v>4</v>
      </c>
      <c r="AL285" s="25">
        <f>'MASTER STOCK'!I282</f>
        <v>29000</v>
      </c>
      <c r="AM285" s="27">
        <f>'MASTER STOCK'!L282</f>
        <v>29000</v>
      </c>
      <c r="AN285" s="27">
        <f t="shared" si="6"/>
        <v>0</v>
      </c>
      <c r="AO285" s="26">
        <f t="shared" si="7"/>
        <v>0</v>
      </c>
      <c r="AP285" s="114">
        <f t="shared" si="8"/>
        <v>0</v>
      </c>
      <c r="AQ285" s="10"/>
    </row>
    <row r="286">
      <c r="A286" s="29" t="str">
        <f>'MASTER STOCK'!F283</f>
        <v>sikring</v>
      </c>
      <c r="B286" s="30">
        <f>'NOV 25'!AJ:AJ</f>
        <v>5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23">
        <f t="shared" si="3"/>
        <v>0</v>
      </c>
      <c r="AI286" s="24">
        <v>0.0</v>
      </c>
      <c r="AJ286" s="32">
        <f t="shared" si="4"/>
        <v>5</v>
      </c>
      <c r="AK286" s="32">
        <f t="shared" si="5"/>
        <v>5</v>
      </c>
      <c r="AL286" s="25">
        <f>'MASTER STOCK'!I283</f>
        <v>3500</v>
      </c>
      <c r="AM286" s="27">
        <f>'MASTER STOCK'!L283</f>
        <v>3500</v>
      </c>
      <c r="AN286" s="27">
        <f t="shared" si="6"/>
        <v>0</v>
      </c>
      <c r="AO286" s="26">
        <f t="shared" si="7"/>
        <v>0</v>
      </c>
      <c r="AP286" s="114">
        <f t="shared" si="8"/>
        <v>0</v>
      </c>
      <c r="AQ286" s="10"/>
    </row>
    <row r="287">
      <c r="A287" s="29" t="str">
        <f>'MASTER STOCK'!F284</f>
        <v>Tutup  skring</v>
      </c>
      <c r="B287" s="30">
        <f>'NOV 25'!AJ:AJ</f>
        <v>14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23">
        <f t="shared" si="3"/>
        <v>0</v>
      </c>
      <c r="AI287" s="24">
        <v>0.0</v>
      </c>
      <c r="AJ287" s="32">
        <f t="shared" si="4"/>
        <v>14</v>
      </c>
      <c r="AK287" s="32">
        <f t="shared" si="5"/>
        <v>14</v>
      </c>
      <c r="AL287" s="25">
        <f>'MASTER STOCK'!I284</f>
        <v>3500</v>
      </c>
      <c r="AM287" s="27">
        <f>'MASTER STOCK'!L284</f>
        <v>3500</v>
      </c>
      <c r="AN287" s="27">
        <f t="shared" si="6"/>
        <v>0</v>
      </c>
      <c r="AO287" s="26">
        <f t="shared" si="7"/>
        <v>0</v>
      </c>
      <c r="AP287" s="114">
        <f t="shared" si="8"/>
        <v>0</v>
      </c>
      <c r="AQ287" s="10"/>
    </row>
    <row r="288">
      <c r="A288" s="29" t="str">
        <f>'MASTER STOCK'!F285</f>
        <v>kabel serabut 0.75 mm</v>
      </c>
      <c r="B288" s="30">
        <f>'NOV 25'!AJ:AJ</f>
        <v>0.5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23">
        <f t="shared" si="3"/>
        <v>0</v>
      </c>
      <c r="AI288" s="24">
        <v>0.0</v>
      </c>
      <c r="AJ288" s="32">
        <f t="shared" si="4"/>
        <v>0.5</v>
      </c>
      <c r="AK288" s="32">
        <f t="shared" si="5"/>
        <v>0.5</v>
      </c>
      <c r="AL288" s="25">
        <f>'MASTER STOCK'!I285</f>
        <v>2000</v>
      </c>
      <c r="AM288" s="27">
        <f>'MASTER STOCK'!L285</f>
        <v>2000</v>
      </c>
      <c r="AN288" s="27">
        <f t="shared" si="6"/>
        <v>0</v>
      </c>
      <c r="AO288" s="26">
        <f t="shared" si="7"/>
        <v>0</v>
      </c>
      <c r="AP288" s="114">
        <f t="shared" si="8"/>
        <v>0</v>
      </c>
      <c r="AQ288" s="10"/>
    </row>
    <row r="289">
      <c r="A289" s="29" t="str">
        <f>'MASTER STOCK'!F286</f>
        <v>Steker Gepeng</v>
      </c>
      <c r="B289" s="30">
        <f>'NOV 25'!AJ:AJ</f>
        <v>5</v>
      </c>
      <c r="C289" s="10"/>
      <c r="D289" s="10"/>
      <c r="E289" s="10"/>
      <c r="F289" s="10"/>
      <c r="G289" s="10"/>
      <c r="H289" s="10"/>
      <c r="I289" s="10"/>
      <c r="J289" s="10"/>
      <c r="K289" s="22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23">
        <f t="shared" si="3"/>
        <v>0</v>
      </c>
      <c r="AI289" s="24">
        <v>0.0</v>
      </c>
      <c r="AJ289" s="32">
        <f t="shared" si="4"/>
        <v>5</v>
      </c>
      <c r="AK289" s="32">
        <f t="shared" si="5"/>
        <v>5</v>
      </c>
      <c r="AL289" s="25">
        <f>'MASTER STOCK'!I286</f>
        <v>4000</v>
      </c>
      <c r="AM289" s="27">
        <f>'MASTER STOCK'!L286</f>
        <v>4000</v>
      </c>
      <c r="AN289" s="27">
        <f t="shared" si="6"/>
        <v>0</v>
      </c>
      <c r="AO289" s="26">
        <f t="shared" si="7"/>
        <v>0</v>
      </c>
      <c r="AP289" s="114">
        <f t="shared" si="8"/>
        <v>0</v>
      </c>
      <c r="AQ289" s="10"/>
    </row>
    <row r="290">
      <c r="A290" s="29" t="str">
        <f>'MASTER STOCK'!F287</f>
        <v>Skalar Tunggal</v>
      </c>
      <c r="B290" s="30">
        <f>'NOV 25'!AJ:AJ</f>
        <v>2</v>
      </c>
      <c r="C290" s="22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23">
        <f t="shared" si="3"/>
        <v>0</v>
      </c>
      <c r="AI290" s="24">
        <v>0.0</v>
      </c>
      <c r="AJ290" s="32">
        <f t="shared" si="4"/>
        <v>2</v>
      </c>
      <c r="AK290" s="32">
        <f t="shared" si="5"/>
        <v>2</v>
      </c>
      <c r="AL290" s="25">
        <f>'MASTER STOCK'!I287</f>
        <v>6500</v>
      </c>
      <c r="AM290" s="27">
        <f>'MASTER STOCK'!L287</f>
        <v>6500</v>
      </c>
      <c r="AN290" s="27">
        <f t="shared" si="6"/>
        <v>0</v>
      </c>
      <c r="AO290" s="26">
        <f t="shared" si="7"/>
        <v>0</v>
      </c>
      <c r="AP290" s="114">
        <f t="shared" si="8"/>
        <v>0</v>
      </c>
      <c r="AQ290" s="10"/>
    </row>
    <row r="291">
      <c r="A291" s="29" t="str">
        <f>'MASTER STOCK'!F288</f>
        <v>Saklar Ganda</v>
      </c>
      <c r="B291" s="30">
        <f>'NOV 25'!AJ:AJ</f>
        <v>3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23">
        <f t="shared" si="3"/>
        <v>0</v>
      </c>
      <c r="AI291" s="24">
        <v>0.0</v>
      </c>
      <c r="AJ291" s="32">
        <f t="shared" si="4"/>
        <v>3</v>
      </c>
      <c r="AK291" s="32">
        <f t="shared" si="5"/>
        <v>3</v>
      </c>
      <c r="AL291" s="25">
        <f>'MASTER STOCK'!I288</f>
        <v>8000</v>
      </c>
      <c r="AM291" s="27">
        <f>'MASTER STOCK'!L288</f>
        <v>8000</v>
      </c>
      <c r="AN291" s="27">
        <f t="shared" si="6"/>
        <v>0</v>
      </c>
      <c r="AO291" s="26">
        <f t="shared" si="7"/>
        <v>0</v>
      </c>
      <c r="AP291" s="114">
        <f t="shared" si="8"/>
        <v>0</v>
      </c>
      <c r="AQ291" s="10"/>
    </row>
    <row r="292">
      <c r="A292" s="29" t="str">
        <f>'MASTER STOCK'!F289</f>
        <v>Kabel audio 2 x 1 1/2</v>
      </c>
      <c r="B292" s="30">
        <f>'NOV 25'!AJ:AJ</f>
        <v>100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23">
        <f t="shared" si="3"/>
        <v>0</v>
      </c>
      <c r="AI292" s="24">
        <v>0.0</v>
      </c>
      <c r="AJ292" s="32">
        <f t="shared" si="4"/>
        <v>100</v>
      </c>
      <c r="AK292" s="32">
        <f t="shared" si="5"/>
        <v>100</v>
      </c>
      <c r="AL292" s="25">
        <f>'MASTER STOCK'!I289</f>
        <v>3000</v>
      </c>
      <c r="AM292" s="27">
        <f>'MASTER STOCK'!L289</f>
        <v>3000</v>
      </c>
      <c r="AN292" s="27">
        <f t="shared" si="6"/>
        <v>0</v>
      </c>
      <c r="AO292" s="26">
        <f t="shared" si="7"/>
        <v>0</v>
      </c>
      <c r="AP292" s="114">
        <f t="shared" si="8"/>
        <v>0</v>
      </c>
      <c r="AQ292" s="10"/>
    </row>
    <row r="293">
      <c r="A293" s="29" t="str">
        <f>'MASTER STOCK'!F290</f>
        <v>Skalar Triple</v>
      </c>
      <c r="B293" s="30">
        <f>'NOV 25'!AJ:AJ</f>
        <v>2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23">
        <f t="shared" si="3"/>
        <v>0</v>
      </c>
      <c r="AI293" s="24">
        <v>0.0</v>
      </c>
      <c r="AJ293" s="32">
        <f t="shared" si="4"/>
        <v>2</v>
      </c>
      <c r="AK293" s="32">
        <f t="shared" si="5"/>
        <v>2</v>
      </c>
      <c r="AL293" s="25">
        <f>'MASTER STOCK'!I290</f>
        <v>35000</v>
      </c>
      <c r="AM293" s="27">
        <f>'MASTER STOCK'!L290</f>
        <v>35000</v>
      </c>
      <c r="AN293" s="27">
        <f t="shared" si="6"/>
        <v>0</v>
      </c>
      <c r="AO293" s="26">
        <f t="shared" si="7"/>
        <v>0</v>
      </c>
      <c r="AP293" s="114">
        <f t="shared" si="8"/>
        <v>0</v>
      </c>
      <c r="AQ293" s="10"/>
    </row>
    <row r="294">
      <c r="A294" s="29" t="str">
        <f>'MASTER STOCK'!F291</f>
        <v>Senter</v>
      </c>
      <c r="B294" s="30">
        <f>'NOV 25'!AJ:AJ</f>
        <v>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23">
        <f t="shared" si="3"/>
        <v>0</v>
      </c>
      <c r="AI294" s="24">
        <v>0.0</v>
      </c>
      <c r="AJ294" s="32">
        <f t="shared" si="4"/>
        <v>1</v>
      </c>
      <c r="AK294" s="32">
        <f t="shared" si="5"/>
        <v>1</v>
      </c>
      <c r="AL294" s="25">
        <f>'MASTER STOCK'!I291</f>
        <v>25000</v>
      </c>
      <c r="AM294" s="27">
        <f>'MASTER STOCK'!L291</f>
        <v>25000</v>
      </c>
      <c r="AN294" s="27">
        <f t="shared" si="6"/>
        <v>0</v>
      </c>
      <c r="AO294" s="26">
        <f t="shared" si="7"/>
        <v>0</v>
      </c>
      <c r="AP294" s="114">
        <f t="shared" si="8"/>
        <v>0</v>
      </c>
      <c r="AQ294" s="10"/>
    </row>
    <row r="295">
      <c r="A295" s="29" t="str">
        <f>'MASTER STOCK'!F292</f>
        <v>Fittingan</v>
      </c>
      <c r="B295" s="30">
        <f>'NOV 25'!AJ:AJ</f>
        <v>7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23">
        <f t="shared" si="3"/>
        <v>0</v>
      </c>
      <c r="AI295" s="24">
        <v>0.0</v>
      </c>
      <c r="AJ295" s="32">
        <f t="shared" si="4"/>
        <v>7</v>
      </c>
      <c r="AK295" s="32">
        <f t="shared" si="5"/>
        <v>7</v>
      </c>
      <c r="AL295" s="25">
        <f>'MASTER STOCK'!I292</f>
        <v>5000</v>
      </c>
      <c r="AM295" s="27">
        <f>'MASTER STOCK'!L292</f>
        <v>5000</v>
      </c>
      <c r="AN295" s="27">
        <f t="shared" si="6"/>
        <v>0</v>
      </c>
      <c r="AO295" s="26">
        <f t="shared" si="7"/>
        <v>0</v>
      </c>
      <c r="AP295" s="114">
        <f t="shared" si="8"/>
        <v>0</v>
      </c>
      <c r="AQ295" s="10"/>
    </row>
    <row r="296">
      <c r="A296" s="29" t="str">
        <f>'MASTER STOCK'!F293</f>
        <v>Fittingan bagus</v>
      </c>
      <c r="B296" s="30">
        <f>'NOV 25'!AJ:AJ</f>
        <v>2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23">
        <f t="shared" si="3"/>
        <v>0</v>
      </c>
      <c r="AI296" s="24">
        <v>0.0</v>
      </c>
      <c r="AJ296" s="32">
        <f t="shared" si="4"/>
        <v>2</v>
      </c>
      <c r="AK296" s="32">
        <f t="shared" si="5"/>
        <v>2</v>
      </c>
      <c r="AL296" s="25">
        <f>'MASTER STOCK'!I293</f>
        <v>9000</v>
      </c>
      <c r="AM296" s="27">
        <f>'MASTER STOCK'!L293</f>
        <v>9000</v>
      </c>
      <c r="AN296" s="27">
        <f t="shared" si="6"/>
        <v>0</v>
      </c>
      <c r="AO296" s="26">
        <f t="shared" si="7"/>
        <v>0</v>
      </c>
      <c r="AP296" s="114">
        <f t="shared" si="8"/>
        <v>0</v>
      </c>
      <c r="AQ296" s="10"/>
    </row>
    <row r="297">
      <c r="A297" s="29" t="str">
        <f>'MASTER STOCK'!F294</f>
        <v>Kassa gibsum</v>
      </c>
      <c r="B297" s="30">
        <f>'NOV 25'!AJ:AJ</f>
        <v>3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23">
        <f t="shared" si="3"/>
        <v>0</v>
      </c>
      <c r="AI297" s="24">
        <v>0.0</v>
      </c>
      <c r="AJ297" s="32">
        <f t="shared" si="4"/>
        <v>3</v>
      </c>
      <c r="AK297" s="32">
        <f t="shared" si="5"/>
        <v>3</v>
      </c>
      <c r="AL297" s="25">
        <f>'MASTER STOCK'!I294</f>
        <v>7000</v>
      </c>
      <c r="AM297" s="27">
        <f>'MASTER STOCK'!L294</f>
        <v>7000</v>
      </c>
      <c r="AN297" s="27">
        <f t="shared" si="6"/>
        <v>0</v>
      </c>
      <c r="AO297" s="26">
        <f t="shared" si="7"/>
        <v>0</v>
      </c>
      <c r="AP297" s="114">
        <f t="shared" si="8"/>
        <v>0</v>
      </c>
      <c r="AQ297" s="10"/>
    </row>
    <row r="298">
      <c r="A298" s="29" t="str">
        <f>'MASTER STOCK'!F295</f>
        <v>Lampu Tidur</v>
      </c>
      <c r="B298" s="30">
        <f>'NOV 25'!AJ:AJ</f>
        <v>2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23">
        <f t="shared" si="3"/>
        <v>0</v>
      </c>
      <c r="AI298" s="24">
        <v>0.0</v>
      </c>
      <c r="AJ298" s="32">
        <f t="shared" si="4"/>
        <v>2</v>
      </c>
      <c r="AK298" s="32">
        <f t="shared" si="5"/>
        <v>2</v>
      </c>
      <c r="AL298" s="25">
        <f>'MASTER STOCK'!I295</f>
        <v>8000</v>
      </c>
      <c r="AM298" s="27">
        <f>'MASTER STOCK'!L295</f>
        <v>8000</v>
      </c>
      <c r="AN298" s="27">
        <f t="shared" si="6"/>
        <v>0</v>
      </c>
      <c r="AO298" s="26">
        <f t="shared" si="7"/>
        <v>0</v>
      </c>
      <c r="AP298" s="114">
        <f t="shared" si="8"/>
        <v>0</v>
      </c>
      <c r="AQ298" s="10"/>
    </row>
    <row r="299">
      <c r="A299" s="29" t="str">
        <f>'MASTER STOCK'!F296</f>
        <v>Steker Bulat</v>
      </c>
      <c r="B299" s="30">
        <f>'NOV 25'!AJ:AJ</f>
        <v>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23">
        <f t="shared" si="3"/>
        <v>0</v>
      </c>
      <c r="AI299" s="24">
        <v>0.0</v>
      </c>
      <c r="AJ299" s="32">
        <f t="shared" si="4"/>
        <v>1</v>
      </c>
      <c r="AK299" s="32">
        <f t="shared" si="5"/>
        <v>1</v>
      </c>
      <c r="AL299" s="25">
        <f>'MASTER STOCK'!I296</f>
        <v>6000</v>
      </c>
      <c r="AM299" s="27">
        <f>'MASTER STOCK'!L296</f>
        <v>6000</v>
      </c>
      <c r="AN299" s="27">
        <f t="shared" si="6"/>
        <v>0</v>
      </c>
      <c r="AO299" s="26">
        <f t="shared" si="7"/>
        <v>0</v>
      </c>
      <c r="AP299" s="114">
        <f t="shared" si="8"/>
        <v>0</v>
      </c>
      <c r="AQ299" s="10"/>
    </row>
    <row r="300">
      <c r="A300" s="29" t="str">
        <f>'MASTER STOCK'!F297</f>
        <v>Soket Lampu</v>
      </c>
      <c r="B300" s="30">
        <f>'NOV 25'!AJ:AJ</f>
        <v>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23">
        <f t="shared" si="3"/>
        <v>0</v>
      </c>
      <c r="AI300" s="24">
        <v>0.0</v>
      </c>
      <c r="AJ300" s="32">
        <f t="shared" si="4"/>
        <v>1</v>
      </c>
      <c r="AK300" s="32">
        <f t="shared" si="5"/>
        <v>1</v>
      </c>
      <c r="AL300" s="25">
        <f>'MASTER STOCK'!I297</f>
        <v>11000</v>
      </c>
      <c r="AM300" s="27">
        <f>'MASTER STOCK'!L297</f>
        <v>11000</v>
      </c>
      <c r="AN300" s="27">
        <f t="shared" si="6"/>
        <v>0</v>
      </c>
      <c r="AO300" s="26">
        <f t="shared" si="7"/>
        <v>0</v>
      </c>
      <c r="AP300" s="114">
        <f t="shared" si="8"/>
        <v>0</v>
      </c>
      <c r="AQ300" s="10"/>
    </row>
    <row r="301">
      <c r="A301" s="29" t="str">
        <f>'MASTER STOCK'!F298</f>
        <v>Sarung tangan kain</v>
      </c>
      <c r="B301" s="30">
        <f>'NOV 25'!AJ:AJ</f>
        <v>16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23">
        <f t="shared" si="3"/>
        <v>0</v>
      </c>
      <c r="AI301" s="24">
        <v>0.0</v>
      </c>
      <c r="AJ301" s="32">
        <f t="shared" si="4"/>
        <v>16</v>
      </c>
      <c r="AK301" s="32">
        <f t="shared" si="5"/>
        <v>16</v>
      </c>
      <c r="AL301" s="25">
        <f>'MASTER STOCK'!I298</f>
        <v>6000</v>
      </c>
      <c r="AM301" s="27">
        <f>'MASTER STOCK'!L298</f>
        <v>6000</v>
      </c>
      <c r="AN301" s="27">
        <f t="shared" si="6"/>
        <v>0</v>
      </c>
      <c r="AO301" s="26">
        <f t="shared" si="7"/>
        <v>0</v>
      </c>
      <c r="AP301" s="114">
        <f t="shared" si="8"/>
        <v>0</v>
      </c>
      <c r="AQ301" s="10"/>
    </row>
    <row r="302">
      <c r="A302" s="29" t="str">
        <f>'MASTER STOCK'!F299</f>
        <v>Grendel Double</v>
      </c>
      <c r="B302" s="30">
        <f>'NOV 25'!AJ:AJ</f>
        <v>2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23">
        <f t="shared" si="3"/>
        <v>0</v>
      </c>
      <c r="AI302" s="24">
        <v>0.0</v>
      </c>
      <c r="AJ302" s="32">
        <f t="shared" si="4"/>
        <v>2</v>
      </c>
      <c r="AK302" s="32">
        <f t="shared" si="5"/>
        <v>2</v>
      </c>
      <c r="AL302" s="25">
        <f>'MASTER STOCK'!I299</f>
        <v>0</v>
      </c>
      <c r="AM302" s="27">
        <f>'MASTER STOCK'!L299</f>
        <v>0</v>
      </c>
      <c r="AN302" s="27">
        <f t="shared" si="6"/>
        <v>0</v>
      </c>
      <c r="AO302" s="26">
        <f t="shared" si="7"/>
        <v>0</v>
      </c>
      <c r="AP302" s="114">
        <f t="shared" si="8"/>
        <v>0</v>
      </c>
      <c r="AQ302" s="10"/>
    </row>
    <row r="303">
      <c r="A303" s="29" t="str">
        <f>'MASTER STOCK'!F300</f>
        <v>Kunci Oval pintu</v>
      </c>
      <c r="B303" s="30">
        <f>'NOV 25'!AJ:AJ</f>
        <v>2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23">
        <f t="shared" si="3"/>
        <v>0</v>
      </c>
      <c r="AI303" s="24">
        <v>0.0</v>
      </c>
      <c r="AJ303" s="32">
        <f t="shared" si="4"/>
        <v>2</v>
      </c>
      <c r="AK303" s="32">
        <f t="shared" si="5"/>
        <v>2</v>
      </c>
      <c r="AL303" s="25">
        <f>'MASTER STOCK'!I300</f>
        <v>0</v>
      </c>
      <c r="AM303" s="27">
        <f>'MASTER STOCK'!L300</f>
        <v>0</v>
      </c>
      <c r="AN303" s="27">
        <f t="shared" si="6"/>
        <v>0</v>
      </c>
      <c r="AO303" s="26">
        <f t="shared" si="7"/>
        <v>0</v>
      </c>
      <c r="AP303" s="114">
        <f t="shared" si="8"/>
        <v>0</v>
      </c>
      <c r="AQ303" s="10"/>
    </row>
    <row r="304">
      <c r="A304" s="29" t="str">
        <f>'MASTER STOCK'!F301</f>
        <v>Benang ris  sedang</v>
      </c>
      <c r="B304" s="30">
        <f>'NOV 25'!AJ:AJ</f>
        <v>0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22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23">
        <f t="shared" si="3"/>
        <v>0</v>
      </c>
      <c r="AI304" s="24">
        <v>0.0</v>
      </c>
      <c r="AJ304" s="32">
        <f t="shared" si="4"/>
        <v>0</v>
      </c>
      <c r="AK304" s="32">
        <f t="shared" si="5"/>
        <v>0</v>
      </c>
      <c r="AL304" s="25">
        <f>'MASTER STOCK'!I301</f>
        <v>5000</v>
      </c>
      <c r="AM304" s="27">
        <f>'MASTER STOCK'!L301</f>
        <v>5000</v>
      </c>
      <c r="AN304" s="27">
        <f t="shared" si="6"/>
        <v>0</v>
      </c>
      <c r="AO304" s="26">
        <f t="shared" si="7"/>
        <v>0</v>
      </c>
      <c r="AP304" s="114">
        <f t="shared" si="8"/>
        <v>0</v>
      </c>
      <c r="AQ304" s="10"/>
    </row>
    <row r="305">
      <c r="A305" s="29" t="str">
        <f>'MASTER STOCK'!F302</f>
        <v>Jepitan Udang grendel</v>
      </c>
      <c r="B305" s="30">
        <f>'NOV 25'!AJ:AJ</f>
        <v>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23">
        <f t="shared" si="3"/>
        <v>0</v>
      </c>
      <c r="AI305" s="24">
        <v>0.0</v>
      </c>
      <c r="AJ305" s="32">
        <f t="shared" si="4"/>
        <v>1</v>
      </c>
      <c r="AK305" s="32">
        <f t="shared" si="5"/>
        <v>1</v>
      </c>
      <c r="AL305" s="25">
        <f>'MASTER STOCK'!I302</f>
        <v>0</v>
      </c>
      <c r="AM305" s="27">
        <f>'MASTER STOCK'!L302</f>
        <v>0</v>
      </c>
      <c r="AN305" s="27">
        <f t="shared" si="6"/>
        <v>0</v>
      </c>
      <c r="AO305" s="26">
        <f t="shared" si="7"/>
        <v>0</v>
      </c>
      <c r="AP305" s="114">
        <f t="shared" si="8"/>
        <v>0</v>
      </c>
      <c r="AQ305" s="10"/>
    </row>
    <row r="306">
      <c r="A306" s="29" t="str">
        <f>'MASTER STOCK'!F303</f>
        <v>Cengkal jendela panjang lurus</v>
      </c>
      <c r="B306" s="30">
        <f>'NOV 25'!AJ:AJ</f>
        <v>4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23">
        <f t="shared" si="3"/>
        <v>0</v>
      </c>
      <c r="AI306" s="24">
        <v>0.0</v>
      </c>
      <c r="AJ306" s="32">
        <f t="shared" si="4"/>
        <v>4</v>
      </c>
      <c r="AK306" s="32">
        <f t="shared" si="5"/>
        <v>4</v>
      </c>
      <c r="AL306" s="25">
        <f>'MASTER STOCK'!I303</f>
        <v>11000</v>
      </c>
      <c r="AM306" s="27">
        <f>'MASTER STOCK'!L303</f>
        <v>11000</v>
      </c>
      <c r="AN306" s="27">
        <f t="shared" si="6"/>
        <v>0</v>
      </c>
      <c r="AO306" s="26">
        <f t="shared" si="7"/>
        <v>0</v>
      </c>
      <c r="AP306" s="114">
        <f t="shared" si="8"/>
        <v>0</v>
      </c>
      <c r="AQ306" s="10"/>
    </row>
    <row r="307">
      <c r="A307" s="29" t="str">
        <f>'MASTER STOCK'!F304</f>
        <v>Gagang Pintu</v>
      </c>
      <c r="B307" s="30">
        <f>'NOV 25'!AJ:AJ</f>
        <v>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23">
        <f t="shared" si="3"/>
        <v>0</v>
      </c>
      <c r="AI307" s="24">
        <v>0.0</v>
      </c>
      <c r="AJ307" s="32">
        <f t="shared" si="4"/>
        <v>1</v>
      </c>
      <c r="AK307" s="32">
        <f t="shared" si="5"/>
        <v>1</v>
      </c>
      <c r="AL307" s="25">
        <f>'MASTER STOCK'!I304</f>
        <v>18000</v>
      </c>
      <c r="AM307" s="27">
        <f>'MASTER STOCK'!L304</f>
        <v>18000</v>
      </c>
      <c r="AN307" s="27">
        <f t="shared" si="6"/>
        <v>0</v>
      </c>
      <c r="AO307" s="26">
        <f t="shared" si="7"/>
        <v>0</v>
      </c>
      <c r="AP307" s="114">
        <f t="shared" si="8"/>
        <v>0</v>
      </c>
      <c r="AQ307" s="10"/>
    </row>
    <row r="308">
      <c r="A308" s="29" t="str">
        <f>'MASTER STOCK'!F305</f>
        <v>Sekrup  3cm</v>
      </c>
      <c r="B308" s="30">
        <f>'NOV 25'!AJ:AJ</f>
        <v>20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23">
        <f t="shared" si="3"/>
        <v>0</v>
      </c>
      <c r="AI308" s="24">
        <v>0.0</v>
      </c>
      <c r="AJ308" s="32">
        <f t="shared" si="4"/>
        <v>20</v>
      </c>
      <c r="AK308" s="32">
        <f t="shared" si="5"/>
        <v>20</v>
      </c>
      <c r="AL308" s="25">
        <f>'MASTER STOCK'!I305</f>
        <v>0</v>
      </c>
      <c r="AM308" s="27">
        <f>'MASTER STOCK'!L305</f>
        <v>0</v>
      </c>
      <c r="AN308" s="27">
        <f t="shared" si="6"/>
        <v>0</v>
      </c>
      <c r="AO308" s="26">
        <f t="shared" si="7"/>
        <v>0</v>
      </c>
      <c r="AP308" s="114">
        <f t="shared" si="8"/>
        <v>0</v>
      </c>
      <c r="AQ308" s="10"/>
    </row>
    <row r="309">
      <c r="A309" s="29" t="str">
        <f>'MASTER STOCK'!F306</f>
        <v>Sekrup  2.5</v>
      </c>
      <c r="B309" s="30">
        <f>'NOV 25'!AJ:AJ</f>
        <v>10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23">
        <f t="shared" si="3"/>
        <v>0</v>
      </c>
      <c r="AI309" s="24">
        <v>0.0</v>
      </c>
      <c r="AJ309" s="32">
        <f t="shared" si="4"/>
        <v>10</v>
      </c>
      <c r="AK309" s="32">
        <f t="shared" si="5"/>
        <v>10</v>
      </c>
      <c r="AL309" s="25">
        <f>'MASTER STOCK'!I306</f>
        <v>0</v>
      </c>
      <c r="AM309" s="27">
        <f>'MASTER STOCK'!L306</f>
        <v>0</v>
      </c>
      <c r="AN309" s="27">
        <f t="shared" si="6"/>
        <v>0</v>
      </c>
      <c r="AO309" s="26">
        <f t="shared" si="7"/>
        <v>0</v>
      </c>
      <c r="AP309" s="114">
        <f t="shared" si="8"/>
        <v>0</v>
      </c>
      <c r="AQ309" s="10"/>
    </row>
    <row r="310">
      <c r="A310" s="29" t="str">
        <f>'MASTER STOCK'!F307</f>
        <v>Roda etalase</v>
      </c>
      <c r="B310" s="30">
        <f>'NOV 25'!AJ:AJ</f>
        <v>4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23">
        <f t="shared" si="3"/>
        <v>0</v>
      </c>
      <c r="AI310" s="24">
        <v>0.0</v>
      </c>
      <c r="AJ310" s="32">
        <f t="shared" si="4"/>
        <v>4</v>
      </c>
      <c r="AK310" s="32">
        <f t="shared" si="5"/>
        <v>4</v>
      </c>
      <c r="AL310" s="25">
        <f>'MASTER STOCK'!I307</f>
        <v>35000</v>
      </c>
      <c r="AM310" s="27">
        <f>'MASTER STOCK'!L307</f>
        <v>35000</v>
      </c>
      <c r="AN310" s="27">
        <f t="shared" si="6"/>
        <v>0</v>
      </c>
      <c r="AO310" s="26">
        <f t="shared" si="7"/>
        <v>0</v>
      </c>
      <c r="AP310" s="114">
        <f t="shared" si="8"/>
        <v>0</v>
      </c>
      <c r="AQ310" s="10"/>
    </row>
    <row r="311">
      <c r="A311" s="29" t="str">
        <f>'MASTER STOCK'!F308</f>
        <v>Gagang pintu besi  besar</v>
      </c>
      <c r="B311" s="30">
        <f>'NOV 25'!AJ:AJ</f>
        <v>7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23">
        <f t="shared" si="3"/>
        <v>0</v>
      </c>
      <c r="AI311" s="24">
        <v>0.0</v>
      </c>
      <c r="AJ311" s="32">
        <f t="shared" si="4"/>
        <v>7</v>
      </c>
      <c r="AK311" s="32">
        <f t="shared" si="5"/>
        <v>7</v>
      </c>
      <c r="AL311" s="25">
        <f>'MASTER STOCK'!I308</f>
        <v>4500</v>
      </c>
      <c r="AM311" s="27">
        <f>'MASTER STOCK'!L308</f>
        <v>4500</v>
      </c>
      <c r="AN311" s="27">
        <f t="shared" si="6"/>
        <v>0</v>
      </c>
      <c r="AO311" s="26">
        <f t="shared" si="7"/>
        <v>0</v>
      </c>
      <c r="AP311" s="114">
        <f t="shared" si="8"/>
        <v>0</v>
      </c>
      <c r="AQ311" s="10"/>
    </row>
    <row r="312">
      <c r="A312" s="29" t="str">
        <f>'MASTER STOCK'!F309</f>
        <v>Gagang pintu besi  Kecil</v>
      </c>
      <c r="B312" s="30">
        <f>'NOV 25'!AJ:AJ</f>
        <v>2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23">
        <f t="shared" si="3"/>
        <v>0</v>
      </c>
      <c r="AI312" s="24">
        <v>0.0</v>
      </c>
      <c r="AJ312" s="32">
        <f t="shared" si="4"/>
        <v>2</v>
      </c>
      <c r="AK312" s="32">
        <f t="shared" si="5"/>
        <v>2</v>
      </c>
      <c r="AL312" s="25">
        <f>'MASTER STOCK'!I309</f>
        <v>2000</v>
      </c>
      <c r="AM312" s="27">
        <f>'MASTER STOCK'!L309</f>
        <v>2000</v>
      </c>
      <c r="AN312" s="27">
        <f t="shared" si="6"/>
        <v>0</v>
      </c>
      <c r="AO312" s="26">
        <f t="shared" si="7"/>
        <v>0</v>
      </c>
      <c r="AP312" s="114">
        <f t="shared" si="8"/>
        <v>0</v>
      </c>
      <c r="AQ312" s="10"/>
    </row>
    <row r="313">
      <c r="A313" s="29" t="str">
        <f>'MASTER STOCK'!F310</f>
        <v>Sekrup  6 x 1</v>
      </c>
      <c r="B313" s="30">
        <f>'NOV 25'!AJ:AJ</f>
        <v>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23">
        <f t="shared" si="3"/>
        <v>0</v>
      </c>
      <c r="AI313" s="24">
        <v>0.0</v>
      </c>
      <c r="AJ313" s="32">
        <f t="shared" si="4"/>
        <v>1</v>
      </c>
      <c r="AK313" s="32">
        <f t="shared" si="5"/>
        <v>1</v>
      </c>
      <c r="AL313" s="25">
        <f>'MASTER STOCK'!I310</f>
        <v>0</v>
      </c>
      <c r="AM313" s="27">
        <f>'MASTER STOCK'!L310</f>
        <v>0</v>
      </c>
      <c r="AN313" s="27">
        <f t="shared" si="6"/>
        <v>0</v>
      </c>
      <c r="AO313" s="26">
        <f t="shared" si="7"/>
        <v>0</v>
      </c>
      <c r="AP313" s="114">
        <f t="shared" si="8"/>
        <v>0</v>
      </c>
      <c r="AQ313" s="10"/>
    </row>
    <row r="314">
      <c r="A314" s="29" t="str">
        <f>'MASTER STOCK'!F311</f>
        <v>Klem kabel  8 mm</v>
      </c>
      <c r="B314" s="30">
        <f>'NOV 25'!AJ:AJ</f>
        <v>4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23">
        <f t="shared" si="3"/>
        <v>0</v>
      </c>
      <c r="AI314" s="24">
        <v>0.0</v>
      </c>
      <c r="AJ314" s="32">
        <f t="shared" si="4"/>
        <v>4</v>
      </c>
      <c r="AK314" s="32">
        <f t="shared" si="5"/>
        <v>4</v>
      </c>
      <c r="AL314" s="25">
        <f>'MASTER STOCK'!I311</f>
        <v>14000</v>
      </c>
      <c r="AM314" s="27">
        <f>'MASTER STOCK'!L311</f>
        <v>14000</v>
      </c>
      <c r="AN314" s="27">
        <f t="shared" si="6"/>
        <v>0</v>
      </c>
      <c r="AO314" s="26">
        <f t="shared" si="7"/>
        <v>0</v>
      </c>
      <c r="AP314" s="114">
        <f t="shared" si="8"/>
        <v>0</v>
      </c>
      <c r="AQ314" s="10"/>
    </row>
    <row r="315">
      <c r="A315" s="29" t="str">
        <f>'MASTER STOCK'!F312</f>
        <v>Klem kabel  9 mm</v>
      </c>
      <c r="B315" s="30">
        <f>'NOV 25'!AJ:AJ</f>
        <v>2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23">
        <f t="shared" si="3"/>
        <v>0</v>
      </c>
      <c r="AI315" s="24">
        <v>0.0</v>
      </c>
      <c r="AJ315" s="32">
        <f t="shared" si="4"/>
        <v>2</v>
      </c>
      <c r="AK315" s="32">
        <f t="shared" si="5"/>
        <v>2</v>
      </c>
      <c r="AL315" s="25">
        <f>'MASTER STOCK'!I312</f>
        <v>14000</v>
      </c>
      <c r="AM315" s="27">
        <f>'MASTER STOCK'!L312</f>
        <v>14000</v>
      </c>
      <c r="AN315" s="27">
        <f t="shared" si="6"/>
        <v>0</v>
      </c>
      <c r="AO315" s="26">
        <f t="shared" si="7"/>
        <v>0</v>
      </c>
      <c r="AP315" s="114">
        <f t="shared" si="8"/>
        <v>0</v>
      </c>
      <c r="AQ315" s="10"/>
    </row>
    <row r="316">
      <c r="A316" s="29" t="str">
        <f>'MASTER STOCK'!F313</f>
        <v>Fishcer 8 mm</v>
      </c>
      <c r="B316" s="30">
        <f>'NOV 25'!AJ:AJ</f>
        <v>4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23">
        <f t="shared" si="3"/>
        <v>0</v>
      </c>
      <c r="AI316" s="24">
        <v>0.0</v>
      </c>
      <c r="AJ316" s="32">
        <f t="shared" si="4"/>
        <v>4</v>
      </c>
      <c r="AK316" s="32">
        <f t="shared" si="5"/>
        <v>4</v>
      </c>
      <c r="AL316" s="25">
        <f>'MASTER STOCK'!I313</f>
        <v>15000</v>
      </c>
      <c r="AM316" s="27">
        <f>'MASTER STOCK'!L313</f>
        <v>15000</v>
      </c>
      <c r="AN316" s="27">
        <f t="shared" si="6"/>
        <v>0</v>
      </c>
      <c r="AO316" s="26">
        <f t="shared" si="7"/>
        <v>0</v>
      </c>
      <c r="AP316" s="114">
        <f t="shared" si="8"/>
        <v>0</v>
      </c>
      <c r="AQ316" s="10"/>
    </row>
    <row r="317">
      <c r="A317" s="29" t="str">
        <f>'MASTER STOCK'!F314</f>
        <v>Fishcer 5 mm</v>
      </c>
      <c r="B317" s="30">
        <f>'NOV 25'!AJ:AJ</f>
        <v>3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23">
        <f t="shared" si="3"/>
        <v>0</v>
      </c>
      <c r="AI317" s="24">
        <v>0.0</v>
      </c>
      <c r="AJ317" s="32">
        <f t="shared" si="4"/>
        <v>3</v>
      </c>
      <c r="AK317" s="32">
        <f t="shared" si="5"/>
        <v>3</v>
      </c>
      <c r="AL317" s="25">
        <f>'MASTER STOCK'!I314</f>
        <v>10000</v>
      </c>
      <c r="AM317" s="27">
        <f>'MASTER STOCK'!L314</f>
        <v>10000</v>
      </c>
      <c r="AN317" s="27">
        <f t="shared" si="6"/>
        <v>0</v>
      </c>
      <c r="AO317" s="26">
        <f t="shared" si="7"/>
        <v>0</v>
      </c>
      <c r="AP317" s="114">
        <f t="shared" si="8"/>
        <v>0</v>
      </c>
      <c r="AQ317" s="10"/>
    </row>
    <row r="318">
      <c r="A318" s="29" t="str">
        <f>'MASTER STOCK'!F315</f>
        <v>Kran besi 3/4</v>
      </c>
      <c r="B318" s="30">
        <f>'NOV 25'!AJ:AJ</f>
        <v>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22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23">
        <f t="shared" si="3"/>
        <v>0</v>
      </c>
      <c r="AI318" s="24">
        <v>0.0</v>
      </c>
      <c r="AJ318" s="32">
        <f t="shared" si="4"/>
        <v>1</v>
      </c>
      <c r="AK318" s="32">
        <f t="shared" si="5"/>
        <v>1</v>
      </c>
      <c r="AL318" s="25">
        <f>'MASTER STOCK'!I315</f>
        <v>27500</v>
      </c>
      <c r="AM318" s="27">
        <f>'MASTER STOCK'!L315</f>
        <v>27500</v>
      </c>
      <c r="AN318" s="27">
        <f t="shared" si="6"/>
        <v>0</v>
      </c>
      <c r="AO318" s="26">
        <f t="shared" si="7"/>
        <v>0</v>
      </c>
      <c r="AP318" s="114">
        <f t="shared" si="8"/>
        <v>0</v>
      </c>
      <c r="AQ318" s="10"/>
    </row>
    <row r="319">
      <c r="A319" s="29" t="str">
        <f>'MASTER STOCK'!F316</f>
        <v>Gunting tanggung</v>
      </c>
      <c r="B319" s="30">
        <f>'NOV 25'!AJ:AJ</f>
        <v>2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23">
        <f t="shared" si="3"/>
        <v>0</v>
      </c>
      <c r="AI319" s="24">
        <v>0.0</v>
      </c>
      <c r="AJ319" s="32">
        <f t="shared" si="4"/>
        <v>2</v>
      </c>
      <c r="AK319" s="32">
        <f t="shared" si="5"/>
        <v>2</v>
      </c>
      <c r="AL319" s="25">
        <f>'MASTER STOCK'!I316</f>
        <v>10000</v>
      </c>
      <c r="AM319" s="27">
        <f>'MASTER STOCK'!L316</f>
        <v>10000</v>
      </c>
      <c r="AN319" s="27">
        <f t="shared" si="6"/>
        <v>0</v>
      </c>
      <c r="AO319" s="26">
        <f t="shared" si="7"/>
        <v>0</v>
      </c>
      <c r="AP319" s="114">
        <f t="shared" si="8"/>
        <v>0</v>
      </c>
      <c r="AQ319" s="10"/>
    </row>
    <row r="320">
      <c r="A320" s="29" t="str">
        <f>'MASTER STOCK'!F317</f>
        <v>Stop kran PVC onda 3/4</v>
      </c>
      <c r="B320" s="30">
        <f>'NOV 25'!AJ:AJ</f>
        <v>0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22"/>
      <c r="R320" s="10"/>
      <c r="S320" s="10"/>
      <c r="T320" s="10"/>
      <c r="U320" s="10"/>
      <c r="V320" s="22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23">
        <f t="shared" si="3"/>
        <v>0</v>
      </c>
      <c r="AI320" s="24">
        <v>0.0</v>
      </c>
      <c r="AJ320" s="32">
        <f t="shared" si="4"/>
        <v>0</v>
      </c>
      <c r="AK320" s="32">
        <f t="shared" si="5"/>
        <v>0</v>
      </c>
      <c r="AL320" s="25">
        <f>'MASTER STOCK'!I317</f>
        <v>31000</v>
      </c>
      <c r="AM320" s="27">
        <f>'MASTER STOCK'!L317</f>
        <v>31000</v>
      </c>
      <c r="AN320" s="27">
        <f t="shared" si="6"/>
        <v>0</v>
      </c>
      <c r="AO320" s="26">
        <f t="shared" si="7"/>
        <v>0</v>
      </c>
      <c r="AP320" s="114">
        <f t="shared" si="8"/>
        <v>0</v>
      </c>
      <c r="AQ320" s="10"/>
    </row>
    <row r="321">
      <c r="A321" s="29" t="str">
        <f>'MASTER STOCK'!F318</f>
        <v>Stop kran PVC move 1/2</v>
      </c>
      <c r="B321" s="30">
        <f>'NOV 25'!AJ:AJ</f>
        <v>3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22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23">
        <f t="shared" si="3"/>
        <v>0</v>
      </c>
      <c r="AI321" s="24">
        <v>0.0</v>
      </c>
      <c r="AJ321" s="32">
        <f t="shared" si="4"/>
        <v>3</v>
      </c>
      <c r="AK321" s="32">
        <f t="shared" si="5"/>
        <v>3</v>
      </c>
      <c r="AL321" s="25">
        <f>'MASTER STOCK'!I318</f>
        <v>21000</v>
      </c>
      <c r="AM321" s="27">
        <f>'MASTER STOCK'!L318</f>
        <v>21000</v>
      </c>
      <c r="AN321" s="27">
        <f t="shared" si="6"/>
        <v>0</v>
      </c>
      <c r="AO321" s="26">
        <f t="shared" si="7"/>
        <v>0</v>
      </c>
      <c r="AP321" s="114">
        <f t="shared" si="8"/>
        <v>0</v>
      </c>
      <c r="AQ321" s="10"/>
    </row>
    <row r="322">
      <c r="A322" s="29" t="str">
        <f>'MASTER STOCK'!F319</f>
        <v>Ungkal</v>
      </c>
      <c r="B322" s="30">
        <f>'NOV 25'!AJ:AJ</f>
        <v>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23">
        <f t="shared" si="3"/>
        <v>0</v>
      </c>
      <c r="AI322" s="24">
        <v>0.0</v>
      </c>
      <c r="AJ322" s="32">
        <f t="shared" si="4"/>
        <v>1</v>
      </c>
      <c r="AK322" s="32">
        <f t="shared" si="5"/>
        <v>1</v>
      </c>
      <c r="AL322" s="25">
        <f>'MASTER STOCK'!I319</f>
        <v>22500</v>
      </c>
      <c r="AM322" s="27">
        <f>'MASTER STOCK'!L319</f>
        <v>22500</v>
      </c>
      <c r="AN322" s="27">
        <f t="shared" si="6"/>
        <v>0</v>
      </c>
      <c r="AO322" s="26">
        <f t="shared" si="7"/>
        <v>0</v>
      </c>
      <c r="AP322" s="114">
        <f t="shared" si="8"/>
        <v>0</v>
      </c>
      <c r="AQ322" s="10"/>
    </row>
    <row r="323">
      <c r="A323" s="29" t="str">
        <f>'MASTER STOCK'!F320</f>
        <v>Stop kran PVC jia rong 1</v>
      </c>
      <c r="B323" s="30">
        <f>'NOV 25'!AJ:AJ</f>
        <v>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23">
        <f t="shared" si="3"/>
        <v>0</v>
      </c>
      <c r="AI323" s="24">
        <v>0.0</v>
      </c>
      <c r="AJ323" s="32">
        <f t="shared" si="4"/>
        <v>1</v>
      </c>
      <c r="AK323" s="32">
        <f t="shared" si="5"/>
        <v>1</v>
      </c>
      <c r="AL323" s="25">
        <f>'MASTER STOCK'!I320</f>
        <v>28500</v>
      </c>
      <c r="AM323" s="27">
        <f>'MASTER STOCK'!L320</f>
        <v>28500</v>
      </c>
      <c r="AN323" s="27">
        <f t="shared" si="6"/>
        <v>0</v>
      </c>
      <c r="AO323" s="26">
        <f t="shared" si="7"/>
        <v>0</v>
      </c>
      <c r="AP323" s="114">
        <f t="shared" si="8"/>
        <v>0</v>
      </c>
      <c r="AQ323" s="10"/>
    </row>
    <row r="324">
      <c r="A324" s="29" t="str">
        <f>'MASTER STOCK'!F321</f>
        <v>Stop kran move 1</v>
      </c>
      <c r="B324" s="30">
        <f>'NOV 25'!AJ:AJ</f>
        <v>2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23">
        <f t="shared" si="3"/>
        <v>0</v>
      </c>
      <c r="AI324" s="24">
        <v>0.0</v>
      </c>
      <c r="AJ324" s="32">
        <f t="shared" si="4"/>
        <v>2</v>
      </c>
      <c r="AK324" s="32">
        <f t="shared" si="5"/>
        <v>2</v>
      </c>
      <c r="AL324" s="25">
        <f>'MASTER STOCK'!I321</f>
        <v>21000</v>
      </c>
      <c r="AM324" s="27">
        <f>'MASTER STOCK'!L321</f>
        <v>21000</v>
      </c>
      <c r="AN324" s="27">
        <f t="shared" si="6"/>
        <v>0</v>
      </c>
      <c r="AO324" s="26">
        <f t="shared" si="7"/>
        <v>0</v>
      </c>
      <c r="AP324" s="114">
        <f t="shared" si="8"/>
        <v>0</v>
      </c>
      <c r="AQ324" s="10"/>
    </row>
    <row r="325">
      <c r="A325" s="29" t="str">
        <f>'MASTER STOCK'!F322</f>
        <v>Pegangan laci/ lemari  3</v>
      </c>
      <c r="B325" s="30">
        <f>'NOV 25'!AJ:AJ</f>
        <v>21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23">
        <f t="shared" si="3"/>
        <v>0</v>
      </c>
      <c r="AI325" s="24">
        <v>0.0</v>
      </c>
      <c r="AJ325" s="32">
        <f t="shared" si="4"/>
        <v>21</v>
      </c>
      <c r="AK325" s="32">
        <f t="shared" si="5"/>
        <v>21</v>
      </c>
      <c r="AL325" s="25">
        <f>'MASTER STOCK'!I322</f>
        <v>1500</v>
      </c>
      <c r="AM325" s="27">
        <f>'MASTER STOCK'!L322</f>
        <v>1500</v>
      </c>
      <c r="AN325" s="27">
        <f t="shared" si="6"/>
        <v>0</v>
      </c>
      <c r="AO325" s="26">
        <f t="shared" si="7"/>
        <v>0</v>
      </c>
      <c r="AP325" s="114">
        <f t="shared" si="8"/>
        <v>0</v>
      </c>
      <c r="AQ325" s="10"/>
    </row>
    <row r="326">
      <c r="A326" s="29" t="str">
        <f>'MASTER STOCK'!F323</f>
        <v>Pegangan laci/ lemari  4</v>
      </c>
      <c r="B326" s="30">
        <f>'NOV 25'!AJ:AJ</f>
        <v>5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23">
        <f t="shared" si="3"/>
        <v>0</v>
      </c>
      <c r="AI326" s="24">
        <v>0.0</v>
      </c>
      <c r="AJ326" s="32">
        <f t="shared" si="4"/>
        <v>5</v>
      </c>
      <c r="AK326" s="32">
        <f t="shared" si="5"/>
        <v>5</v>
      </c>
      <c r="AL326" s="25">
        <f>'MASTER STOCK'!I323</f>
        <v>2000</v>
      </c>
      <c r="AM326" s="27">
        <f>'MASTER STOCK'!L323</f>
        <v>2000</v>
      </c>
      <c r="AN326" s="27">
        <f t="shared" si="6"/>
        <v>0</v>
      </c>
      <c r="AO326" s="26">
        <f t="shared" si="7"/>
        <v>0</v>
      </c>
      <c r="AP326" s="114">
        <f t="shared" si="8"/>
        <v>0</v>
      </c>
      <c r="AQ326" s="10"/>
    </row>
    <row r="327">
      <c r="A327" s="29" t="str">
        <f>'MASTER STOCK'!F324</f>
        <v>cutter besar</v>
      </c>
      <c r="B327" s="30">
        <f>'NOV 25'!AJ:AJ</f>
        <v>3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23">
        <f t="shared" si="3"/>
        <v>0</v>
      </c>
      <c r="AI327" s="24">
        <v>0.0</v>
      </c>
      <c r="AJ327" s="32">
        <f t="shared" si="4"/>
        <v>3</v>
      </c>
      <c r="AK327" s="32">
        <f t="shared" si="5"/>
        <v>3</v>
      </c>
      <c r="AL327" s="25">
        <f>'MASTER STOCK'!I324</f>
        <v>5000</v>
      </c>
      <c r="AM327" s="27">
        <f>'MASTER STOCK'!L324</f>
        <v>5000</v>
      </c>
      <c r="AN327" s="27">
        <f t="shared" si="6"/>
        <v>0</v>
      </c>
      <c r="AO327" s="26">
        <f t="shared" si="7"/>
        <v>0</v>
      </c>
      <c r="AP327" s="114">
        <f t="shared" si="8"/>
        <v>0</v>
      </c>
      <c r="AQ327" s="10"/>
    </row>
    <row r="328">
      <c r="A328" s="29" t="str">
        <f>'MASTER STOCK'!F325</f>
        <v>Paku beton 1</v>
      </c>
      <c r="B328" s="30">
        <f>'NOV 25'!AJ:AJ</f>
        <v>2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23">
        <f t="shared" si="3"/>
        <v>0</v>
      </c>
      <c r="AI328" s="24">
        <v>0.0</v>
      </c>
      <c r="AJ328" s="32">
        <f t="shared" si="4"/>
        <v>2</v>
      </c>
      <c r="AK328" s="32">
        <f t="shared" si="5"/>
        <v>2</v>
      </c>
      <c r="AL328" s="25">
        <f>'MASTER STOCK'!I325</f>
        <v>14000</v>
      </c>
      <c r="AM328" s="27">
        <f>'MASTER STOCK'!L325</f>
        <v>14000</v>
      </c>
      <c r="AN328" s="27">
        <f t="shared" si="6"/>
        <v>0</v>
      </c>
      <c r="AO328" s="26">
        <f t="shared" si="7"/>
        <v>0</v>
      </c>
      <c r="AP328" s="114">
        <f t="shared" si="8"/>
        <v>0</v>
      </c>
      <c r="AQ328" s="10"/>
    </row>
    <row r="329">
      <c r="A329" s="29" t="str">
        <f>'MASTER STOCK'!F326</f>
        <v>Footklem PVC 1 royal 3/4</v>
      </c>
      <c r="B329" s="30">
        <f>'NOV 25'!AJ:AJ</f>
        <v>2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23">
        <f t="shared" si="3"/>
        <v>0</v>
      </c>
      <c r="AI329" s="24">
        <v>0.0</v>
      </c>
      <c r="AJ329" s="32">
        <f t="shared" si="4"/>
        <v>2</v>
      </c>
      <c r="AK329" s="32">
        <f t="shared" si="5"/>
        <v>2</v>
      </c>
      <c r="AL329" s="25">
        <f>'MASTER STOCK'!I326</f>
        <v>16500</v>
      </c>
      <c r="AM329" s="27">
        <f>'MASTER STOCK'!L326</f>
        <v>16500</v>
      </c>
      <c r="AN329" s="27">
        <f t="shared" si="6"/>
        <v>0</v>
      </c>
      <c r="AO329" s="26">
        <f t="shared" si="7"/>
        <v>0</v>
      </c>
      <c r="AP329" s="114">
        <f t="shared" si="8"/>
        <v>0</v>
      </c>
      <c r="AQ329" s="10"/>
    </row>
    <row r="330">
      <c r="A330" s="29" t="str">
        <f>'MASTER STOCK'!F327</f>
        <v>Footklem PVC 1 royal 1</v>
      </c>
      <c r="B330" s="30">
        <f>'NOV 25'!AJ:AJ</f>
        <v>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23">
        <f t="shared" si="3"/>
        <v>0</v>
      </c>
      <c r="AI330" s="24">
        <v>0.0</v>
      </c>
      <c r="AJ330" s="32">
        <f t="shared" si="4"/>
        <v>1</v>
      </c>
      <c r="AK330" s="32">
        <f t="shared" si="5"/>
        <v>1</v>
      </c>
      <c r="AL330" s="25">
        <f>'MASTER STOCK'!I327</f>
        <v>17000</v>
      </c>
      <c r="AM330" s="27">
        <f>'MASTER STOCK'!L327</f>
        <v>17000</v>
      </c>
      <c r="AN330" s="27">
        <f t="shared" si="6"/>
        <v>0</v>
      </c>
      <c r="AO330" s="26">
        <f t="shared" si="7"/>
        <v>0</v>
      </c>
      <c r="AP330" s="114">
        <f t="shared" si="8"/>
        <v>0</v>
      </c>
      <c r="AQ330" s="10"/>
    </row>
    <row r="331">
      <c r="A331" s="29" t="str">
        <f>'MASTER STOCK'!F328</f>
        <v>Tinner 1/2liter</v>
      </c>
      <c r="B331" s="30">
        <f>'NOV 25'!AJ:AJ</f>
        <v>3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23">
        <f t="shared" si="3"/>
        <v>0</v>
      </c>
      <c r="AI331" s="24">
        <v>0.0</v>
      </c>
      <c r="AJ331" s="32">
        <f t="shared" si="4"/>
        <v>3</v>
      </c>
      <c r="AK331" s="32">
        <f t="shared" si="5"/>
        <v>3</v>
      </c>
      <c r="AL331" s="25">
        <f>'MASTER STOCK'!I328</f>
        <v>20000</v>
      </c>
      <c r="AM331" s="27">
        <f>'MASTER STOCK'!L328</f>
        <v>20000</v>
      </c>
      <c r="AN331" s="27">
        <f t="shared" si="6"/>
        <v>0</v>
      </c>
      <c r="AO331" s="26">
        <f t="shared" si="7"/>
        <v>0</v>
      </c>
      <c r="AP331" s="114">
        <f t="shared" si="8"/>
        <v>0</v>
      </c>
      <c r="AQ331" s="10"/>
    </row>
    <row r="332">
      <c r="A332" s="29" t="str">
        <f>'MASTER STOCK'!F329</f>
        <v>Cat emco</v>
      </c>
      <c r="B332" s="30">
        <f>'NOV 25'!AJ:AJ</f>
        <v>3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23">
        <f t="shared" si="3"/>
        <v>0</v>
      </c>
      <c r="AI332" s="24">
        <v>0.0</v>
      </c>
      <c r="AJ332" s="32">
        <f t="shared" si="4"/>
        <v>3</v>
      </c>
      <c r="AK332" s="32">
        <f t="shared" si="5"/>
        <v>3</v>
      </c>
      <c r="AL332" s="25">
        <f>'MASTER STOCK'!I329</f>
        <v>22000</v>
      </c>
      <c r="AM332" s="27">
        <f>'MASTER STOCK'!L329</f>
        <v>22000</v>
      </c>
      <c r="AN332" s="27">
        <f t="shared" si="6"/>
        <v>0</v>
      </c>
      <c r="AO332" s="26">
        <f t="shared" si="7"/>
        <v>0</v>
      </c>
      <c r="AP332" s="114">
        <f t="shared" si="8"/>
        <v>0</v>
      </c>
      <c r="AQ332" s="10"/>
    </row>
    <row r="333">
      <c r="A333" s="29" t="str">
        <f>'MASTER STOCK'!F330</f>
        <v>Cat kayu avian 25cc</v>
      </c>
      <c r="B333" s="30">
        <f>'NOV 25'!AJ:AJ</f>
        <v>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22">
        <v>2.0</v>
      </c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23">
        <f t="shared" si="3"/>
        <v>2</v>
      </c>
      <c r="AI333" s="24">
        <v>0.0</v>
      </c>
      <c r="AJ333" s="32">
        <f t="shared" si="4"/>
        <v>-1</v>
      </c>
      <c r="AK333" s="32">
        <f t="shared" si="5"/>
        <v>-1</v>
      </c>
      <c r="AL333" s="25">
        <f>'MASTER STOCK'!I330</f>
        <v>5500</v>
      </c>
      <c r="AM333" s="27">
        <f>'MASTER STOCK'!L330</f>
        <v>5500</v>
      </c>
      <c r="AN333" s="27">
        <f t="shared" si="6"/>
        <v>11000</v>
      </c>
      <c r="AO333" s="26">
        <f t="shared" si="7"/>
        <v>0</v>
      </c>
      <c r="AP333" s="114">
        <f t="shared" si="8"/>
        <v>11000</v>
      </c>
      <c r="AQ333" s="10"/>
    </row>
    <row r="334">
      <c r="A334" s="29" t="str">
        <f>'MASTER STOCK'!F331</f>
        <v>Engsel Pintu</v>
      </c>
      <c r="B334" s="30">
        <f>'NOV 25'!AJ:AJ</f>
        <v>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23">
        <f t="shared" si="3"/>
        <v>0</v>
      </c>
      <c r="AI334" s="24">
        <v>0.0</v>
      </c>
      <c r="AJ334" s="32">
        <f t="shared" si="4"/>
        <v>1</v>
      </c>
      <c r="AK334" s="32">
        <f t="shared" si="5"/>
        <v>1</v>
      </c>
      <c r="AL334" s="25">
        <f>'MASTER STOCK'!I331</f>
        <v>23000</v>
      </c>
      <c r="AM334" s="27">
        <f>'MASTER STOCK'!L331</f>
        <v>23000</v>
      </c>
      <c r="AN334" s="27">
        <f t="shared" si="6"/>
        <v>0</v>
      </c>
      <c r="AO334" s="26">
        <f t="shared" si="7"/>
        <v>0</v>
      </c>
      <c r="AP334" s="114">
        <f t="shared" si="8"/>
        <v>0</v>
      </c>
      <c r="AQ334" s="10"/>
    </row>
    <row r="335">
      <c r="A335" s="29" t="str">
        <f>'MASTER STOCK'!F332</f>
        <v>Lem tikus</v>
      </c>
      <c r="B335" s="30">
        <f>'NOV 25'!AJ:AJ</f>
        <v>2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23">
        <f t="shared" si="3"/>
        <v>0</v>
      </c>
      <c r="AI335" s="24">
        <v>0.0</v>
      </c>
      <c r="AJ335" s="32">
        <f t="shared" si="4"/>
        <v>2</v>
      </c>
      <c r="AK335" s="32">
        <f t="shared" si="5"/>
        <v>2</v>
      </c>
      <c r="AL335" s="25">
        <f>'MASTER STOCK'!I332</f>
        <v>21000</v>
      </c>
      <c r="AM335" s="27">
        <f>'MASTER STOCK'!L332</f>
        <v>21000</v>
      </c>
      <c r="AN335" s="27">
        <f t="shared" si="6"/>
        <v>0</v>
      </c>
      <c r="AO335" s="26">
        <f t="shared" si="7"/>
        <v>0</v>
      </c>
      <c r="AP335" s="114">
        <f t="shared" si="8"/>
        <v>0</v>
      </c>
      <c r="AQ335" s="10"/>
    </row>
    <row r="336">
      <c r="A336" s="29" t="str">
        <f>'MASTER STOCK'!F333</f>
        <v>Catut 6"</v>
      </c>
      <c r="B336" s="30">
        <f>'NOV 25'!AJ:AJ</f>
        <v>6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23">
        <f t="shared" si="3"/>
        <v>0</v>
      </c>
      <c r="AI336" s="24">
        <v>0.0</v>
      </c>
      <c r="AJ336" s="32">
        <f t="shared" si="4"/>
        <v>6</v>
      </c>
      <c r="AK336" s="32">
        <f t="shared" si="5"/>
        <v>6</v>
      </c>
      <c r="AL336" s="25">
        <f>'MASTER STOCK'!I333</f>
        <v>15000</v>
      </c>
      <c r="AM336" s="27">
        <f>'MASTER STOCK'!L333</f>
        <v>15000</v>
      </c>
      <c r="AN336" s="27">
        <f t="shared" si="6"/>
        <v>0</v>
      </c>
      <c r="AO336" s="26">
        <f t="shared" si="7"/>
        <v>0</v>
      </c>
      <c r="AP336" s="114">
        <f t="shared" si="8"/>
        <v>0</v>
      </c>
      <c r="AQ336" s="10"/>
    </row>
    <row r="337">
      <c r="A337" s="29" t="str">
        <f>'MASTER STOCK'!F334</f>
        <v>Catut 9"</v>
      </c>
      <c r="B337" s="30">
        <f>'NOV 25'!AJ:AJ</f>
        <v>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23">
        <f t="shared" si="3"/>
        <v>0</v>
      </c>
      <c r="AI337" s="24">
        <v>0.0</v>
      </c>
      <c r="AJ337" s="32">
        <f t="shared" si="4"/>
        <v>1</v>
      </c>
      <c r="AK337" s="32">
        <f t="shared" si="5"/>
        <v>1</v>
      </c>
      <c r="AL337" s="25">
        <f>'MASTER STOCK'!I334</f>
        <v>17000</v>
      </c>
      <c r="AM337" s="27">
        <f>'MASTER STOCK'!L334</f>
        <v>17000</v>
      </c>
      <c r="AN337" s="27">
        <f t="shared" si="6"/>
        <v>0</v>
      </c>
      <c r="AO337" s="26">
        <f t="shared" si="7"/>
        <v>0</v>
      </c>
      <c r="AP337" s="114">
        <f t="shared" si="8"/>
        <v>0</v>
      </c>
      <c r="AQ337" s="10"/>
    </row>
    <row r="338">
      <c r="A338" s="29" t="str">
        <f>'MASTER STOCK'!F335</f>
        <v>Kunci  lemari/laci</v>
      </c>
      <c r="B338" s="30">
        <f>'NOV 25'!AJ:AJ</f>
        <v>10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23">
        <f t="shared" si="3"/>
        <v>0</v>
      </c>
      <c r="AI338" s="24">
        <v>0.0</v>
      </c>
      <c r="AJ338" s="32">
        <f t="shared" si="4"/>
        <v>10</v>
      </c>
      <c r="AK338" s="32">
        <f t="shared" si="5"/>
        <v>10</v>
      </c>
      <c r="AL338" s="25">
        <f>'MASTER STOCK'!I335</f>
        <v>20000</v>
      </c>
      <c r="AM338" s="27">
        <f>'MASTER STOCK'!L335</f>
        <v>20000</v>
      </c>
      <c r="AN338" s="27">
        <f t="shared" si="6"/>
        <v>0</v>
      </c>
      <c r="AO338" s="26">
        <f t="shared" si="7"/>
        <v>0</v>
      </c>
      <c r="AP338" s="114">
        <f t="shared" si="8"/>
        <v>0</v>
      </c>
      <c r="AQ338" s="10"/>
    </row>
    <row r="339">
      <c r="A339" s="29" t="str">
        <f>'MASTER STOCK'!F336</f>
        <v>Microphone</v>
      </c>
      <c r="B339" s="30">
        <f>'NOV 25'!AJ:AJ</f>
        <v>3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23">
        <f t="shared" si="3"/>
        <v>0</v>
      </c>
      <c r="AI339" s="24">
        <v>0.0</v>
      </c>
      <c r="AJ339" s="32">
        <f t="shared" si="4"/>
        <v>3</v>
      </c>
      <c r="AK339" s="32">
        <f t="shared" si="5"/>
        <v>3</v>
      </c>
      <c r="AL339" s="25">
        <f>'MASTER STOCK'!I336</f>
        <v>75000</v>
      </c>
      <c r="AM339" s="27">
        <f>'MASTER STOCK'!L336</f>
        <v>75000</v>
      </c>
      <c r="AN339" s="27">
        <f t="shared" si="6"/>
        <v>0</v>
      </c>
      <c r="AO339" s="26">
        <f t="shared" si="7"/>
        <v>0</v>
      </c>
      <c r="AP339" s="114">
        <f t="shared" si="8"/>
        <v>0</v>
      </c>
      <c r="AQ339" s="10"/>
    </row>
    <row r="340">
      <c r="A340" s="29" t="str">
        <f>'MASTER STOCK'!F337</f>
        <v>Isolasi kecil</v>
      </c>
      <c r="B340" s="30">
        <f>'NOV 25'!AJ:AJ</f>
        <v>2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23">
        <f t="shared" si="3"/>
        <v>0</v>
      </c>
      <c r="AI340" s="24">
        <v>0.0</v>
      </c>
      <c r="AJ340" s="32">
        <f t="shared" si="4"/>
        <v>2</v>
      </c>
      <c r="AK340" s="32">
        <f t="shared" si="5"/>
        <v>2</v>
      </c>
      <c r="AL340" s="25">
        <f>'MASTER STOCK'!I337</f>
        <v>3000</v>
      </c>
      <c r="AM340" s="27">
        <f>'MASTER STOCK'!L337</f>
        <v>3000</v>
      </c>
      <c r="AN340" s="27">
        <f t="shared" si="6"/>
        <v>0</v>
      </c>
      <c r="AO340" s="26">
        <f t="shared" si="7"/>
        <v>0</v>
      </c>
      <c r="AP340" s="114">
        <f t="shared" si="8"/>
        <v>0</v>
      </c>
      <c r="AQ340" s="10"/>
    </row>
    <row r="341">
      <c r="A341" s="29" t="str">
        <f>'MASTER STOCK'!F338</f>
        <v>Lakban coklat</v>
      </c>
      <c r="B341" s="30">
        <f>'NOV 25'!AJ:AJ</f>
        <v>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23">
        <f t="shared" si="3"/>
        <v>0</v>
      </c>
      <c r="AI341" s="24">
        <v>0.0</v>
      </c>
      <c r="AJ341" s="32">
        <f t="shared" si="4"/>
        <v>1</v>
      </c>
      <c r="AK341" s="32">
        <f t="shared" si="5"/>
        <v>1</v>
      </c>
      <c r="AL341" s="25">
        <f>'MASTER STOCK'!I338</f>
        <v>15000</v>
      </c>
      <c r="AM341" s="27">
        <f>'MASTER STOCK'!L338</f>
        <v>15000</v>
      </c>
      <c r="AN341" s="27">
        <f t="shared" si="6"/>
        <v>0</v>
      </c>
      <c r="AO341" s="26">
        <f t="shared" si="7"/>
        <v>0</v>
      </c>
      <c r="AP341" s="114">
        <f t="shared" si="8"/>
        <v>0</v>
      </c>
      <c r="AQ341" s="10"/>
    </row>
    <row r="342">
      <c r="A342" s="29" t="str">
        <f>'MASTER STOCK'!F339</f>
        <v>Fiberglass tape</v>
      </c>
      <c r="B342" s="30">
        <f>'NOV 25'!AJ:AJ</f>
        <v>5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23">
        <f t="shared" si="3"/>
        <v>0</v>
      </c>
      <c r="AI342" s="24">
        <v>0.0</v>
      </c>
      <c r="AJ342" s="32">
        <f t="shared" si="4"/>
        <v>5</v>
      </c>
      <c r="AK342" s="32">
        <f t="shared" si="5"/>
        <v>5</v>
      </c>
      <c r="AL342" s="25">
        <f>'MASTER STOCK'!I339</f>
        <v>10000</v>
      </c>
      <c r="AM342" s="27">
        <f>'MASTER STOCK'!L339</f>
        <v>10000</v>
      </c>
      <c r="AN342" s="27">
        <f t="shared" si="6"/>
        <v>0</v>
      </c>
      <c r="AO342" s="26">
        <f t="shared" si="7"/>
        <v>0</v>
      </c>
      <c r="AP342" s="114">
        <f t="shared" si="8"/>
        <v>0</v>
      </c>
      <c r="AQ342" s="10"/>
    </row>
    <row r="343">
      <c r="A343" s="29" t="str">
        <f>'MASTER STOCK'!F340</f>
        <v>Gembok 40m</v>
      </c>
      <c r="B343" s="30">
        <f>'NOV 25'!AJ:AJ</f>
        <v>4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23">
        <f t="shared" si="3"/>
        <v>0</v>
      </c>
      <c r="AI343" s="24">
        <v>0.0</v>
      </c>
      <c r="AJ343" s="32">
        <f t="shared" si="4"/>
        <v>4</v>
      </c>
      <c r="AK343" s="32">
        <f t="shared" si="5"/>
        <v>4</v>
      </c>
      <c r="AL343" s="25">
        <f>'MASTER STOCK'!I340</f>
        <v>18000</v>
      </c>
      <c r="AM343" s="27">
        <f>'MASTER STOCK'!L340</f>
        <v>18000</v>
      </c>
      <c r="AN343" s="27">
        <f t="shared" si="6"/>
        <v>0</v>
      </c>
      <c r="AO343" s="26">
        <f t="shared" si="7"/>
        <v>0</v>
      </c>
      <c r="AP343" s="114">
        <f t="shared" si="8"/>
        <v>0</v>
      </c>
      <c r="AQ343" s="10"/>
    </row>
    <row r="344">
      <c r="A344" s="29" t="str">
        <f>'MASTER STOCK'!F341</f>
        <v>Gembok 35 m</v>
      </c>
      <c r="B344" s="30">
        <f>'NOV 25'!AJ:AJ</f>
        <v>2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23">
        <f t="shared" si="3"/>
        <v>0</v>
      </c>
      <c r="AI344" s="24">
        <v>0.0</v>
      </c>
      <c r="AJ344" s="32">
        <f t="shared" si="4"/>
        <v>2</v>
      </c>
      <c r="AK344" s="32">
        <f t="shared" si="5"/>
        <v>2</v>
      </c>
      <c r="AL344" s="25">
        <f>'MASTER STOCK'!I341</f>
        <v>15000</v>
      </c>
      <c r="AM344" s="27">
        <f>'MASTER STOCK'!L341</f>
        <v>15000</v>
      </c>
      <c r="AN344" s="27">
        <f t="shared" si="6"/>
        <v>0</v>
      </c>
      <c r="AO344" s="26">
        <f t="shared" si="7"/>
        <v>0</v>
      </c>
      <c r="AP344" s="114">
        <f t="shared" si="8"/>
        <v>0</v>
      </c>
      <c r="AQ344" s="10"/>
    </row>
    <row r="345">
      <c r="A345" s="29" t="str">
        <f>'MASTER STOCK'!F342</f>
        <v>Gembok 25mm</v>
      </c>
      <c r="B345" s="30">
        <f>'NOV 25'!AJ:AJ</f>
        <v>3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23">
        <f t="shared" si="3"/>
        <v>0</v>
      </c>
      <c r="AI345" s="24">
        <v>0.0</v>
      </c>
      <c r="AJ345" s="32">
        <f t="shared" si="4"/>
        <v>3</v>
      </c>
      <c r="AK345" s="32">
        <f t="shared" si="5"/>
        <v>3</v>
      </c>
      <c r="AL345" s="25">
        <f>'MASTER STOCK'!I342</f>
        <v>13000</v>
      </c>
      <c r="AM345" s="27">
        <f>'MASTER STOCK'!L342</f>
        <v>13000</v>
      </c>
      <c r="AN345" s="27">
        <f t="shared" si="6"/>
        <v>0</v>
      </c>
      <c r="AO345" s="26">
        <f t="shared" si="7"/>
        <v>0</v>
      </c>
      <c r="AP345" s="114">
        <f t="shared" si="8"/>
        <v>0</v>
      </c>
      <c r="AQ345" s="10"/>
    </row>
    <row r="346">
      <c r="A346" s="29" t="str">
        <f>'MASTER STOCK'!F343</f>
        <v>Microphone mini clip</v>
      </c>
      <c r="B346" s="30">
        <f>'NOV 25'!AJ:AJ</f>
        <v>2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23">
        <f t="shared" si="3"/>
        <v>0</v>
      </c>
      <c r="AI346" s="24">
        <v>0.0</v>
      </c>
      <c r="AJ346" s="32">
        <f t="shared" si="4"/>
        <v>2</v>
      </c>
      <c r="AK346" s="32">
        <f t="shared" si="5"/>
        <v>2</v>
      </c>
      <c r="AL346" s="25">
        <f>'MASTER STOCK'!I343</f>
        <v>135000</v>
      </c>
      <c r="AM346" s="27">
        <f>'MASTER STOCK'!L343</f>
        <v>135000</v>
      </c>
      <c r="AN346" s="27">
        <f t="shared" si="6"/>
        <v>0</v>
      </c>
      <c r="AO346" s="26">
        <f t="shared" si="7"/>
        <v>0</v>
      </c>
      <c r="AP346" s="114">
        <f t="shared" si="8"/>
        <v>0</v>
      </c>
      <c r="AQ346" s="10"/>
    </row>
    <row r="347">
      <c r="A347" s="29" t="str">
        <f>'MASTER STOCK'!F344</f>
        <v>Double tip foam hitam</v>
      </c>
      <c r="B347" s="30">
        <f>'NOV 25'!AJ:AJ</f>
        <v>3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23">
        <f t="shared" si="3"/>
        <v>0</v>
      </c>
      <c r="AI347" s="24">
        <v>0.0</v>
      </c>
      <c r="AJ347" s="32">
        <f t="shared" si="4"/>
        <v>3</v>
      </c>
      <c r="AK347" s="32">
        <f t="shared" si="5"/>
        <v>3</v>
      </c>
      <c r="AL347" s="25">
        <f>'MASTER STOCK'!I344</f>
        <v>6000</v>
      </c>
      <c r="AM347" s="27">
        <f>'MASTER STOCK'!L344</f>
        <v>6000</v>
      </c>
      <c r="AN347" s="27">
        <f t="shared" si="6"/>
        <v>0</v>
      </c>
      <c r="AO347" s="26">
        <f t="shared" si="7"/>
        <v>0</v>
      </c>
      <c r="AP347" s="114">
        <f t="shared" si="8"/>
        <v>0</v>
      </c>
      <c r="AQ347" s="10"/>
    </row>
    <row r="348">
      <c r="A348" s="29" t="str">
        <f>'MASTER STOCK'!F345</f>
        <v>amplass</v>
      </c>
      <c r="B348" s="30">
        <f>'NOV 25'!AJ:AJ</f>
        <v>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23">
        <f t="shared" si="3"/>
        <v>0</v>
      </c>
      <c r="AI348" s="24">
        <v>0.0</v>
      </c>
      <c r="AJ348" s="32">
        <f t="shared" si="4"/>
        <v>1</v>
      </c>
      <c r="AK348" s="32">
        <f t="shared" si="5"/>
        <v>1</v>
      </c>
      <c r="AL348" s="25">
        <f>'MASTER STOCK'!I345</f>
        <v>7000</v>
      </c>
      <c r="AM348" s="27">
        <f>'MASTER STOCK'!L345</f>
        <v>7000</v>
      </c>
      <c r="AN348" s="27">
        <f t="shared" si="6"/>
        <v>0</v>
      </c>
      <c r="AO348" s="26">
        <f t="shared" si="7"/>
        <v>0</v>
      </c>
      <c r="AP348" s="114">
        <f t="shared" si="8"/>
        <v>0</v>
      </c>
      <c r="AQ348" s="10"/>
    </row>
    <row r="349">
      <c r="A349" s="29" t="str">
        <f>'MASTER STOCK'!F346</f>
        <v>Tie clip microphone</v>
      </c>
      <c r="B349" s="30">
        <f>'NOV 25'!AJ:AJ</f>
        <v>2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23">
        <f t="shared" si="3"/>
        <v>0</v>
      </c>
      <c r="AI349" s="24">
        <v>0.0</v>
      </c>
      <c r="AJ349" s="32">
        <f t="shared" si="4"/>
        <v>2</v>
      </c>
      <c r="AK349" s="32">
        <f t="shared" si="5"/>
        <v>2</v>
      </c>
      <c r="AL349" s="25">
        <f>'MASTER STOCK'!I346</f>
        <v>125000</v>
      </c>
      <c r="AM349" s="27">
        <f>'MASTER STOCK'!L346</f>
        <v>125000</v>
      </c>
      <c r="AN349" s="27">
        <f t="shared" si="6"/>
        <v>0</v>
      </c>
      <c r="AO349" s="26">
        <f t="shared" si="7"/>
        <v>0</v>
      </c>
      <c r="AP349" s="114">
        <f t="shared" si="8"/>
        <v>0</v>
      </c>
      <c r="AQ349" s="10"/>
    </row>
    <row r="350">
      <c r="A350" s="29" t="str">
        <f>'MASTER STOCK'!F347</f>
        <v>Selot besar / grendel 3"</v>
      </c>
      <c r="B350" s="30">
        <f>'NOV 25'!AJ:AJ</f>
        <v>3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23">
        <f t="shared" si="3"/>
        <v>0</v>
      </c>
      <c r="AI350" s="24">
        <v>0.0</v>
      </c>
      <c r="AJ350" s="32">
        <f t="shared" si="4"/>
        <v>3</v>
      </c>
      <c r="AK350" s="32">
        <f t="shared" si="5"/>
        <v>3</v>
      </c>
      <c r="AL350" s="25">
        <f>'MASTER STOCK'!I347</f>
        <v>11000</v>
      </c>
      <c r="AM350" s="27">
        <f>'MASTER STOCK'!L347</f>
        <v>11000</v>
      </c>
      <c r="AN350" s="27">
        <f t="shared" si="6"/>
        <v>0</v>
      </c>
      <c r="AO350" s="26">
        <f t="shared" si="7"/>
        <v>0</v>
      </c>
      <c r="AP350" s="114">
        <f t="shared" si="8"/>
        <v>0</v>
      </c>
      <c r="AQ350" s="10"/>
    </row>
    <row r="351">
      <c r="A351" s="29" t="str">
        <f>'MASTER STOCK'!F348</f>
        <v>Tee dos</v>
      </c>
      <c r="B351" s="30">
        <f>'NOV 25'!AJ:AJ</f>
        <v>8</v>
      </c>
      <c r="C351" s="22">
        <v>1.0</v>
      </c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23">
        <f t="shared" si="3"/>
        <v>1</v>
      </c>
      <c r="AI351" s="24">
        <v>0.0</v>
      </c>
      <c r="AJ351" s="32">
        <f t="shared" si="4"/>
        <v>7</v>
      </c>
      <c r="AK351" s="32">
        <f t="shared" si="5"/>
        <v>7</v>
      </c>
      <c r="AL351" s="25">
        <f>'MASTER STOCK'!I348</f>
        <v>3000</v>
      </c>
      <c r="AM351" s="27">
        <f>'MASTER STOCK'!L348</f>
        <v>3000</v>
      </c>
      <c r="AN351" s="27">
        <f t="shared" si="6"/>
        <v>3000</v>
      </c>
      <c r="AO351" s="26">
        <f t="shared" si="7"/>
        <v>0</v>
      </c>
      <c r="AP351" s="114">
        <f t="shared" si="8"/>
        <v>3000</v>
      </c>
      <c r="AQ351" s="10"/>
    </row>
    <row r="352">
      <c r="A352" s="29" t="str">
        <f>'MASTER STOCK'!F349</f>
        <v>Double tip foam putih</v>
      </c>
      <c r="B352" s="30">
        <f>'NOV 25'!AJ:AJ</f>
        <v>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22">
        <v>1.0</v>
      </c>
      <c r="AF352" s="10"/>
      <c r="AG352" s="10"/>
      <c r="AH352" s="23">
        <f t="shared" si="3"/>
        <v>1</v>
      </c>
      <c r="AI352" s="24">
        <v>0.0</v>
      </c>
      <c r="AJ352" s="32">
        <f t="shared" si="4"/>
        <v>0</v>
      </c>
      <c r="AK352" s="32">
        <f t="shared" si="5"/>
        <v>0</v>
      </c>
      <c r="AL352" s="25">
        <f>'MASTER STOCK'!I349</f>
        <v>2500</v>
      </c>
      <c r="AM352" s="27">
        <f>'MASTER STOCK'!L349</f>
        <v>2500</v>
      </c>
      <c r="AN352" s="27">
        <f t="shared" si="6"/>
        <v>2500</v>
      </c>
      <c r="AO352" s="26">
        <f t="shared" si="7"/>
        <v>0</v>
      </c>
      <c r="AP352" s="114">
        <f t="shared" si="8"/>
        <v>2500</v>
      </c>
      <c r="AQ352" s="10"/>
    </row>
    <row r="353">
      <c r="A353" s="29" t="str">
        <f>'MASTER STOCK'!F350</f>
        <v>pegangan pintu putih </v>
      </c>
      <c r="B353" s="30">
        <f>'NOV 25'!AJ:AJ</f>
        <v>2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23">
        <f t="shared" si="3"/>
        <v>0</v>
      </c>
      <c r="AI353" s="24">
        <v>0.0</v>
      </c>
      <c r="AJ353" s="32">
        <f t="shared" si="4"/>
        <v>2</v>
      </c>
      <c r="AK353" s="32">
        <f t="shared" si="5"/>
        <v>2</v>
      </c>
      <c r="AL353" s="25">
        <f>'MASTER STOCK'!I350</f>
        <v>16000</v>
      </c>
      <c r="AM353" s="27">
        <f>'MASTER STOCK'!L350</f>
        <v>16000</v>
      </c>
      <c r="AN353" s="27">
        <f t="shared" si="6"/>
        <v>0</v>
      </c>
      <c r="AO353" s="26">
        <f t="shared" si="7"/>
        <v>0</v>
      </c>
      <c r="AP353" s="114">
        <f t="shared" si="8"/>
        <v>0</v>
      </c>
      <c r="AQ353" s="10"/>
    </row>
    <row r="354">
      <c r="A354" s="20" t="str">
        <f>'MASTER STOCK'!F351</f>
        <v>INBOW DUS</v>
      </c>
      <c r="B354" s="21">
        <f>'NOV 25'!AJ:AJ</f>
        <v>15</v>
      </c>
      <c r="C354" s="10"/>
      <c r="D354" s="10"/>
      <c r="E354" s="22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23">
        <f t="shared" si="3"/>
        <v>0</v>
      </c>
      <c r="AI354" s="24">
        <v>0.0</v>
      </c>
      <c r="AJ354" s="23">
        <f t="shared" si="4"/>
        <v>15</v>
      </c>
      <c r="AK354" s="23">
        <f t="shared" si="5"/>
        <v>15</v>
      </c>
      <c r="AL354" s="25">
        <f>'MASTER STOCK'!I351</f>
        <v>500</v>
      </c>
      <c r="AM354" s="27">
        <f>'MASTER STOCK'!L351</f>
        <v>1000</v>
      </c>
      <c r="AN354" s="27">
        <f t="shared" si="6"/>
        <v>0</v>
      </c>
      <c r="AO354" s="26">
        <f t="shared" si="7"/>
        <v>0</v>
      </c>
      <c r="AP354" s="114">
        <f t="shared" si="8"/>
        <v>0</v>
      </c>
      <c r="AQ354" s="10"/>
    </row>
    <row r="355">
      <c r="A355" s="20" t="str">
        <f>'MASTER STOCK'!F352</f>
        <v>TEE DOS</v>
      </c>
      <c r="B355" s="21">
        <f>'NOV 25'!AJ:AJ</f>
        <v>20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23">
        <f t="shared" si="3"/>
        <v>0</v>
      </c>
      <c r="AI355" s="24">
        <v>0.0</v>
      </c>
      <c r="AJ355" s="23">
        <f t="shared" si="4"/>
        <v>20</v>
      </c>
      <c r="AK355" s="23">
        <f t="shared" si="5"/>
        <v>20</v>
      </c>
      <c r="AL355" s="25">
        <f>'MASTER STOCK'!I352</f>
        <v>500</v>
      </c>
      <c r="AM355" s="27">
        <f>'MASTER STOCK'!L352</f>
        <v>1500</v>
      </c>
      <c r="AN355" s="27">
        <f t="shared" si="6"/>
        <v>0</v>
      </c>
      <c r="AO355" s="26">
        <f t="shared" si="7"/>
        <v>0</v>
      </c>
      <c r="AP355" s="114">
        <f t="shared" si="8"/>
        <v>0</v>
      </c>
      <c r="AQ355" s="10"/>
    </row>
    <row r="356">
      <c r="A356" s="20" t="str">
        <f>'MASTER STOCK'!F353</f>
        <v>LEM TEMBAK</v>
      </c>
      <c r="B356" s="21">
        <f>'NOV 25'!AJ:AJ</f>
        <v>74</v>
      </c>
      <c r="C356" s="22">
        <v>3.0</v>
      </c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23">
        <f t="shared" si="3"/>
        <v>3</v>
      </c>
      <c r="AI356" s="24">
        <v>0.0</v>
      </c>
      <c r="AJ356" s="23">
        <f t="shared" si="4"/>
        <v>71</v>
      </c>
      <c r="AK356" s="23">
        <f t="shared" si="5"/>
        <v>71</v>
      </c>
      <c r="AL356" s="25">
        <f>'MASTER STOCK'!I353</f>
        <v>700</v>
      </c>
      <c r="AM356" s="27">
        <f>'MASTER STOCK'!L353</f>
        <v>1500</v>
      </c>
      <c r="AN356" s="27">
        <f t="shared" si="6"/>
        <v>4500</v>
      </c>
      <c r="AO356" s="26">
        <f t="shared" si="7"/>
        <v>2400</v>
      </c>
      <c r="AP356" s="114">
        <f t="shared" si="8"/>
        <v>2100</v>
      </c>
      <c r="AQ356" s="10"/>
    </row>
    <row r="357">
      <c r="A357" s="20" t="str">
        <f>'MASTER STOCK'!F354</f>
        <v>STOP KONTAK BROCO TANAM</v>
      </c>
      <c r="B357" s="21">
        <f>'NOV 25'!AJ:AJ</f>
        <v>2</v>
      </c>
      <c r="C357" s="10"/>
      <c r="D357" s="10"/>
      <c r="E357" s="10"/>
      <c r="F357" s="10"/>
      <c r="G357" s="10"/>
      <c r="H357" s="10"/>
      <c r="I357" s="10"/>
      <c r="J357" s="10"/>
      <c r="K357" s="22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23">
        <f t="shared" si="3"/>
        <v>0</v>
      </c>
      <c r="AI357" s="24">
        <v>0.0</v>
      </c>
      <c r="AJ357" s="23">
        <f t="shared" si="4"/>
        <v>2</v>
      </c>
      <c r="AK357" s="23">
        <f t="shared" si="5"/>
        <v>2</v>
      </c>
      <c r="AL357" s="25">
        <f>'MASTER STOCK'!I354</f>
        <v>13500</v>
      </c>
      <c r="AM357" s="27">
        <f>'MASTER STOCK'!L354</f>
        <v>16000</v>
      </c>
      <c r="AN357" s="27">
        <f t="shared" si="6"/>
        <v>0</v>
      </c>
      <c r="AO357" s="26">
        <f t="shared" si="7"/>
        <v>0</v>
      </c>
      <c r="AP357" s="114">
        <f t="shared" si="8"/>
        <v>0</v>
      </c>
      <c r="AQ357" s="10"/>
    </row>
    <row r="358">
      <c r="A358" s="20" t="str">
        <f>'MASTER STOCK'!F355</f>
        <v>STOP KONTAK TANAM PANASONIC</v>
      </c>
      <c r="B358" s="21">
        <f>'NOV 25'!AJ:AJ</f>
        <v>3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23">
        <f t="shared" si="3"/>
        <v>0</v>
      </c>
      <c r="AI358" s="24">
        <v>0.0</v>
      </c>
      <c r="AJ358" s="23">
        <f t="shared" si="4"/>
        <v>3</v>
      </c>
      <c r="AK358" s="23">
        <f t="shared" si="5"/>
        <v>3</v>
      </c>
      <c r="AL358" s="25">
        <f>'MASTER STOCK'!I355</f>
        <v>15000</v>
      </c>
      <c r="AM358" s="27">
        <f>'MASTER STOCK'!L355</f>
        <v>18000</v>
      </c>
      <c r="AN358" s="27">
        <f t="shared" si="6"/>
        <v>0</v>
      </c>
      <c r="AO358" s="26">
        <f t="shared" si="7"/>
        <v>0</v>
      </c>
      <c r="AP358" s="114">
        <f t="shared" si="8"/>
        <v>0</v>
      </c>
      <c r="AQ358" s="10"/>
    </row>
    <row r="359">
      <c r="A359" s="20" t="str">
        <f>'MASTER STOCK'!F356</f>
        <v>STOP KONTAK INBOW TANAM</v>
      </c>
      <c r="B359" s="21">
        <f>'NOV 25'!AJ:AJ</f>
        <v>5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23">
        <f t="shared" si="3"/>
        <v>0</v>
      </c>
      <c r="AI359" s="24">
        <v>0.0</v>
      </c>
      <c r="AJ359" s="23">
        <f t="shared" si="4"/>
        <v>5</v>
      </c>
      <c r="AK359" s="23">
        <f t="shared" si="5"/>
        <v>5</v>
      </c>
      <c r="AL359" s="25">
        <f>'MASTER STOCK'!I356</f>
        <v>6400</v>
      </c>
      <c r="AM359" s="27">
        <f>'MASTER STOCK'!L356</f>
        <v>11000</v>
      </c>
      <c r="AN359" s="27">
        <f t="shared" si="6"/>
        <v>0</v>
      </c>
      <c r="AO359" s="26">
        <f t="shared" si="7"/>
        <v>0</v>
      </c>
      <c r="AP359" s="114">
        <f t="shared" si="8"/>
        <v>0</v>
      </c>
      <c r="AQ359" s="10"/>
    </row>
    <row r="360">
      <c r="A360" s="20" t="str">
        <f>'MASTER STOCK'!F357</f>
        <v>SAKLAR3 CABANG (TEE)</v>
      </c>
      <c r="B360" s="21">
        <f>'NOV 25'!AJ:AJ</f>
        <v>2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23">
        <f t="shared" si="3"/>
        <v>0</v>
      </c>
      <c r="AI360" s="24">
        <v>0.0</v>
      </c>
      <c r="AJ360" s="23">
        <f t="shared" si="4"/>
        <v>2</v>
      </c>
      <c r="AK360" s="23">
        <f t="shared" si="5"/>
        <v>2</v>
      </c>
      <c r="AL360" s="25">
        <f>'MASTER STOCK'!I357</f>
        <v>17500</v>
      </c>
      <c r="AM360" s="27">
        <f>'MASTER STOCK'!L357</f>
        <v>18000</v>
      </c>
      <c r="AN360" s="27">
        <f t="shared" si="6"/>
        <v>0</v>
      </c>
      <c r="AO360" s="26">
        <f t="shared" si="7"/>
        <v>0</v>
      </c>
      <c r="AP360" s="114">
        <f t="shared" si="8"/>
        <v>0</v>
      </c>
      <c r="AQ360" s="10"/>
    </row>
    <row r="361">
      <c r="A361" s="20" t="str">
        <f>'MASTER STOCK'!F358</f>
        <v>SAKLAR HOKSUN 3 LUBANG</v>
      </c>
      <c r="B361" s="21">
        <f>'NOV 25'!AJ:AJ</f>
        <v>2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22">
        <v>1.0</v>
      </c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23">
        <f t="shared" si="3"/>
        <v>1</v>
      </c>
      <c r="AI361" s="24">
        <v>0.0</v>
      </c>
      <c r="AJ361" s="23">
        <f t="shared" si="4"/>
        <v>1</v>
      </c>
      <c r="AK361" s="23">
        <f t="shared" si="5"/>
        <v>1</v>
      </c>
      <c r="AL361" s="25">
        <f>'MASTER STOCK'!I358</f>
        <v>15750</v>
      </c>
      <c r="AM361" s="27">
        <f>'MASTER STOCK'!L358</f>
        <v>22000</v>
      </c>
      <c r="AN361" s="27">
        <f t="shared" si="6"/>
        <v>22000</v>
      </c>
      <c r="AO361" s="26">
        <f t="shared" si="7"/>
        <v>6250</v>
      </c>
      <c r="AP361" s="114">
        <f t="shared" si="8"/>
        <v>15750</v>
      </c>
      <c r="AQ361" s="10"/>
    </row>
    <row r="362">
      <c r="A362" s="20" t="str">
        <f>'MASTER STOCK'!F359</f>
        <v>SAKLAR TRM 4 LUBANG</v>
      </c>
      <c r="B362" s="21">
        <f>'NOV 25'!AJ:AJ</f>
        <v>2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23">
        <f t="shared" si="3"/>
        <v>0</v>
      </c>
      <c r="AI362" s="24">
        <v>0.0</v>
      </c>
      <c r="AJ362" s="23">
        <f t="shared" si="4"/>
        <v>2</v>
      </c>
      <c r="AK362" s="23">
        <f t="shared" si="5"/>
        <v>2</v>
      </c>
      <c r="AL362" s="25">
        <f>'MASTER STOCK'!I359</f>
        <v>19750</v>
      </c>
      <c r="AM362" s="27">
        <f>'MASTER STOCK'!L359</f>
        <v>26000</v>
      </c>
      <c r="AN362" s="27">
        <f t="shared" si="6"/>
        <v>0</v>
      </c>
      <c r="AO362" s="26">
        <f t="shared" si="7"/>
        <v>0</v>
      </c>
      <c r="AP362" s="114">
        <f t="shared" si="8"/>
        <v>0</v>
      </c>
      <c r="AQ362" s="10"/>
    </row>
    <row r="363">
      <c r="A363" s="20" t="str">
        <f>'MASTER STOCK'!F360</f>
        <v>SEMEN MERAH PUTIH</v>
      </c>
      <c r="B363" s="21">
        <f>'NOV 25'!AJ:AJ</f>
        <v>5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23">
        <f t="shared" si="3"/>
        <v>0</v>
      </c>
      <c r="AI363" s="24">
        <v>0.0</v>
      </c>
      <c r="AJ363" s="23">
        <f t="shared" si="4"/>
        <v>5</v>
      </c>
      <c r="AK363" s="23">
        <f t="shared" si="5"/>
        <v>5</v>
      </c>
      <c r="AL363" s="25">
        <f>'MASTER STOCK'!I360</f>
        <v>41000</v>
      </c>
      <c r="AM363" s="27">
        <f>'MASTER STOCK'!L360</f>
        <v>42000</v>
      </c>
      <c r="AN363" s="27">
        <f t="shared" si="6"/>
        <v>0</v>
      </c>
      <c r="AO363" s="26">
        <f t="shared" si="7"/>
        <v>0</v>
      </c>
      <c r="AP363" s="114">
        <f t="shared" si="8"/>
        <v>0</v>
      </c>
      <c r="AQ363" s="10"/>
    </row>
    <row r="364">
      <c r="A364" s="20" t="str">
        <f>'MASTER STOCK'!F361</f>
        <v>SEMEN SINGA MERAH</v>
      </c>
      <c r="B364" s="21">
        <f>'NOV 25'!AJ:AJ</f>
        <v>2</v>
      </c>
      <c r="C364" s="22">
        <v>1.0</v>
      </c>
      <c r="D364" s="10"/>
      <c r="E364" s="22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22"/>
      <c r="AC364" s="10"/>
      <c r="AD364" s="10"/>
      <c r="AE364" s="10"/>
      <c r="AF364" s="10"/>
      <c r="AG364" s="22"/>
      <c r="AH364" s="23">
        <f t="shared" si="3"/>
        <v>1</v>
      </c>
      <c r="AI364" s="24">
        <v>0.0</v>
      </c>
      <c r="AJ364" s="23">
        <f t="shared" si="4"/>
        <v>1</v>
      </c>
      <c r="AK364" s="23">
        <f t="shared" si="5"/>
        <v>1</v>
      </c>
      <c r="AL364" s="25">
        <f>'MASTER STOCK'!I361</f>
        <v>43000</v>
      </c>
      <c r="AM364" s="27">
        <f>'MASTER STOCK'!L361</f>
        <v>44000</v>
      </c>
      <c r="AN364" s="27">
        <f t="shared" si="6"/>
        <v>44000</v>
      </c>
      <c r="AO364" s="26">
        <f t="shared" si="7"/>
        <v>1000</v>
      </c>
      <c r="AP364" s="114">
        <f t="shared" si="8"/>
        <v>43000</v>
      </c>
      <c r="AQ364" s="10"/>
    </row>
    <row r="365">
      <c r="A365" s="20" t="str">
        <f>'MASTER STOCK'!F362</f>
        <v>WATERMUR 3/4</v>
      </c>
      <c r="B365" s="21">
        <f>'NOV 25'!AJ:AJ</f>
        <v>5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23">
        <f t="shared" si="3"/>
        <v>0</v>
      </c>
      <c r="AI365" s="24">
        <v>0.0</v>
      </c>
      <c r="AJ365" s="23">
        <f t="shared" si="4"/>
        <v>5</v>
      </c>
      <c r="AK365" s="23">
        <f t="shared" si="5"/>
        <v>5</v>
      </c>
      <c r="AL365" s="25">
        <f>'MASTER STOCK'!I362</f>
        <v>4700</v>
      </c>
      <c r="AM365" s="27">
        <f>'MASTER STOCK'!L362</f>
        <v>7000</v>
      </c>
      <c r="AN365" s="27">
        <f t="shared" si="6"/>
        <v>0</v>
      </c>
      <c r="AO365" s="26">
        <f t="shared" si="7"/>
        <v>0</v>
      </c>
      <c r="AP365" s="114">
        <f t="shared" si="8"/>
        <v>0</v>
      </c>
      <c r="AQ365" s="10"/>
    </row>
    <row r="366">
      <c r="A366" s="20" t="str">
        <f>'MASTER STOCK'!F363</f>
        <v>SOLDER GAGANG KAYU 40W</v>
      </c>
      <c r="B366" s="21">
        <f>'NOV 25'!AJ:AJ</f>
        <v>5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23">
        <f t="shared" si="3"/>
        <v>0</v>
      </c>
      <c r="AI366" s="24">
        <v>0.0</v>
      </c>
      <c r="AJ366" s="23">
        <f t="shared" si="4"/>
        <v>5</v>
      </c>
      <c r="AK366" s="23">
        <f t="shared" si="5"/>
        <v>5</v>
      </c>
      <c r="AL366" s="25">
        <f>'MASTER STOCK'!I363</f>
        <v>9000</v>
      </c>
      <c r="AM366" s="27">
        <f>'MASTER STOCK'!L363</f>
        <v>12000</v>
      </c>
      <c r="AN366" s="27">
        <f t="shared" si="6"/>
        <v>0</v>
      </c>
      <c r="AO366" s="26">
        <f t="shared" si="7"/>
        <v>0</v>
      </c>
      <c r="AP366" s="114">
        <f t="shared" si="8"/>
        <v>0</v>
      </c>
      <c r="AQ366" s="10"/>
    </row>
    <row r="367">
      <c r="A367" s="20" t="str">
        <f>'MASTER STOCK'!F364</f>
        <v>KUAS GRT 3"</v>
      </c>
      <c r="B367" s="21">
        <f>'NOV 25'!AJ:AJ</f>
        <v>12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22">
        <v>3.0</v>
      </c>
      <c r="AF367" s="10"/>
      <c r="AG367" s="10"/>
      <c r="AH367" s="23">
        <f t="shared" si="3"/>
        <v>3</v>
      </c>
      <c r="AI367" s="24">
        <v>0.0</v>
      </c>
      <c r="AJ367" s="23">
        <f t="shared" si="4"/>
        <v>9</v>
      </c>
      <c r="AK367" s="23">
        <f t="shared" si="5"/>
        <v>9</v>
      </c>
      <c r="AL367" s="25">
        <f>'MASTER STOCK'!I364</f>
        <v>4000</v>
      </c>
      <c r="AM367" s="27">
        <f>'MASTER STOCK'!L364</f>
        <v>7500</v>
      </c>
      <c r="AN367" s="27">
        <f t="shared" si="6"/>
        <v>22500</v>
      </c>
      <c r="AO367" s="26">
        <f t="shared" si="7"/>
        <v>10500</v>
      </c>
      <c r="AP367" s="114">
        <f t="shared" si="8"/>
        <v>12000</v>
      </c>
      <c r="AQ367" s="10"/>
    </row>
    <row r="368">
      <c r="A368" s="20" t="str">
        <f>'MASTER STOCK'!F365</f>
        <v>PENGAMAN REGULATOR</v>
      </c>
      <c r="B368" s="21">
        <f>'NOV 25'!AJ:AJ</f>
        <v>3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23">
        <f t="shared" si="3"/>
        <v>0</v>
      </c>
      <c r="AI368" s="24">
        <v>0.0</v>
      </c>
      <c r="AJ368" s="23">
        <f t="shared" si="4"/>
        <v>3</v>
      </c>
      <c r="AK368" s="23">
        <f t="shared" si="5"/>
        <v>3</v>
      </c>
      <c r="AL368" s="25">
        <f>'MASTER STOCK'!I365</f>
        <v>7500</v>
      </c>
      <c r="AM368" s="27">
        <f>'MASTER STOCK'!L365</f>
        <v>12000</v>
      </c>
      <c r="AN368" s="27">
        <f t="shared" si="6"/>
        <v>0</v>
      </c>
      <c r="AO368" s="26">
        <f t="shared" si="7"/>
        <v>0</v>
      </c>
      <c r="AP368" s="114">
        <f t="shared" si="8"/>
        <v>0</v>
      </c>
      <c r="AQ368" s="10"/>
    </row>
    <row r="369">
      <c r="A369" s="20" t="str">
        <f>'MASTER STOCK'!F366</f>
        <v>KLEM REGULATOR</v>
      </c>
      <c r="B369" s="21">
        <f>'NOV 25'!AJ:AJ</f>
        <v>20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22">
        <v>1.0</v>
      </c>
      <c r="AF369" s="10"/>
      <c r="AG369" s="10"/>
      <c r="AH369" s="23">
        <f t="shared" si="3"/>
        <v>1</v>
      </c>
      <c r="AI369" s="24">
        <v>0.0</v>
      </c>
      <c r="AJ369" s="23">
        <f t="shared" si="4"/>
        <v>19</v>
      </c>
      <c r="AK369" s="23">
        <f t="shared" si="5"/>
        <v>19</v>
      </c>
      <c r="AL369" s="25">
        <f>'MASTER STOCK'!I366</f>
        <v>1200</v>
      </c>
      <c r="AM369" s="27">
        <f>'MASTER STOCK'!L366</f>
        <v>2500</v>
      </c>
      <c r="AN369" s="27">
        <f t="shared" si="6"/>
        <v>2500</v>
      </c>
      <c r="AO369" s="26">
        <f t="shared" si="7"/>
        <v>1300</v>
      </c>
      <c r="AP369" s="114">
        <f t="shared" si="8"/>
        <v>1200</v>
      </c>
      <c r="AQ369" s="10"/>
    </row>
    <row r="370">
      <c r="A370" s="20" t="str">
        <f>'MASTER STOCK'!F367</f>
        <v>TIMBA STANDART</v>
      </c>
      <c r="B370" s="21">
        <f>'NOV 25'!AJ:AJ</f>
        <v>10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22">
        <v>1.0</v>
      </c>
      <c r="Y370" s="10"/>
      <c r="Z370" s="10"/>
      <c r="AA370" s="10"/>
      <c r="AB370" s="10"/>
      <c r="AC370" s="10"/>
      <c r="AD370" s="10"/>
      <c r="AE370" s="22">
        <v>1.0</v>
      </c>
      <c r="AF370" s="10"/>
      <c r="AG370" s="10"/>
      <c r="AH370" s="23">
        <f t="shared" si="3"/>
        <v>2</v>
      </c>
      <c r="AI370" s="24">
        <v>0.0</v>
      </c>
      <c r="AJ370" s="23">
        <f t="shared" si="4"/>
        <v>8</v>
      </c>
      <c r="AK370" s="23">
        <f t="shared" si="5"/>
        <v>8</v>
      </c>
      <c r="AL370" s="25">
        <f>'MASTER STOCK'!I367</f>
        <v>5000</v>
      </c>
      <c r="AM370" s="27">
        <f>'MASTER STOCK'!L367</f>
        <v>8000</v>
      </c>
      <c r="AN370" s="27">
        <f t="shared" si="6"/>
        <v>16000</v>
      </c>
      <c r="AO370" s="26">
        <f t="shared" si="7"/>
        <v>6000</v>
      </c>
      <c r="AP370" s="114">
        <f t="shared" si="8"/>
        <v>10000</v>
      </c>
      <c r="AQ370" s="10"/>
    </row>
    <row r="371">
      <c r="A371" s="20" t="str">
        <f>'MASTER STOCK'!F368</f>
        <v>KNEE DRAT DALAM 1/2 DIM</v>
      </c>
      <c r="B371" s="21">
        <f>'NOV 25'!AJ:AJ</f>
        <v>15</v>
      </c>
      <c r="C371" s="22">
        <v>1.0</v>
      </c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23">
        <f t="shared" si="3"/>
        <v>1</v>
      </c>
      <c r="AI371" s="24">
        <v>0.0</v>
      </c>
      <c r="AJ371" s="23">
        <f t="shared" si="4"/>
        <v>14</v>
      </c>
      <c r="AK371" s="23">
        <f t="shared" si="5"/>
        <v>14</v>
      </c>
      <c r="AL371" s="25">
        <f>'MASTER STOCK'!I368</f>
        <v>1400</v>
      </c>
      <c r="AM371" s="27">
        <f>'MASTER STOCK'!L368</f>
        <v>3500</v>
      </c>
      <c r="AN371" s="27">
        <f t="shared" si="6"/>
        <v>3500</v>
      </c>
      <c r="AO371" s="26">
        <f t="shared" si="7"/>
        <v>2100</v>
      </c>
      <c r="AP371" s="114">
        <f t="shared" si="8"/>
        <v>1400</v>
      </c>
      <c r="AQ371" s="10"/>
    </row>
    <row r="372">
      <c r="A372" s="20" t="str">
        <f>'MASTER STOCK'!F369</f>
        <v>AMPLAS UK 60 </v>
      </c>
      <c r="B372" s="21">
        <f>'NOV 25'!AJ:AJ</f>
        <v>10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23">
        <f t="shared" si="3"/>
        <v>0</v>
      </c>
      <c r="AI372" s="24">
        <v>0.0</v>
      </c>
      <c r="AJ372" s="23">
        <f t="shared" si="4"/>
        <v>10</v>
      </c>
      <c r="AK372" s="23">
        <f t="shared" si="5"/>
        <v>10</v>
      </c>
      <c r="AL372" s="25">
        <f>'MASTER STOCK'!I369</f>
        <v>4500</v>
      </c>
      <c r="AM372" s="27">
        <f>'MASTER STOCK'!L369</f>
        <v>7000</v>
      </c>
      <c r="AN372" s="27">
        <f t="shared" si="6"/>
        <v>0</v>
      </c>
      <c r="AO372" s="26">
        <f t="shared" si="7"/>
        <v>0</v>
      </c>
      <c r="AP372" s="114">
        <f t="shared" si="8"/>
        <v>0</v>
      </c>
      <c r="AQ372" s="10"/>
    </row>
    <row r="373">
      <c r="A373" s="20" t="str">
        <f>'MASTER STOCK'!F370</f>
        <v>AMPLAS UK 150</v>
      </c>
      <c r="B373" s="21">
        <f>'NOV 25'!AJ:AJ</f>
        <v>10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23">
        <f t="shared" si="3"/>
        <v>0</v>
      </c>
      <c r="AI373" s="24">
        <v>0.0</v>
      </c>
      <c r="AJ373" s="23">
        <f t="shared" si="4"/>
        <v>10</v>
      </c>
      <c r="AK373" s="23">
        <f t="shared" si="5"/>
        <v>10</v>
      </c>
      <c r="AL373" s="25">
        <f>'MASTER STOCK'!I370</f>
        <v>4500</v>
      </c>
      <c r="AM373" s="27">
        <f>'MASTER STOCK'!L370</f>
        <v>7000</v>
      </c>
      <c r="AN373" s="27">
        <f t="shared" si="6"/>
        <v>0</v>
      </c>
      <c r="AO373" s="26">
        <f t="shared" si="7"/>
        <v>0</v>
      </c>
      <c r="AP373" s="114">
        <f t="shared" si="8"/>
        <v>0</v>
      </c>
      <c r="AQ373" s="10"/>
    </row>
    <row r="374">
      <c r="A374" s="20" t="str">
        <f>'MASTER STOCK'!F371</f>
        <v>AMPLAS UK 240</v>
      </c>
      <c r="B374" s="21">
        <f>'NOV 25'!AJ:AJ</f>
        <v>10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23">
        <f t="shared" si="3"/>
        <v>0</v>
      </c>
      <c r="AI374" s="24">
        <v>0.0</v>
      </c>
      <c r="AJ374" s="23">
        <f t="shared" si="4"/>
        <v>10</v>
      </c>
      <c r="AK374" s="23">
        <f t="shared" si="5"/>
        <v>10</v>
      </c>
      <c r="AL374" s="25">
        <f>'MASTER STOCK'!I371</f>
        <v>4500</v>
      </c>
      <c r="AM374" s="27">
        <f>'MASTER STOCK'!L371</f>
        <v>7000</v>
      </c>
      <c r="AN374" s="27">
        <f t="shared" si="6"/>
        <v>0</v>
      </c>
      <c r="AO374" s="26">
        <f t="shared" si="7"/>
        <v>0</v>
      </c>
      <c r="AP374" s="114">
        <f t="shared" si="8"/>
        <v>0</v>
      </c>
      <c r="AQ374" s="10"/>
    </row>
    <row r="375">
      <c r="A375" s="20" t="str">
        <f>'MASTER STOCK'!F372</f>
        <v>WATERMUR DD 3/4</v>
      </c>
      <c r="B375" s="21">
        <f>'NOV 25'!AJ:AJ</f>
        <v>5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23">
        <f t="shared" si="3"/>
        <v>0</v>
      </c>
      <c r="AI375" s="24">
        <v>0.0</v>
      </c>
      <c r="AJ375" s="23">
        <f t="shared" si="4"/>
        <v>5</v>
      </c>
      <c r="AK375" s="23">
        <f t="shared" si="5"/>
        <v>5</v>
      </c>
      <c r="AL375" s="25">
        <f>'MASTER STOCK'!I372</f>
        <v>6000</v>
      </c>
      <c r="AM375" s="27">
        <f>'MASTER STOCK'!L372</f>
        <v>8000</v>
      </c>
      <c r="AN375" s="27">
        <f t="shared" si="6"/>
        <v>0</v>
      </c>
      <c r="AO375" s="26">
        <f t="shared" si="7"/>
        <v>0</v>
      </c>
      <c r="AP375" s="114">
        <f t="shared" si="8"/>
        <v>0</v>
      </c>
      <c r="AQ375" s="10"/>
    </row>
    <row r="376">
      <c r="A376" s="20" t="str">
        <f>'MASTER STOCK'!F373</f>
        <v>BENDRAT 5KG</v>
      </c>
      <c r="B376" s="21">
        <f>'NOV 25'!AJ:AJ</f>
        <v>5</v>
      </c>
      <c r="C376" s="10"/>
      <c r="D376" s="10"/>
      <c r="E376" s="10"/>
      <c r="F376" s="22">
        <v>0.25</v>
      </c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23">
        <f t="shared" si="3"/>
        <v>0.25</v>
      </c>
      <c r="AI376" s="24">
        <v>0.0</v>
      </c>
      <c r="AJ376" s="23">
        <f t="shared" si="4"/>
        <v>4.75</v>
      </c>
      <c r="AK376" s="23">
        <f t="shared" si="5"/>
        <v>4.75</v>
      </c>
      <c r="AL376" s="25">
        <f>'MASTER STOCK'!I373</f>
        <v>19000</v>
      </c>
      <c r="AM376" s="27">
        <f>'MASTER STOCK'!L373</f>
        <v>25000</v>
      </c>
      <c r="AN376" s="27">
        <f t="shared" si="6"/>
        <v>6250</v>
      </c>
      <c r="AO376" s="26">
        <f t="shared" si="7"/>
        <v>1500</v>
      </c>
      <c r="AP376" s="114">
        <f t="shared" si="8"/>
        <v>4750</v>
      </c>
      <c r="AQ376" s="10"/>
    </row>
    <row r="377">
      <c r="A377" s="20" t="str">
        <f>'MASTER STOCK'!F374</f>
        <v>S MERDEKA 5</v>
      </c>
      <c r="B377" s="21">
        <f>'NOV 25'!AJ:AJ</f>
        <v>5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23">
        <f t="shared" si="3"/>
        <v>0</v>
      </c>
      <c r="AI377" s="24">
        <v>0.0</v>
      </c>
      <c r="AJ377" s="23">
        <f t="shared" si="4"/>
        <v>5</v>
      </c>
      <c r="AK377" s="23">
        <f t="shared" si="5"/>
        <v>5</v>
      </c>
      <c r="AL377" s="25">
        <f>'MASTER STOCK'!I374</f>
        <v>41500</v>
      </c>
      <c r="AM377" s="27">
        <f>'MASTER STOCK'!L374</f>
        <v>4300</v>
      </c>
      <c r="AN377" s="27">
        <f t="shared" si="6"/>
        <v>0</v>
      </c>
      <c r="AO377" s="26">
        <f t="shared" si="7"/>
        <v>0</v>
      </c>
      <c r="AP377" s="114">
        <f t="shared" si="8"/>
        <v>0</v>
      </c>
      <c r="AQ377" s="10"/>
    </row>
    <row r="378">
      <c r="A378" s="20" t="str">
        <f>'MASTER STOCK'!F375</f>
        <v/>
      </c>
      <c r="B378" s="21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23">
        <f t="shared" si="3"/>
        <v>0</v>
      </c>
      <c r="AI378" s="24">
        <v>0.0</v>
      </c>
      <c r="AJ378" s="23">
        <f t="shared" si="4"/>
        <v>0</v>
      </c>
      <c r="AK378" s="23">
        <f t="shared" si="5"/>
        <v>0</v>
      </c>
      <c r="AL378" s="25" t="str">
        <f>'MASTER STOCK'!I375</f>
        <v/>
      </c>
      <c r="AM378" s="33"/>
      <c r="AN378" s="33"/>
      <c r="AO378" s="114">
        <f t="shared" si="7"/>
        <v>0</v>
      </c>
      <c r="AP378" s="114">
        <f t="shared" si="8"/>
        <v>0</v>
      </c>
      <c r="AQ378" s="10"/>
    </row>
    <row r="379">
      <c r="A379" s="20" t="str">
        <f>'MASTER STOCK'!F376</f>
        <v/>
      </c>
      <c r="B379" s="21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33"/>
      <c r="AM379" s="33"/>
      <c r="AN379" s="33"/>
      <c r="AO379" s="23">
        <f t="shared" si="7"/>
        <v>0</v>
      </c>
      <c r="AP379" s="23">
        <f t="shared" si="8"/>
        <v>0</v>
      </c>
      <c r="AQ379" s="10"/>
    </row>
    <row r="380">
      <c r="A380" s="20" t="str">
        <f>'MASTER STOCK'!F377</f>
        <v/>
      </c>
      <c r="B380" s="21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33"/>
      <c r="AM380" s="33"/>
      <c r="AN380" s="33"/>
      <c r="AO380" s="23">
        <f t="shared" si="7"/>
        <v>0</v>
      </c>
      <c r="AP380" s="23">
        <f t="shared" si="8"/>
        <v>0</v>
      </c>
      <c r="AQ380" s="10"/>
    </row>
    <row r="381">
      <c r="A381" s="20" t="str">
        <f>'MASTER STOCK'!F378</f>
        <v/>
      </c>
      <c r="B381" s="21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33"/>
      <c r="AM381" s="33"/>
      <c r="AN381" s="33"/>
      <c r="AO381" s="23">
        <f t="shared" si="7"/>
        <v>0</v>
      </c>
      <c r="AP381" s="23">
        <f t="shared" si="8"/>
        <v>0</v>
      </c>
      <c r="AQ381" s="10"/>
    </row>
    <row r="382">
      <c r="A382" s="20" t="str">
        <f>'MASTER STOCK'!F379</f>
        <v/>
      </c>
      <c r="B382" s="21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33"/>
      <c r="AM382" s="33"/>
      <c r="AN382" s="33"/>
      <c r="AO382" s="23">
        <f t="shared" si="7"/>
        <v>0</v>
      </c>
      <c r="AP382" s="23">
        <f t="shared" si="8"/>
        <v>0</v>
      </c>
      <c r="AQ382" s="10"/>
    </row>
    <row r="383">
      <c r="A383" s="20" t="str">
        <f>'MASTER STOCK'!F380</f>
        <v/>
      </c>
      <c r="B383" s="21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33"/>
      <c r="AM383" s="33"/>
      <c r="AN383" s="33"/>
      <c r="AO383" s="23">
        <f t="shared" si="7"/>
        <v>0</v>
      </c>
      <c r="AP383" s="23">
        <f t="shared" si="8"/>
        <v>0</v>
      </c>
      <c r="AQ383" s="10"/>
    </row>
    <row r="384">
      <c r="A384" s="20" t="str">
        <f>'MASTER STOCK'!F381</f>
        <v/>
      </c>
      <c r="B384" s="21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33"/>
      <c r="AM384" s="33"/>
      <c r="AN384" s="33"/>
      <c r="AO384" s="23">
        <f t="shared" si="7"/>
        <v>0</v>
      </c>
      <c r="AP384" s="23">
        <f t="shared" si="8"/>
        <v>0</v>
      </c>
      <c r="AQ384" s="10"/>
    </row>
    <row r="385">
      <c r="A385" s="20" t="str">
        <f>'MASTER STOCK'!F382</f>
        <v/>
      </c>
      <c r="B385" s="21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33"/>
      <c r="AM385" s="33"/>
      <c r="AN385" s="33"/>
      <c r="AO385" s="23">
        <f t="shared" si="7"/>
        <v>0</v>
      </c>
      <c r="AP385" s="23">
        <f t="shared" si="8"/>
        <v>0</v>
      </c>
      <c r="AQ385" s="10"/>
    </row>
    <row r="386">
      <c r="A386" s="20" t="str">
        <f>'MASTER STOCK'!F383</f>
        <v/>
      </c>
      <c r="B386" s="21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33"/>
      <c r="AM386" s="33"/>
      <c r="AN386" s="33"/>
      <c r="AO386" s="23">
        <f t="shared" si="7"/>
        <v>0</v>
      </c>
      <c r="AP386" s="23">
        <f t="shared" si="8"/>
        <v>0</v>
      </c>
      <c r="AQ386" s="10"/>
    </row>
    <row r="387">
      <c r="A387" s="20" t="str">
        <f>'MASTER STOCK'!F384</f>
        <v/>
      </c>
      <c r="B387" s="21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33"/>
      <c r="AM387" s="33"/>
      <c r="AN387" s="33"/>
      <c r="AO387" s="23">
        <f t="shared" si="7"/>
        <v>0</v>
      </c>
      <c r="AP387" s="23">
        <f t="shared" si="8"/>
        <v>0</v>
      </c>
      <c r="AQ387" s="10"/>
    </row>
    <row r="388">
      <c r="A388" s="20" t="str">
        <f>'MASTER STOCK'!F385</f>
        <v/>
      </c>
      <c r="B388" s="21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33"/>
      <c r="AM388" s="33"/>
      <c r="AN388" s="33"/>
      <c r="AO388" s="23">
        <f t="shared" si="7"/>
        <v>0</v>
      </c>
      <c r="AP388" s="23">
        <f t="shared" si="8"/>
        <v>0</v>
      </c>
      <c r="AQ388" s="10"/>
    </row>
    <row r="389">
      <c r="A389" s="20" t="str">
        <f>'MASTER STOCK'!F386</f>
        <v/>
      </c>
      <c r="B389" s="21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33"/>
      <c r="AM389" s="33"/>
      <c r="AN389" s="33"/>
      <c r="AO389" s="23">
        <f t="shared" si="7"/>
        <v>0</v>
      </c>
      <c r="AP389" s="23">
        <f t="shared" si="8"/>
        <v>0</v>
      </c>
      <c r="AQ389" s="10"/>
    </row>
    <row r="390">
      <c r="A390" s="20" t="str">
        <f>'MASTER STOCK'!F387</f>
        <v/>
      </c>
      <c r="B390" s="21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33"/>
      <c r="AM390" s="33"/>
      <c r="AN390" s="33"/>
      <c r="AO390" s="23">
        <f t="shared" si="7"/>
        <v>0</v>
      </c>
      <c r="AP390" s="23">
        <f t="shared" si="8"/>
        <v>0</v>
      </c>
      <c r="AQ390" s="10"/>
    </row>
    <row r="391">
      <c r="A391" s="20" t="str">
        <f>'MASTER STOCK'!F388</f>
        <v/>
      </c>
      <c r="B391" s="21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33"/>
      <c r="AM391" s="33"/>
      <c r="AN391" s="33"/>
      <c r="AO391" s="23">
        <f t="shared" si="7"/>
        <v>0</v>
      </c>
      <c r="AP391" s="23">
        <f t="shared" si="8"/>
        <v>0</v>
      </c>
      <c r="AQ391" s="10"/>
    </row>
    <row r="392">
      <c r="A392" s="20" t="str">
        <f>'MASTER STOCK'!F389</f>
        <v/>
      </c>
      <c r="B392" s="21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33"/>
      <c r="AM392" s="33"/>
      <c r="AN392" s="33"/>
      <c r="AO392" s="23">
        <f t="shared" si="7"/>
        <v>0</v>
      </c>
      <c r="AP392" s="23">
        <f t="shared" si="8"/>
        <v>0</v>
      </c>
      <c r="AQ392" s="10"/>
    </row>
    <row r="393">
      <c r="A393" s="20" t="str">
        <f>'MASTER STOCK'!F390</f>
        <v/>
      </c>
      <c r="B393" s="21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33"/>
      <c r="AM393" s="33"/>
      <c r="AN393" s="33"/>
      <c r="AO393" s="23">
        <f t="shared" si="7"/>
        <v>0</v>
      </c>
      <c r="AP393" s="23">
        <f t="shared" si="8"/>
        <v>0</v>
      </c>
      <c r="AQ393" s="10"/>
    </row>
    <row r="394">
      <c r="A394" s="20" t="str">
        <f>'MASTER STOCK'!F391</f>
        <v/>
      </c>
      <c r="B394" s="21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33"/>
      <c r="AM394" s="33"/>
      <c r="AN394" s="33"/>
      <c r="AO394" s="23">
        <f t="shared" si="7"/>
        <v>0</v>
      </c>
      <c r="AP394" s="23">
        <f t="shared" si="8"/>
        <v>0</v>
      </c>
      <c r="AQ394" s="10"/>
    </row>
    <row r="395">
      <c r="A395" s="20" t="str">
        <f>'MASTER STOCK'!F392</f>
        <v/>
      </c>
      <c r="B395" s="21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33"/>
      <c r="AM395" s="33"/>
      <c r="AN395" s="33"/>
      <c r="AO395" s="23">
        <f t="shared" si="7"/>
        <v>0</v>
      </c>
      <c r="AP395" s="23">
        <f t="shared" si="8"/>
        <v>0</v>
      </c>
      <c r="AQ395" s="10"/>
    </row>
    <row r="396">
      <c r="A396" s="20" t="str">
        <f>'MASTER STOCK'!F393</f>
        <v/>
      </c>
      <c r="B396" s="21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33"/>
      <c r="AM396" s="33"/>
      <c r="AN396" s="33"/>
      <c r="AO396" s="23">
        <f t="shared" si="7"/>
        <v>0</v>
      </c>
      <c r="AP396" s="23">
        <f t="shared" si="8"/>
        <v>0</v>
      </c>
      <c r="AQ396" s="10"/>
    </row>
    <row r="397">
      <c r="A397" s="20" t="str">
        <f>'MASTER STOCK'!F394</f>
        <v/>
      </c>
      <c r="B397" s="21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33"/>
      <c r="AM397" s="33"/>
      <c r="AN397" s="33"/>
      <c r="AO397" s="23">
        <f t="shared" si="7"/>
        <v>0</v>
      </c>
      <c r="AP397" s="23">
        <f t="shared" si="8"/>
        <v>0</v>
      </c>
      <c r="AQ397" s="10"/>
    </row>
    <row r="398">
      <c r="A398" s="20" t="str">
        <f>'MASTER STOCK'!F395</f>
        <v/>
      </c>
      <c r="B398" s="21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33"/>
      <c r="AM398" s="33"/>
      <c r="AN398" s="33"/>
      <c r="AO398" s="23">
        <f t="shared" si="7"/>
        <v>0</v>
      </c>
      <c r="AP398" s="23">
        <f t="shared" si="8"/>
        <v>0</v>
      </c>
      <c r="AQ398" s="10"/>
    </row>
    <row r="399">
      <c r="A399" s="20" t="str">
        <f>'MASTER STOCK'!F396</f>
        <v/>
      </c>
      <c r="B399" s="21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33"/>
      <c r="AM399" s="33"/>
      <c r="AN399" s="33"/>
      <c r="AO399" s="23">
        <f t="shared" si="7"/>
        <v>0</v>
      </c>
      <c r="AP399" s="23">
        <f t="shared" si="8"/>
        <v>0</v>
      </c>
      <c r="AQ399" s="10"/>
    </row>
    <row r="400">
      <c r="A400" s="10"/>
      <c r="B400" s="101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33"/>
      <c r="AM400" s="33"/>
      <c r="AN400" s="33"/>
      <c r="AO400" s="23">
        <f t="shared" si="7"/>
        <v>0</v>
      </c>
      <c r="AP400" s="23">
        <f t="shared" si="8"/>
        <v>0</v>
      </c>
      <c r="AQ400" s="10"/>
    </row>
    <row r="401">
      <c r="A401" s="10"/>
      <c r="B401" s="101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33"/>
      <c r="AM401" s="33"/>
      <c r="AN401" s="33"/>
      <c r="AO401" s="23">
        <f t="shared" si="7"/>
        <v>0</v>
      </c>
      <c r="AP401" s="23">
        <f t="shared" si="8"/>
        <v>0</v>
      </c>
      <c r="AQ401" s="10"/>
    </row>
    <row r="402">
      <c r="A402" s="10"/>
      <c r="B402" s="101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33"/>
      <c r="AM402" s="33"/>
      <c r="AN402" s="33"/>
      <c r="AO402" s="23">
        <f t="shared" si="7"/>
        <v>0</v>
      </c>
      <c r="AP402" s="23">
        <f t="shared" si="8"/>
        <v>0</v>
      </c>
      <c r="AQ402" s="10"/>
    </row>
    <row r="403">
      <c r="A403" s="10"/>
      <c r="B403" s="101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33"/>
      <c r="AM403" s="33"/>
      <c r="AN403" s="33"/>
      <c r="AO403" s="23">
        <f t="shared" si="7"/>
        <v>0</v>
      </c>
      <c r="AP403" s="23">
        <f t="shared" si="8"/>
        <v>0</v>
      </c>
      <c r="AQ403" s="10"/>
    </row>
    <row r="404">
      <c r="A404" s="10"/>
      <c r="B404" s="101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33"/>
      <c r="AM404" s="33"/>
      <c r="AN404" s="33"/>
      <c r="AO404" s="23">
        <f t="shared" si="7"/>
        <v>0</v>
      </c>
      <c r="AP404" s="23">
        <f t="shared" si="8"/>
        <v>0</v>
      </c>
      <c r="AQ404" s="10"/>
    </row>
    <row r="405">
      <c r="A405" s="10"/>
      <c r="B405" s="101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33"/>
      <c r="AM405" s="33"/>
      <c r="AN405" s="33"/>
      <c r="AO405" s="23">
        <f t="shared" si="7"/>
        <v>0</v>
      </c>
      <c r="AP405" s="23">
        <f t="shared" si="8"/>
        <v>0</v>
      </c>
      <c r="AQ405" s="10"/>
    </row>
    <row r="406">
      <c r="A406" s="10"/>
      <c r="B406" s="101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33"/>
      <c r="AM406" s="33"/>
      <c r="AN406" s="33"/>
      <c r="AO406" s="23">
        <f t="shared" si="7"/>
        <v>0</v>
      </c>
      <c r="AP406" s="23">
        <f t="shared" si="8"/>
        <v>0</v>
      </c>
      <c r="AQ406" s="10"/>
    </row>
    <row r="407">
      <c r="A407" s="10"/>
      <c r="B407" s="101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33"/>
      <c r="AM407" s="33"/>
      <c r="AN407" s="33"/>
      <c r="AO407" s="23">
        <f t="shared" si="7"/>
        <v>0</v>
      </c>
      <c r="AP407" s="23">
        <f t="shared" si="8"/>
        <v>0</v>
      </c>
      <c r="AQ407" s="10"/>
    </row>
    <row r="408">
      <c r="A408" s="10"/>
      <c r="B408" s="101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33"/>
      <c r="AM408" s="33"/>
      <c r="AN408" s="33"/>
      <c r="AO408" s="23">
        <f t="shared" si="7"/>
        <v>0</v>
      </c>
      <c r="AP408" s="23">
        <f t="shared" si="8"/>
        <v>0</v>
      </c>
      <c r="AQ408" s="10"/>
    </row>
    <row r="409">
      <c r="A409" s="40"/>
      <c r="B409" s="42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1"/>
      <c r="AM409" s="41"/>
      <c r="AN409" s="41"/>
      <c r="AO409" s="40"/>
      <c r="AP409" s="40"/>
      <c r="AQ409" s="40"/>
    </row>
    <row r="410">
      <c r="A410" s="40"/>
      <c r="B410" s="42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1"/>
      <c r="AM410" s="41"/>
      <c r="AN410" s="41"/>
      <c r="AO410" s="40"/>
      <c r="AP410" s="40"/>
      <c r="AQ410" s="40"/>
    </row>
    <row r="411">
      <c r="A411" s="40"/>
      <c r="B411" s="42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1"/>
      <c r="AM411" s="41"/>
      <c r="AN411" s="41"/>
      <c r="AO411" s="40"/>
      <c r="AP411" s="40"/>
      <c r="AQ411" s="40"/>
    </row>
    <row r="412">
      <c r="A412" s="40"/>
      <c r="B412" s="42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1"/>
      <c r="AM412" s="41"/>
      <c r="AN412" s="41"/>
      <c r="AO412" s="40"/>
      <c r="AP412" s="40"/>
      <c r="AQ412" s="40"/>
    </row>
    <row r="413">
      <c r="A413" s="40"/>
      <c r="B413" s="42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1"/>
      <c r="AM413" s="41"/>
      <c r="AN413" s="41"/>
      <c r="AO413" s="40"/>
      <c r="AP413" s="40"/>
      <c r="AQ413" s="40"/>
    </row>
    <row r="414">
      <c r="A414" s="40"/>
      <c r="B414" s="42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1"/>
      <c r="AM414" s="41"/>
      <c r="AN414" s="41"/>
      <c r="AO414" s="40"/>
      <c r="AP414" s="40"/>
      <c r="AQ414" s="40"/>
    </row>
    <row r="415">
      <c r="A415" s="40"/>
      <c r="B415" s="42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1"/>
      <c r="AM415" s="41"/>
      <c r="AN415" s="41"/>
      <c r="AO415" s="40"/>
      <c r="AP415" s="40"/>
      <c r="AQ415" s="40"/>
    </row>
    <row r="416">
      <c r="A416" s="40"/>
      <c r="B416" s="42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1"/>
      <c r="AM416" s="41"/>
      <c r="AN416" s="41"/>
      <c r="AO416" s="40"/>
      <c r="AP416" s="40"/>
      <c r="AQ416" s="40"/>
    </row>
    <row r="417">
      <c r="A417" s="40"/>
      <c r="B417" s="42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1"/>
      <c r="AM417" s="41"/>
      <c r="AN417" s="41"/>
      <c r="AO417" s="40"/>
      <c r="AP417" s="40"/>
      <c r="AQ417" s="40"/>
    </row>
    <row r="418">
      <c r="A418" s="40"/>
      <c r="B418" s="42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1"/>
      <c r="AM418" s="41"/>
      <c r="AN418" s="41"/>
      <c r="AO418" s="40"/>
      <c r="AP418" s="40"/>
      <c r="AQ418" s="40"/>
    </row>
    <row r="419">
      <c r="A419" s="40"/>
      <c r="B419" s="42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1"/>
      <c r="AM419" s="41"/>
      <c r="AN419" s="41"/>
      <c r="AO419" s="40"/>
      <c r="AP419" s="40"/>
      <c r="AQ419" s="40"/>
    </row>
    <row r="420">
      <c r="A420" s="40"/>
      <c r="B420" s="42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1"/>
      <c r="AM420" s="41"/>
      <c r="AN420" s="41"/>
      <c r="AO420" s="40"/>
      <c r="AP420" s="40"/>
      <c r="AQ420" s="40"/>
    </row>
    <row r="421">
      <c r="A421" s="40"/>
      <c r="B421" s="42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1"/>
      <c r="AM421" s="41"/>
      <c r="AN421" s="41"/>
      <c r="AO421" s="40"/>
      <c r="AP421" s="40"/>
      <c r="AQ421" s="40"/>
    </row>
    <row r="422">
      <c r="A422" s="40"/>
      <c r="B422" s="42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1"/>
      <c r="AM422" s="41"/>
      <c r="AN422" s="41"/>
      <c r="AO422" s="40"/>
      <c r="AP422" s="40"/>
      <c r="AQ422" s="40"/>
    </row>
    <row r="423">
      <c r="A423" s="40"/>
      <c r="B423" s="42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1"/>
      <c r="AM423" s="41"/>
      <c r="AN423" s="41"/>
      <c r="AO423" s="40"/>
      <c r="AP423" s="40"/>
      <c r="AQ423" s="40"/>
    </row>
    <row r="424">
      <c r="A424" s="40"/>
      <c r="B424" s="42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1"/>
      <c r="AM424" s="41"/>
      <c r="AN424" s="41"/>
      <c r="AO424" s="40"/>
      <c r="AP424" s="40"/>
      <c r="AQ424" s="40"/>
    </row>
    <row r="425">
      <c r="A425" s="40"/>
      <c r="B425" s="42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1"/>
      <c r="AM425" s="41"/>
      <c r="AN425" s="41"/>
      <c r="AO425" s="40"/>
      <c r="AP425" s="40"/>
      <c r="AQ425" s="40"/>
    </row>
    <row r="426">
      <c r="A426" s="40"/>
      <c r="B426" s="42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1"/>
      <c r="AM426" s="41"/>
      <c r="AN426" s="41"/>
      <c r="AO426" s="40"/>
      <c r="AP426" s="40"/>
      <c r="AQ426" s="40"/>
    </row>
    <row r="427">
      <c r="A427" s="40"/>
      <c r="B427" s="42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1"/>
      <c r="AM427" s="41"/>
      <c r="AN427" s="41"/>
      <c r="AO427" s="40"/>
      <c r="AP427" s="40"/>
      <c r="AQ427" s="40"/>
    </row>
    <row r="428">
      <c r="A428" s="40"/>
      <c r="B428" s="42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1"/>
      <c r="AM428" s="41"/>
      <c r="AN428" s="41"/>
      <c r="AO428" s="40"/>
      <c r="AP428" s="40"/>
      <c r="AQ428" s="40"/>
    </row>
    <row r="429">
      <c r="A429" s="40"/>
      <c r="B429" s="42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1"/>
      <c r="AM429" s="41"/>
      <c r="AN429" s="41"/>
      <c r="AO429" s="40"/>
      <c r="AP429" s="40"/>
      <c r="AQ429" s="40"/>
    </row>
    <row r="430">
      <c r="A430" s="40"/>
      <c r="B430" s="42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1"/>
      <c r="AM430" s="41"/>
      <c r="AN430" s="41"/>
      <c r="AO430" s="40"/>
      <c r="AP430" s="40"/>
      <c r="AQ430" s="40"/>
    </row>
    <row r="431">
      <c r="A431" s="40"/>
      <c r="B431" s="42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1"/>
      <c r="AM431" s="41"/>
      <c r="AN431" s="41"/>
      <c r="AO431" s="40"/>
      <c r="AP431" s="40"/>
      <c r="AQ431" s="40"/>
    </row>
    <row r="432">
      <c r="A432" s="40"/>
      <c r="B432" s="42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1"/>
      <c r="AM432" s="41"/>
      <c r="AN432" s="41"/>
      <c r="AO432" s="40"/>
      <c r="AP432" s="40"/>
      <c r="AQ432" s="40"/>
    </row>
    <row r="433">
      <c r="A433" s="40"/>
      <c r="B433" s="42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1"/>
      <c r="AM433" s="41"/>
      <c r="AN433" s="41"/>
      <c r="AO433" s="40"/>
      <c r="AP433" s="40"/>
      <c r="AQ433" s="40"/>
    </row>
    <row r="434">
      <c r="A434" s="40"/>
      <c r="B434" s="42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1"/>
      <c r="AM434" s="41"/>
      <c r="AN434" s="41"/>
      <c r="AO434" s="40"/>
      <c r="AP434" s="40"/>
      <c r="AQ434" s="40"/>
    </row>
    <row r="435">
      <c r="A435" s="40"/>
      <c r="B435" s="42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1"/>
      <c r="AM435" s="41"/>
      <c r="AN435" s="41"/>
      <c r="AO435" s="40"/>
      <c r="AP435" s="40"/>
      <c r="AQ435" s="40"/>
    </row>
    <row r="436">
      <c r="A436" s="40"/>
      <c r="B436" s="42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1"/>
      <c r="AM436" s="41"/>
      <c r="AN436" s="41"/>
      <c r="AO436" s="40"/>
      <c r="AP436" s="40"/>
      <c r="AQ436" s="40"/>
    </row>
    <row r="437">
      <c r="A437" s="40"/>
      <c r="B437" s="42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1"/>
      <c r="AM437" s="41"/>
      <c r="AN437" s="41"/>
      <c r="AO437" s="40"/>
      <c r="AP437" s="40"/>
      <c r="AQ437" s="40"/>
    </row>
    <row r="438">
      <c r="A438" s="40"/>
      <c r="B438" s="42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1"/>
      <c r="AM438" s="41"/>
      <c r="AN438" s="41"/>
      <c r="AO438" s="40"/>
      <c r="AP438" s="40"/>
      <c r="AQ438" s="40"/>
    </row>
    <row r="439">
      <c r="A439" s="40"/>
      <c r="B439" s="42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1"/>
      <c r="AM439" s="41"/>
      <c r="AN439" s="41"/>
      <c r="AO439" s="40"/>
      <c r="AP439" s="40"/>
      <c r="AQ439" s="40"/>
    </row>
    <row r="440">
      <c r="A440" s="40"/>
      <c r="B440" s="42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1"/>
      <c r="AM440" s="41"/>
      <c r="AN440" s="41"/>
      <c r="AO440" s="40"/>
      <c r="AP440" s="40"/>
      <c r="AQ440" s="40"/>
    </row>
    <row r="441">
      <c r="A441" s="40"/>
      <c r="B441" s="42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1"/>
      <c r="AM441" s="41"/>
      <c r="AN441" s="41"/>
      <c r="AO441" s="40"/>
      <c r="AP441" s="40"/>
      <c r="AQ441" s="40"/>
    </row>
    <row r="442">
      <c r="A442" s="40"/>
      <c r="B442" s="42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1"/>
      <c r="AM442" s="41"/>
      <c r="AN442" s="41"/>
      <c r="AO442" s="40"/>
      <c r="AP442" s="40"/>
      <c r="AQ442" s="40"/>
    </row>
    <row r="443">
      <c r="A443" s="40"/>
      <c r="B443" s="42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1"/>
      <c r="AM443" s="41"/>
      <c r="AN443" s="41"/>
      <c r="AO443" s="40"/>
      <c r="AP443" s="40"/>
      <c r="AQ443" s="40"/>
    </row>
    <row r="444">
      <c r="A444" s="40"/>
      <c r="B444" s="42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1"/>
      <c r="AM444" s="41"/>
      <c r="AN444" s="41"/>
      <c r="AO444" s="40"/>
      <c r="AP444" s="40"/>
      <c r="AQ444" s="40"/>
    </row>
    <row r="445">
      <c r="A445" s="40"/>
      <c r="B445" s="42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1"/>
      <c r="AM445" s="41"/>
      <c r="AN445" s="41"/>
      <c r="AO445" s="40"/>
      <c r="AP445" s="40"/>
      <c r="AQ445" s="40"/>
    </row>
    <row r="446">
      <c r="A446" s="40"/>
      <c r="B446" s="42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1"/>
      <c r="AM446" s="41"/>
      <c r="AN446" s="41"/>
      <c r="AO446" s="40"/>
      <c r="AP446" s="40"/>
      <c r="AQ446" s="40"/>
    </row>
    <row r="447">
      <c r="A447" s="40"/>
      <c r="B447" s="42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1"/>
      <c r="AM447" s="41"/>
      <c r="AN447" s="41"/>
      <c r="AO447" s="40"/>
      <c r="AP447" s="40"/>
      <c r="AQ447" s="40"/>
    </row>
    <row r="448">
      <c r="A448" s="40"/>
      <c r="B448" s="42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1"/>
      <c r="AM448" s="41"/>
      <c r="AN448" s="41"/>
      <c r="AO448" s="40"/>
      <c r="AP448" s="40"/>
      <c r="AQ448" s="40"/>
    </row>
    <row r="449">
      <c r="A449" s="40"/>
      <c r="B449" s="42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1"/>
      <c r="AM449" s="41"/>
      <c r="AN449" s="41"/>
      <c r="AO449" s="40"/>
      <c r="AP449" s="40"/>
      <c r="AQ449" s="40"/>
    </row>
    <row r="450">
      <c r="A450" s="40"/>
      <c r="B450" s="42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1"/>
      <c r="AM450" s="41"/>
      <c r="AN450" s="41"/>
      <c r="AO450" s="40"/>
      <c r="AP450" s="40"/>
      <c r="AQ450" s="40"/>
    </row>
    <row r="451">
      <c r="A451" s="40"/>
      <c r="B451" s="42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1"/>
      <c r="AM451" s="41"/>
      <c r="AN451" s="41"/>
      <c r="AO451" s="40"/>
      <c r="AP451" s="40"/>
      <c r="AQ451" s="40"/>
    </row>
    <row r="452">
      <c r="A452" s="40"/>
      <c r="B452" s="42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1"/>
      <c r="AM452" s="41"/>
      <c r="AN452" s="41"/>
      <c r="AO452" s="40"/>
      <c r="AP452" s="40"/>
      <c r="AQ452" s="40"/>
    </row>
    <row r="453">
      <c r="A453" s="40"/>
      <c r="B453" s="42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1"/>
      <c r="AM453" s="41"/>
      <c r="AN453" s="41"/>
      <c r="AO453" s="40"/>
      <c r="AP453" s="40"/>
      <c r="AQ453" s="40"/>
    </row>
    <row r="454">
      <c r="A454" s="40"/>
      <c r="B454" s="42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1"/>
      <c r="AM454" s="41"/>
      <c r="AN454" s="41"/>
      <c r="AO454" s="40"/>
      <c r="AP454" s="40"/>
      <c r="AQ454" s="40"/>
    </row>
    <row r="455">
      <c r="A455" s="40"/>
      <c r="B455" s="42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1"/>
      <c r="AM455" s="41"/>
      <c r="AN455" s="41"/>
      <c r="AO455" s="40"/>
      <c r="AP455" s="40"/>
      <c r="AQ455" s="40"/>
    </row>
    <row r="456">
      <c r="A456" s="40"/>
      <c r="B456" s="42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1"/>
      <c r="AM456" s="41"/>
      <c r="AN456" s="41"/>
      <c r="AO456" s="40"/>
      <c r="AP456" s="40"/>
      <c r="AQ456" s="40"/>
    </row>
    <row r="457">
      <c r="A457" s="40"/>
      <c r="B457" s="42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1"/>
      <c r="AM457" s="41"/>
      <c r="AN457" s="41"/>
      <c r="AO457" s="40"/>
      <c r="AP457" s="40"/>
      <c r="AQ457" s="40"/>
    </row>
    <row r="458">
      <c r="A458" s="40"/>
      <c r="B458" s="42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1"/>
      <c r="AM458" s="41"/>
      <c r="AN458" s="41"/>
      <c r="AO458" s="40"/>
      <c r="AP458" s="40"/>
      <c r="AQ458" s="40"/>
    </row>
    <row r="459">
      <c r="A459" s="40"/>
      <c r="B459" s="42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1"/>
      <c r="AM459" s="41"/>
      <c r="AN459" s="41"/>
      <c r="AO459" s="40"/>
      <c r="AP459" s="40"/>
      <c r="AQ459" s="40"/>
    </row>
    <row r="460">
      <c r="A460" s="40"/>
      <c r="B460" s="42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1"/>
      <c r="AM460" s="41"/>
      <c r="AN460" s="41"/>
      <c r="AO460" s="40"/>
      <c r="AP460" s="40"/>
      <c r="AQ460" s="40"/>
    </row>
    <row r="461">
      <c r="A461" s="40"/>
      <c r="B461" s="42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1"/>
      <c r="AM461" s="41"/>
      <c r="AN461" s="41"/>
      <c r="AO461" s="40"/>
      <c r="AP461" s="40"/>
      <c r="AQ461" s="40"/>
    </row>
    <row r="462">
      <c r="A462" s="40"/>
      <c r="B462" s="42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1"/>
      <c r="AM462" s="41"/>
      <c r="AN462" s="41"/>
      <c r="AO462" s="40"/>
      <c r="AP462" s="40"/>
      <c r="AQ462" s="40"/>
    </row>
    <row r="463">
      <c r="A463" s="40"/>
      <c r="B463" s="42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1"/>
      <c r="AM463" s="41"/>
      <c r="AN463" s="41"/>
      <c r="AO463" s="40"/>
      <c r="AP463" s="40"/>
      <c r="AQ463" s="40"/>
    </row>
    <row r="464">
      <c r="A464" s="40"/>
      <c r="B464" s="42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1"/>
      <c r="AM464" s="41"/>
      <c r="AN464" s="41"/>
      <c r="AO464" s="40"/>
      <c r="AP464" s="40"/>
      <c r="AQ464" s="40"/>
    </row>
    <row r="465">
      <c r="A465" s="40"/>
      <c r="B465" s="42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1"/>
      <c r="AM465" s="41"/>
      <c r="AN465" s="41"/>
      <c r="AO465" s="40"/>
      <c r="AP465" s="40"/>
      <c r="AQ465" s="40"/>
    </row>
    <row r="466">
      <c r="A466" s="40"/>
      <c r="B466" s="42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1"/>
      <c r="AM466" s="41"/>
      <c r="AN466" s="41"/>
      <c r="AO466" s="40"/>
      <c r="AP466" s="40"/>
      <c r="AQ466" s="40"/>
    </row>
    <row r="467">
      <c r="A467" s="40"/>
      <c r="B467" s="42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1"/>
      <c r="AM467" s="41"/>
      <c r="AN467" s="41"/>
      <c r="AO467" s="40"/>
      <c r="AP467" s="40"/>
      <c r="AQ467" s="40"/>
    </row>
    <row r="468">
      <c r="A468" s="40"/>
      <c r="B468" s="42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1"/>
      <c r="AM468" s="41"/>
      <c r="AN468" s="41"/>
      <c r="AO468" s="40"/>
      <c r="AP468" s="40"/>
      <c r="AQ468" s="40"/>
    </row>
    <row r="469">
      <c r="A469" s="40"/>
      <c r="B469" s="42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1"/>
      <c r="AM469" s="41"/>
      <c r="AN469" s="41"/>
      <c r="AO469" s="40"/>
      <c r="AP469" s="40"/>
      <c r="AQ469" s="40"/>
    </row>
    <row r="470">
      <c r="A470" s="40"/>
      <c r="B470" s="42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1"/>
      <c r="AM470" s="41"/>
      <c r="AN470" s="41"/>
      <c r="AO470" s="40"/>
      <c r="AP470" s="40"/>
      <c r="AQ470" s="40"/>
    </row>
    <row r="471">
      <c r="A471" s="40"/>
      <c r="B471" s="42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1"/>
      <c r="AM471" s="41"/>
      <c r="AN471" s="41"/>
      <c r="AO471" s="40"/>
      <c r="AP471" s="40"/>
      <c r="AQ471" s="40"/>
    </row>
    <row r="472">
      <c r="A472" s="40"/>
      <c r="B472" s="42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1"/>
      <c r="AM472" s="41"/>
      <c r="AN472" s="41"/>
      <c r="AO472" s="40"/>
      <c r="AP472" s="40"/>
      <c r="AQ472" s="40"/>
    </row>
    <row r="473">
      <c r="A473" s="40"/>
      <c r="B473" s="42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1"/>
      <c r="AM473" s="41"/>
      <c r="AN473" s="41"/>
      <c r="AO473" s="40"/>
      <c r="AP473" s="40"/>
      <c r="AQ473" s="40"/>
    </row>
    <row r="474">
      <c r="A474" s="40"/>
      <c r="B474" s="42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1"/>
      <c r="AM474" s="41"/>
      <c r="AN474" s="41"/>
      <c r="AO474" s="40"/>
      <c r="AP474" s="40"/>
      <c r="AQ474" s="40"/>
    </row>
    <row r="475">
      <c r="A475" s="40"/>
      <c r="B475" s="42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1"/>
      <c r="AM475" s="41"/>
      <c r="AN475" s="41"/>
      <c r="AO475" s="40"/>
      <c r="AP475" s="40"/>
      <c r="AQ475" s="40"/>
    </row>
    <row r="476">
      <c r="A476" s="40"/>
      <c r="B476" s="42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1"/>
      <c r="AM476" s="41"/>
      <c r="AN476" s="41"/>
      <c r="AO476" s="40"/>
      <c r="AP476" s="40"/>
      <c r="AQ476" s="40"/>
    </row>
    <row r="477">
      <c r="A477" s="40"/>
      <c r="B477" s="42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1"/>
      <c r="AM477" s="41"/>
      <c r="AN477" s="41"/>
      <c r="AO477" s="40"/>
      <c r="AP477" s="40"/>
      <c r="AQ477" s="40"/>
    </row>
    <row r="478">
      <c r="A478" s="40"/>
      <c r="B478" s="42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1"/>
      <c r="AM478" s="41"/>
      <c r="AN478" s="41"/>
      <c r="AO478" s="40"/>
      <c r="AP478" s="40"/>
      <c r="AQ478" s="40"/>
    </row>
    <row r="479">
      <c r="A479" s="40"/>
      <c r="B479" s="42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1"/>
      <c r="AM479" s="41"/>
      <c r="AN479" s="41"/>
      <c r="AO479" s="40"/>
      <c r="AP479" s="40"/>
      <c r="AQ479" s="40"/>
    </row>
    <row r="480">
      <c r="A480" s="40"/>
      <c r="B480" s="42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1"/>
      <c r="AM480" s="41"/>
      <c r="AN480" s="41"/>
      <c r="AO480" s="40"/>
      <c r="AP480" s="40"/>
      <c r="AQ480" s="40"/>
    </row>
    <row r="481">
      <c r="A481" s="40"/>
      <c r="B481" s="42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1"/>
      <c r="AM481" s="41"/>
      <c r="AN481" s="41"/>
      <c r="AO481" s="40"/>
      <c r="AP481" s="40"/>
      <c r="AQ481" s="40"/>
    </row>
    <row r="482">
      <c r="A482" s="40"/>
      <c r="B482" s="42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1"/>
      <c r="AM482" s="41"/>
      <c r="AN482" s="41"/>
      <c r="AO482" s="40"/>
      <c r="AP482" s="40"/>
      <c r="AQ482" s="40"/>
    </row>
    <row r="483">
      <c r="A483" s="40"/>
      <c r="B483" s="42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1"/>
      <c r="AM483" s="41"/>
      <c r="AN483" s="41"/>
      <c r="AO483" s="40"/>
      <c r="AP483" s="40"/>
      <c r="AQ483" s="40"/>
    </row>
    <row r="484">
      <c r="A484" s="40"/>
      <c r="B484" s="42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1"/>
      <c r="AM484" s="41"/>
      <c r="AN484" s="41"/>
      <c r="AO484" s="40"/>
      <c r="AP484" s="40"/>
      <c r="AQ484" s="40"/>
    </row>
    <row r="485">
      <c r="A485" s="40"/>
      <c r="B485" s="42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1"/>
      <c r="AM485" s="41"/>
      <c r="AN485" s="41"/>
      <c r="AO485" s="40"/>
      <c r="AP485" s="40"/>
      <c r="AQ485" s="40"/>
    </row>
    <row r="486">
      <c r="A486" s="40"/>
      <c r="B486" s="42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1"/>
      <c r="AM486" s="41"/>
      <c r="AN486" s="41"/>
      <c r="AO486" s="40"/>
      <c r="AP486" s="40"/>
      <c r="AQ486" s="40"/>
    </row>
    <row r="487">
      <c r="A487" s="40"/>
      <c r="B487" s="42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1"/>
      <c r="AM487" s="41"/>
      <c r="AN487" s="41"/>
      <c r="AO487" s="40"/>
      <c r="AP487" s="40"/>
      <c r="AQ487" s="40"/>
    </row>
    <row r="488">
      <c r="A488" s="40"/>
      <c r="B488" s="42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1"/>
      <c r="AM488" s="41"/>
      <c r="AN488" s="41"/>
      <c r="AO488" s="40"/>
      <c r="AP488" s="40"/>
      <c r="AQ488" s="40"/>
    </row>
    <row r="489">
      <c r="A489" s="40"/>
      <c r="B489" s="42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1"/>
      <c r="AM489" s="41"/>
      <c r="AN489" s="41"/>
      <c r="AO489" s="40"/>
      <c r="AP489" s="40"/>
      <c r="AQ489" s="40"/>
    </row>
    <row r="490">
      <c r="A490" s="40"/>
      <c r="B490" s="42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1"/>
      <c r="AM490" s="41"/>
      <c r="AN490" s="41"/>
      <c r="AO490" s="40"/>
      <c r="AP490" s="40"/>
      <c r="AQ490" s="40"/>
    </row>
    <row r="491">
      <c r="A491" s="40"/>
      <c r="B491" s="42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1"/>
      <c r="AM491" s="41"/>
      <c r="AN491" s="41"/>
      <c r="AO491" s="40"/>
      <c r="AP491" s="40"/>
      <c r="AQ491" s="40"/>
    </row>
    <row r="492">
      <c r="A492" s="40"/>
      <c r="B492" s="42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1"/>
      <c r="AM492" s="41"/>
      <c r="AN492" s="41"/>
      <c r="AO492" s="40"/>
      <c r="AP492" s="40"/>
      <c r="AQ492" s="40"/>
    </row>
    <row r="493">
      <c r="A493" s="40"/>
      <c r="B493" s="42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1"/>
      <c r="AM493" s="41"/>
      <c r="AN493" s="41"/>
      <c r="AO493" s="40"/>
      <c r="AP493" s="40"/>
      <c r="AQ493" s="40"/>
    </row>
    <row r="494">
      <c r="A494" s="40"/>
      <c r="B494" s="42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1"/>
      <c r="AM494" s="41"/>
      <c r="AN494" s="41"/>
      <c r="AO494" s="40"/>
      <c r="AP494" s="40"/>
      <c r="AQ494" s="40"/>
    </row>
    <row r="495">
      <c r="A495" s="40"/>
      <c r="B495" s="42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1"/>
      <c r="AM495" s="41"/>
      <c r="AN495" s="41"/>
      <c r="AO495" s="40"/>
      <c r="AP495" s="40"/>
      <c r="AQ495" s="40"/>
    </row>
    <row r="496">
      <c r="A496" s="40"/>
      <c r="B496" s="42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1"/>
      <c r="AM496" s="41"/>
      <c r="AN496" s="41"/>
      <c r="AO496" s="40"/>
      <c r="AP496" s="40"/>
      <c r="AQ496" s="40"/>
    </row>
    <row r="497">
      <c r="A497" s="40"/>
      <c r="B497" s="42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1"/>
      <c r="AM497" s="41"/>
      <c r="AN497" s="41"/>
      <c r="AO497" s="40"/>
      <c r="AP497" s="40"/>
      <c r="AQ497" s="40"/>
    </row>
    <row r="498">
      <c r="A498" s="40"/>
      <c r="B498" s="42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1"/>
      <c r="AM498" s="41"/>
      <c r="AN498" s="41"/>
      <c r="AO498" s="40"/>
      <c r="AP498" s="40"/>
      <c r="AQ498" s="40"/>
    </row>
    <row r="499">
      <c r="A499" s="40"/>
      <c r="B499" s="42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1"/>
      <c r="AM499" s="41"/>
      <c r="AN499" s="41"/>
      <c r="AO499" s="40"/>
      <c r="AP499" s="40"/>
      <c r="AQ499" s="40"/>
    </row>
    <row r="500">
      <c r="A500" s="40"/>
      <c r="B500" s="42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1"/>
      <c r="AM500" s="41"/>
      <c r="AN500" s="41"/>
      <c r="AO500" s="40"/>
      <c r="AP500" s="40"/>
      <c r="AQ500" s="40"/>
    </row>
    <row r="501">
      <c r="A501" s="40"/>
      <c r="B501" s="42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1"/>
      <c r="AM501" s="41"/>
      <c r="AN501" s="41"/>
      <c r="AO501" s="40"/>
      <c r="AP501" s="40"/>
      <c r="AQ501" s="40"/>
    </row>
    <row r="502">
      <c r="A502" s="40"/>
      <c r="B502" s="42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1"/>
      <c r="AM502" s="41"/>
      <c r="AN502" s="41"/>
      <c r="AO502" s="40"/>
      <c r="AP502" s="40"/>
      <c r="AQ502" s="40"/>
    </row>
    <row r="503">
      <c r="A503" s="40"/>
      <c r="B503" s="42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1"/>
      <c r="AM503" s="41"/>
      <c r="AN503" s="41"/>
      <c r="AO503" s="40"/>
      <c r="AP503" s="40"/>
      <c r="AQ503" s="40"/>
    </row>
    <row r="504">
      <c r="A504" s="40"/>
      <c r="B504" s="42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1"/>
      <c r="AM504" s="41"/>
      <c r="AN504" s="41"/>
      <c r="AO504" s="40"/>
      <c r="AP504" s="40"/>
      <c r="AQ504" s="40"/>
    </row>
    <row r="505">
      <c r="A505" s="40"/>
      <c r="B505" s="42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1"/>
      <c r="AM505" s="41"/>
      <c r="AN505" s="41"/>
      <c r="AO505" s="40"/>
      <c r="AP505" s="40"/>
      <c r="AQ505" s="40"/>
    </row>
    <row r="506">
      <c r="A506" s="40"/>
      <c r="B506" s="42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1"/>
      <c r="AM506" s="41"/>
      <c r="AN506" s="41"/>
      <c r="AO506" s="40"/>
      <c r="AP506" s="40"/>
      <c r="AQ506" s="40"/>
    </row>
    <row r="507">
      <c r="A507" s="40"/>
      <c r="B507" s="42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1"/>
      <c r="AM507" s="41"/>
      <c r="AN507" s="41"/>
      <c r="AO507" s="40"/>
      <c r="AP507" s="40"/>
      <c r="AQ507" s="40"/>
    </row>
    <row r="508">
      <c r="A508" s="40"/>
      <c r="B508" s="42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1"/>
      <c r="AM508" s="41"/>
      <c r="AN508" s="41"/>
      <c r="AO508" s="40"/>
      <c r="AP508" s="40"/>
      <c r="AQ508" s="40"/>
    </row>
    <row r="509">
      <c r="A509" s="40"/>
      <c r="B509" s="42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1"/>
      <c r="AM509" s="41"/>
      <c r="AN509" s="41"/>
      <c r="AO509" s="40"/>
      <c r="AP509" s="40"/>
      <c r="AQ509" s="40"/>
    </row>
    <row r="510">
      <c r="A510" s="40"/>
      <c r="B510" s="42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1"/>
      <c r="AM510" s="41"/>
      <c r="AN510" s="41"/>
      <c r="AO510" s="40"/>
      <c r="AP510" s="40"/>
      <c r="AQ510" s="40"/>
    </row>
    <row r="511">
      <c r="A511" s="40"/>
      <c r="B511" s="42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1"/>
      <c r="AM511" s="41"/>
      <c r="AN511" s="41"/>
      <c r="AO511" s="40"/>
      <c r="AP511" s="40"/>
      <c r="AQ511" s="40"/>
    </row>
    <row r="512">
      <c r="A512" s="40"/>
      <c r="B512" s="42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1"/>
      <c r="AM512" s="41"/>
      <c r="AN512" s="41"/>
      <c r="AO512" s="40"/>
      <c r="AP512" s="40"/>
      <c r="AQ512" s="40"/>
    </row>
    <row r="513">
      <c r="A513" s="40"/>
      <c r="B513" s="42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1"/>
      <c r="AM513" s="41"/>
      <c r="AN513" s="41"/>
      <c r="AO513" s="40"/>
      <c r="AP513" s="40"/>
      <c r="AQ513" s="40"/>
    </row>
    <row r="514">
      <c r="A514" s="40"/>
      <c r="B514" s="42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1"/>
      <c r="AM514" s="41"/>
      <c r="AN514" s="41"/>
      <c r="AO514" s="40"/>
      <c r="AP514" s="40"/>
      <c r="AQ514" s="40"/>
    </row>
    <row r="515">
      <c r="A515" s="40"/>
      <c r="B515" s="42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1"/>
      <c r="AM515" s="41"/>
      <c r="AN515" s="41"/>
      <c r="AO515" s="40"/>
      <c r="AP515" s="40"/>
      <c r="AQ515" s="40"/>
    </row>
    <row r="516">
      <c r="A516" s="40"/>
      <c r="B516" s="42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1"/>
      <c r="AM516" s="41"/>
      <c r="AN516" s="41"/>
      <c r="AO516" s="40"/>
      <c r="AP516" s="40"/>
      <c r="AQ516" s="40"/>
    </row>
    <row r="517">
      <c r="A517" s="40"/>
      <c r="B517" s="42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1"/>
      <c r="AM517" s="41"/>
      <c r="AN517" s="41"/>
      <c r="AO517" s="40"/>
      <c r="AP517" s="40"/>
      <c r="AQ517" s="40"/>
    </row>
    <row r="518">
      <c r="A518" s="40"/>
      <c r="B518" s="42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1"/>
      <c r="AM518" s="41"/>
      <c r="AN518" s="41"/>
      <c r="AO518" s="40"/>
      <c r="AP518" s="40"/>
      <c r="AQ518" s="40"/>
    </row>
    <row r="519">
      <c r="A519" s="40"/>
      <c r="B519" s="42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1"/>
      <c r="AM519" s="41"/>
      <c r="AN519" s="41"/>
      <c r="AO519" s="40"/>
      <c r="AP519" s="40"/>
      <c r="AQ519" s="40"/>
    </row>
    <row r="520">
      <c r="A520" s="40"/>
      <c r="B520" s="42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1"/>
      <c r="AM520" s="41"/>
      <c r="AN520" s="41"/>
      <c r="AO520" s="40"/>
      <c r="AP520" s="40"/>
      <c r="AQ520" s="40"/>
    </row>
    <row r="521">
      <c r="A521" s="40"/>
      <c r="B521" s="42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1"/>
      <c r="AM521" s="41"/>
      <c r="AN521" s="41"/>
      <c r="AO521" s="40"/>
      <c r="AP521" s="40"/>
      <c r="AQ521" s="40"/>
    </row>
    <row r="522">
      <c r="A522" s="40"/>
      <c r="B522" s="42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1"/>
      <c r="AM522" s="41"/>
      <c r="AN522" s="41"/>
      <c r="AO522" s="40"/>
      <c r="AP522" s="40"/>
      <c r="AQ522" s="40"/>
    </row>
    <row r="523">
      <c r="A523" s="40"/>
      <c r="B523" s="42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1"/>
      <c r="AM523" s="41"/>
      <c r="AN523" s="41"/>
      <c r="AO523" s="40"/>
      <c r="AP523" s="40"/>
      <c r="AQ523" s="40"/>
    </row>
    <row r="524">
      <c r="A524" s="40"/>
      <c r="B524" s="42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1"/>
      <c r="AM524" s="41"/>
      <c r="AN524" s="41"/>
      <c r="AO524" s="40"/>
      <c r="AP524" s="40"/>
      <c r="AQ524" s="40"/>
    </row>
    <row r="525">
      <c r="A525" s="40"/>
      <c r="B525" s="42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1"/>
      <c r="AM525" s="41"/>
      <c r="AN525" s="41"/>
      <c r="AO525" s="40"/>
      <c r="AP525" s="40"/>
      <c r="AQ525" s="40"/>
    </row>
    <row r="526">
      <c r="A526" s="40"/>
      <c r="B526" s="42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1"/>
      <c r="AM526" s="41"/>
      <c r="AN526" s="41"/>
      <c r="AO526" s="40"/>
      <c r="AP526" s="40"/>
      <c r="AQ526" s="40"/>
    </row>
    <row r="527">
      <c r="A527" s="40"/>
      <c r="B527" s="42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1"/>
      <c r="AM527" s="41"/>
      <c r="AN527" s="41"/>
      <c r="AO527" s="40"/>
      <c r="AP527" s="40"/>
      <c r="AQ527" s="40"/>
    </row>
    <row r="528">
      <c r="A528" s="40"/>
      <c r="B528" s="42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1"/>
      <c r="AM528" s="41"/>
      <c r="AN528" s="41"/>
      <c r="AO528" s="40"/>
      <c r="AP528" s="40"/>
      <c r="AQ528" s="40"/>
    </row>
    <row r="529">
      <c r="A529" s="40"/>
      <c r="B529" s="42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1"/>
      <c r="AM529" s="41"/>
      <c r="AN529" s="41"/>
      <c r="AO529" s="40"/>
      <c r="AP529" s="40"/>
      <c r="AQ529" s="40"/>
    </row>
    <row r="530">
      <c r="A530" s="40"/>
      <c r="B530" s="42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1"/>
      <c r="AM530" s="41"/>
      <c r="AN530" s="41"/>
      <c r="AO530" s="40"/>
      <c r="AP530" s="40"/>
      <c r="AQ530" s="40"/>
    </row>
    <row r="531">
      <c r="A531" s="40"/>
      <c r="B531" s="42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1"/>
      <c r="AM531" s="41"/>
      <c r="AN531" s="41"/>
      <c r="AO531" s="40"/>
      <c r="AP531" s="40"/>
      <c r="AQ531" s="40"/>
    </row>
    <row r="532">
      <c r="A532" s="40"/>
      <c r="B532" s="42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1"/>
      <c r="AM532" s="41"/>
      <c r="AN532" s="41"/>
      <c r="AO532" s="40"/>
      <c r="AP532" s="40"/>
      <c r="AQ532" s="40"/>
    </row>
    <row r="533">
      <c r="A533" s="40"/>
      <c r="B533" s="42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1"/>
      <c r="AM533" s="41"/>
      <c r="AN533" s="41"/>
      <c r="AO533" s="40"/>
      <c r="AP533" s="40"/>
      <c r="AQ533" s="40"/>
    </row>
    <row r="534">
      <c r="A534" s="40"/>
      <c r="B534" s="42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1"/>
      <c r="AM534" s="41"/>
      <c r="AN534" s="41"/>
      <c r="AO534" s="40"/>
      <c r="AP534" s="40"/>
      <c r="AQ534" s="40"/>
    </row>
    <row r="535">
      <c r="A535" s="40"/>
      <c r="B535" s="42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1"/>
      <c r="AM535" s="41"/>
      <c r="AN535" s="41"/>
      <c r="AO535" s="40"/>
      <c r="AP535" s="40"/>
      <c r="AQ535" s="40"/>
    </row>
    <row r="536">
      <c r="A536" s="40"/>
      <c r="B536" s="42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1"/>
      <c r="AM536" s="41"/>
      <c r="AN536" s="41"/>
      <c r="AO536" s="40"/>
      <c r="AP536" s="40"/>
      <c r="AQ536" s="40"/>
    </row>
    <row r="537">
      <c r="A537" s="40"/>
      <c r="B537" s="42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1"/>
      <c r="AM537" s="41"/>
      <c r="AN537" s="41"/>
      <c r="AO537" s="40"/>
      <c r="AP537" s="40"/>
      <c r="AQ537" s="40"/>
    </row>
    <row r="538">
      <c r="A538" s="40"/>
      <c r="B538" s="42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1"/>
      <c r="AM538" s="41"/>
      <c r="AN538" s="41"/>
      <c r="AO538" s="40"/>
      <c r="AP538" s="40"/>
      <c r="AQ538" s="40"/>
    </row>
    <row r="539">
      <c r="A539" s="40"/>
      <c r="B539" s="42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1"/>
      <c r="AM539" s="41"/>
      <c r="AN539" s="41"/>
      <c r="AO539" s="40"/>
      <c r="AP539" s="40"/>
      <c r="AQ539" s="40"/>
    </row>
    <row r="540">
      <c r="A540" s="40"/>
      <c r="B540" s="42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1"/>
      <c r="AM540" s="41"/>
      <c r="AN540" s="41"/>
      <c r="AO540" s="40"/>
      <c r="AP540" s="40"/>
      <c r="AQ540" s="40"/>
    </row>
    <row r="541">
      <c r="A541" s="40"/>
      <c r="B541" s="42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1"/>
      <c r="AM541" s="41"/>
      <c r="AN541" s="41"/>
      <c r="AO541" s="40"/>
      <c r="AP541" s="40"/>
      <c r="AQ541" s="40"/>
    </row>
    <row r="542">
      <c r="A542" s="40"/>
      <c r="B542" s="42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1"/>
      <c r="AM542" s="41"/>
      <c r="AN542" s="41"/>
      <c r="AO542" s="40"/>
      <c r="AP542" s="40"/>
      <c r="AQ542" s="40"/>
    </row>
    <row r="543">
      <c r="A543" s="40"/>
      <c r="B543" s="42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1"/>
      <c r="AM543" s="41"/>
      <c r="AN543" s="41"/>
      <c r="AO543" s="40"/>
      <c r="AP543" s="40"/>
      <c r="AQ543" s="40"/>
    </row>
    <row r="544">
      <c r="A544" s="40"/>
      <c r="B544" s="42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1"/>
      <c r="AM544" s="41"/>
      <c r="AN544" s="41"/>
      <c r="AO544" s="40"/>
      <c r="AP544" s="40"/>
      <c r="AQ544" s="40"/>
    </row>
    <row r="545">
      <c r="A545" s="40"/>
      <c r="B545" s="42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1"/>
      <c r="AM545" s="41"/>
      <c r="AN545" s="41"/>
      <c r="AO545" s="40"/>
      <c r="AP545" s="40"/>
      <c r="AQ545" s="40"/>
    </row>
    <row r="546">
      <c r="A546" s="40"/>
      <c r="B546" s="42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1"/>
      <c r="AM546" s="41"/>
      <c r="AN546" s="41"/>
      <c r="AO546" s="40"/>
      <c r="AP546" s="40"/>
      <c r="AQ546" s="40"/>
    </row>
    <row r="547">
      <c r="A547" s="40"/>
      <c r="B547" s="42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1"/>
      <c r="AM547" s="41"/>
      <c r="AN547" s="41"/>
      <c r="AO547" s="40"/>
      <c r="AP547" s="40"/>
      <c r="AQ547" s="40"/>
    </row>
    <row r="548">
      <c r="A548" s="40"/>
      <c r="B548" s="42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1"/>
      <c r="AM548" s="41"/>
      <c r="AN548" s="41"/>
      <c r="AO548" s="40"/>
      <c r="AP548" s="40"/>
      <c r="AQ548" s="40"/>
    </row>
    <row r="549">
      <c r="A549" s="40"/>
      <c r="B549" s="42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1"/>
      <c r="AM549" s="41"/>
      <c r="AN549" s="41"/>
      <c r="AO549" s="40"/>
      <c r="AP549" s="40"/>
      <c r="AQ549" s="40"/>
    </row>
    <row r="550">
      <c r="A550" s="40"/>
      <c r="B550" s="42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1"/>
      <c r="AM550" s="41"/>
      <c r="AN550" s="41"/>
      <c r="AO550" s="40"/>
      <c r="AP550" s="40"/>
      <c r="AQ550" s="40"/>
    </row>
    <row r="551">
      <c r="A551" s="40"/>
      <c r="B551" s="42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1"/>
      <c r="AM551" s="41"/>
      <c r="AN551" s="41"/>
      <c r="AO551" s="40"/>
      <c r="AP551" s="40"/>
      <c r="AQ551" s="40"/>
    </row>
    <row r="552">
      <c r="A552" s="40"/>
      <c r="B552" s="42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1"/>
      <c r="AM552" s="41"/>
      <c r="AN552" s="41"/>
      <c r="AO552" s="40"/>
      <c r="AP552" s="40"/>
      <c r="AQ552" s="40"/>
    </row>
    <row r="553">
      <c r="A553" s="40"/>
      <c r="B553" s="42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1"/>
      <c r="AM553" s="41"/>
      <c r="AN553" s="41"/>
      <c r="AO553" s="40"/>
      <c r="AP553" s="40"/>
      <c r="AQ553" s="40"/>
    </row>
    <row r="554">
      <c r="A554" s="40"/>
      <c r="B554" s="42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1"/>
      <c r="AM554" s="41"/>
      <c r="AN554" s="41"/>
      <c r="AO554" s="40"/>
      <c r="AP554" s="40"/>
      <c r="AQ554" s="40"/>
    </row>
    <row r="555">
      <c r="A555" s="40"/>
      <c r="B555" s="42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1"/>
      <c r="AM555" s="41"/>
      <c r="AN555" s="41"/>
      <c r="AO555" s="40"/>
      <c r="AP555" s="40"/>
      <c r="AQ555" s="40"/>
    </row>
    <row r="556">
      <c r="A556" s="40"/>
      <c r="B556" s="42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1"/>
      <c r="AM556" s="41"/>
      <c r="AN556" s="41"/>
      <c r="AO556" s="40"/>
      <c r="AP556" s="40"/>
      <c r="AQ556" s="40"/>
    </row>
    <row r="557">
      <c r="A557" s="40"/>
      <c r="B557" s="42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1"/>
      <c r="AM557" s="41"/>
      <c r="AN557" s="41"/>
      <c r="AO557" s="40"/>
      <c r="AP557" s="40"/>
      <c r="AQ557" s="40"/>
    </row>
    <row r="558">
      <c r="A558" s="40"/>
      <c r="B558" s="42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1"/>
      <c r="AM558" s="41"/>
      <c r="AN558" s="41"/>
      <c r="AO558" s="40"/>
      <c r="AP558" s="40"/>
      <c r="AQ558" s="40"/>
    </row>
    <row r="559">
      <c r="A559" s="40"/>
      <c r="B559" s="42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1"/>
      <c r="AM559" s="41"/>
      <c r="AN559" s="41"/>
      <c r="AO559" s="40"/>
      <c r="AP559" s="40"/>
      <c r="AQ559" s="40"/>
    </row>
    <row r="560">
      <c r="A560" s="40"/>
      <c r="B560" s="42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1"/>
      <c r="AM560" s="41"/>
      <c r="AN560" s="41"/>
      <c r="AO560" s="40"/>
      <c r="AP560" s="40"/>
      <c r="AQ560" s="40"/>
    </row>
    <row r="561">
      <c r="A561" s="40"/>
      <c r="B561" s="42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1"/>
      <c r="AM561" s="41"/>
      <c r="AN561" s="41"/>
      <c r="AO561" s="40"/>
      <c r="AP561" s="40"/>
      <c r="AQ561" s="40"/>
    </row>
    <row r="562">
      <c r="A562" s="40"/>
      <c r="B562" s="42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1"/>
      <c r="AM562" s="41"/>
      <c r="AN562" s="41"/>
      <c r="AO562" s="40"/>
      <c r="AP562" s="40"/>
      <c r="AQ562" s="40"/>
    </row>
    <row r="563">
      <c r="A563" s="40"/>
      <c r="B563" s="42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1"/>
      <c r="AM563" s="41"/>
      <c r="AN563" s="41"/>
      <c r="AO563" s="40"/>
      <c r="AP563" s="40"/>
      <c r="AQ563" s="40"/>
    </row>
    <row r="564">
      <c r="A564" s="40"/>
      <c r="B564" s="42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1"/>
      <c r="AM564" s="41"/>
      <c r="AN564" s="41"/>
      <c r="AO564" s="40"/>
      <c r="AP564" s="40"/>
      <c r="AQ564" s="40"/>
    </row>
    <row r="565">
      <c r="A565" s="40"/>
      <c r="B565" s="42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1"/>
      <c r="AM565" s="41"/>
      <c r="AN565" s="41"/>
      <c r="AO565" s="40"/>
      <c r="AP565" s="40"/>
      <c r="AQ565" s="40"/>
    </row>
    <row r="566">
      <c r="A566" s="40"/>
      <c r="B566" s="42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1"/>
      <c r="AM566" s="41"/>
      <c r="AN566" s="41"/>
      <c r="AO566" s="40"/>
      <c r="AP566" s="40"/>
      <c r="AQ566" s="40"/>
    </row>
    <row r="567">
      <c r="A567" s="40"/>
      <c r="B567" s="42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1"/>
      <c r="AM567" s="41"/>
      <c r="AN567" s="41"/>
      <c r="AO567" s="40"/>
      <c r="AP567" s="40"/>
      <c r="AQ567" s="40"/>
    </row>
    <row r="568">
      <c r="A568" s="40"/>
      <c r="B568" s="42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1"/>
      <c r="AM568" s="41"/>
      <c r="AN568" s="41"/>
      <c r="AO568" s="40"/>
      <c r="AP568" s="40"/>
      <c r="AQ568" s="40"/>
    </row>
    <row r="569">
      <c r="A569" s="40"/>
      <c r="B569" s="42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1"/>
      <c r="AM569" s="41"/>
      <c r="AN569" s="41"/>
      <c r="AO569" s="40"/>
      <c r="AP569" s="40"/>
      <c r="AQ569" s="40"/>
    </row>
    <row r="570">
      <c r="A570" s="40"/>
      <c r="B570" s="42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1"/>
      <c r="AM570" s="41"/>
      <c r="AN570" s="41"/>
      <c r="AO570" s="40"/>
      <c r="AP570" s="40"/>
      <c r="AQ570" s="40"/>
    </row>
    <row r="571">
      <c r="A571" s="40"/>
      <c r="B571" s="42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1"/>
      <c r="AM571" s="41"/>
      <c r="AN571" s="41"/>
      <c r="AO571" s="40"/>
      <c r="AP571" s="40"/>
      <c r="AQ571" s="40"/>
    </row>
    <row r="572">
      <c r="A572" s="40"/>
      <c r="B572" s="42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1"/>
      <c r="AM572" s="41"/>
      <c r="AN572" s="41"/>
      <c r="AO572" s="40"/>
      <c r="AP572" s="40"/>
      <c r="AQ572" s="40"/>
    </row>
    <row r="573">
      <c r="A573" s="40"/>
      <c r="B573" s="42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1"/>
      <c r="AM573" s="41"/>
      <c r="AN573" s="41"/>
      <c r="AO573" s="40"/>
      <c r="AP573" s="40"/>
      <c r="AQ573" s="40"/>
    </row>
    <row r="574">
      <c r="A574" s="40"/>
      <c r="B574" s="42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1"/>
      <c r="AM574" s="41"/>
      <c r="AN574" s="41"/>
      <c r="AO574" s="40"/>
      <c r="AP574" s="40"/>
      <c r="AQ574" s="40"/>
    </row>
    <row r="575">
      <c r="A575" s="40"/>
      <c r="B575" s="42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1"/>
      <c r="AM575" s="41"/>
      <c r="AN575" s="41"/>
      <c r="AO575" s="40"/>
      <c r="AP575" s="40"/>
      <c r="AQ575" s="40"/>
    </row>
    <row r="576">
      <c r="A576" s="40"/>
      <c r="B576" s="42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1"/>
      <c r="AM576" s="41"/>
      <c r="AN576" s="41"/>
      <c r="AO576" s="40"/>
      <c r="AP576" s="40"/>
      <c r="AQ576" s="40"/>
    </row>
    <row r="577">
      <c r="A577" s="40"/>
      <c r="B577" s="42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1"/>
      <c r="AM577" s="41"/>
      <c r="AN577" s="41"/>
      <c r="AO577" s="40"/>
      <c r="AP577" s="40"/>
      <c r="AQ577" s="40"/>
    </row>
    <row r="578">
      <c r="A578" s="40"/>
      <c r="B578" s="42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1"/>
      <c r="AM578" s="41"/>
      <c r="AN578" s="41"/>
      <c r="AO578" s="40"/>
      <c r="AP578" s="40"/>
      <c r="AQ578" s="40"/>
    </row>
    <row r="579">
      <c r="A579" s="40"/>
      <c r="B579" s="42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1"/>
      <c r="AM579" s="41"/>
      <c r="AN579" s="41"/>
      <c r="AO579" s="40"/>
      <c r="AP579" s="40"/>
      <c r="AQ579" s="40"/>
    </row>
    <row r="580">
      <c r="A580" s="40"/>
      <c r="B580" s="42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1"/>
      <c r="AM580" s="41"/>
      <c r="AN580" s="41"/>
      <c r="AO580" s="40"/>
      <c r="AP580" s="40"/>
      <c r="AQ580" s="40"/>
    </row>
    <row r="581">
      <c r="A581" s="40"/>
      <c r="B581" s="42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1"/>
      <c r="AM581" s="41"/>
      <c r="AN581" s="41"/>
      <c r="AO581" s="40"/>
      <c r="AP581" s="40"/>
      <c r="AQ581" s="40"/>
    </row>
    <row r="582">
      <c r="A582" s="40"/>
      <c r="B582" s="42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1"/>
      <c r="AM582" s="41"/>
      <c r="AN582" s="41"/>
      <c r="AO582" s="40"/>
      <c r="AP582" s="40"/>
      <c r="AQ582" s="40"/>
    </row>
    <row r="583">
      <c r="A583" s="40"/>
      <c r="B583" s="42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1"/>
      <c r="AM583" s="41"/>
      <c r="AN583" s="41"/>
      <c r="AO583" s="40"/>
      <c r="AP583" s="40"/>
      <c r="AQ583" s="40"/>
    </row>
    <row r="584">
      <c r="A584" s="40"/>
      <c r="B584" s="42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1"/>
      <c r="AM584" s="41"/>
      <c r="AN584" s="41"/>
      <c r="AO584" s="40"/>
      <c r="AP584" s="40"/>
      <c r="AQ584" s="40"/>
    </row>
    <row r="585">
      <c r="A585" s="40"/>
      <c r="B585" s="42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1"/>
      <c r="AM585" s="41"/>
      <c r="AN585" s="41"/>
      <c r="AO585" s="40"/>
      <c r="AP585" s="40"/>
      <c r="AQ585" s="40"/>
    </row>
    <row r="586">
      <c r="A586" s="40"/>
      <c r="B586" s="42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1"/>
      <c r="AM586" s="41"/>
      <c r="AN586" s="41"/>
      <c r="AO586" s="40"/>
      <c r="AP586" s="40"/>
      <c r="AQ586" s="40"/>
    </row>
    <row r="587">
      <c r="A587" s="40"/>
      <c r="B587" s="42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1"/>
      <c r="AM587" s="41"/>
      <c r="AN587" s="41"/>
      <c r="AO587" s="40"/>
      <c r="AP587" s="40"/>
      <c r="AQ587" s="40"/>
    </row>
    <row r="588">
      <c r="A588" s="40"/>
      <c r="B588" s="42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1"/>
      <c r="AM588" s="41"/>
      <c r="AN588" s="41"/>
      <c r="AO588" s="40"/>
      <c r="AP588" s="40"/>
      <c r="AQ588" s="40"/>
    </row>
    <row r="589">
      <c r="A589" s="40"/>
      <c r="B589" s="42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1"/>
      <c r="AM589" s="41"/>
      <c r="AN589" s="41"/>
      <c r="AO589" s="40"/>
      <c r="AP589" s="40"/>
      <c r="AQ589" s="40"/>
    </row>
    <row r="590">
      <c r="A590" s="40"/>
      <c r="B590" s="42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1"/>
      <c r="AM590" s="41"/>
      <c r="AN590" s="41"/>
      <c r="AO590" s="40"/>
      <c r="AP590" s="40"/>
      <c r="AQ590" s="40"/>
    </row>
    <row r="591">
      <c r="A591" s="40"/>
      <c r="B591" s="42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1"/>
      <c r="AM591" s="41"/>
      <c r="AN591" s="41"/>
      <c r="AO591" s="40"/>
      <c r="AP591" s="40"/>
      <c r="AQ591" s="40"/>
    </row>
    <row r="592">
      <c r="A592" s="40"/>
      <c r="B592" s="42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1"/>
      <c r="AM592" s="41"/>
      <c r="AN592" s="41"/>
      <c r="AO592" s="40"/>
      <c r="AP592" s="40"/>
      <c r="AQ592" s="40"/>
    </row>
    <row r="593">
      <c r="A593" s="40"/>
      <c r="B593" s="42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1"/>
      <c r="AM593" s="41"/>
      <c r="AN593" s="41"/>
      <c r="AO593" s="40"/>
      <c r="AP593" s="40"/>
      <c r="AQ593" s="40"/>
    </row>
    <row r="594">
      <c r="A594" s="40"/>
      <c r="B594" s="42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1"/>
      <c r="AM594" s="41"/>
      <c r="AN594" s="41"/>
      <c r="AO594" s="40"/>
      <c r="AP594" s="40"/>
      <c r="AQ594" s="40"/>
    </row>
    <row r="595">
      <c r="A595" s="40"/>
      <c r="B595" s="42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1"/>
      <c r="AM595" s="41"/>
      <c r="AN595" s="41"/>
      <c r="AO595" s="40"/>
      <c r="AP595" s="40"/>
      <c r="AQ595" s="40"/>
    </row>
    <row r="596">
      <c r="A596" s="40"/>
      <c r="B596" s="42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1"/>
      <c r="AM596" s="41"/>
      <c r="AN596" s="41"/>
      <c r="AO596" s="40"/>
      <c r="AP596" s="40"/>
      <c r="AQ596" s="40"/>
    </row>
    <row r="597">
      <c r="A597" s="40"/>
      <c r="B597" s="42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1"/>
      <c r="AM597" s="41"/>
      <c r="AN597" s="41"/>
      <c r="AO597" s="40"/>
      <c r="AP597" s="40"/>
      <c r="AQ597" s="40"/>
    </row>
    <row r="598">
      <c r="A598" s="40"/>
      <c r="B598" s="42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1"/>
      <c r="AM598" s="41"/>
      <c r="AN598" s="41"/>
      <c r="AO598" s="40"/>
      <c r="AP598" s="40"/>
      <c r="AQ598" s="40"/>
    </row>
    <row r="599">
      <c r="A599" s="40"/>
      <c r="B599" s="42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1"/>
      <c r="AM599" s="41"/>
      <c r="AN599" s="41"/>
      <c r="AO599" s="40"/>
      <c r="AP599" s="40"/>
      <c r="AQ599" s="40"/>
    </row>
    <row r="600">
      <c r="A600" s="40"/>
      <c r="B600" s="42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1"/>
      <c r="AM600" s="41"/>
      <c r="AN600" s="41"/>
      <c r="AO600" s="40"/>
      <c r="AP600" s="40"/>
      <c r="AQ600" s="40"/>
    </row>
    <row r="601">
      <c r="A601" s="40"/>
      <c r="B601" s="42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1"/>
      <c r="AM601" s="41"/>
      <c r="AN601" s="41"/>
      <c r="AO601" s="40"/>
      <c r="AP601" s="40"/>
      <c r="AQ601" s="40"/>
    </row>
    <row r="602">
      <c r="A602" s="40"/>
      <c r="B602" s="42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1"/>
      <c r="AM602" s="41"/>
      <c r="AN602" s="41"/>
      <c r="AO602" s="40"/>
      <c r="AP602" s="40"/>
      <c r="AQ602" s="40"/>
    </row>
    <row r="603">
      <c r="A603" s="40"/>
      <c r="B603" s="42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1"/>
      <c r="AM603" s="41"/>
      <c r="AN603" s="41"/>
      <c r="AO603" s="40"/>
      <c r="AP603" s="40"/>
      <c r="AQ603" s="40"/>
    </row>
    <row r="604">
      <c r="A604" s="40"/>
      <c r="B604" s="42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1"/>
      <c r="AM604" s="41"/>
      <c r="AN604" s="41"/>
      <c r="AO604" s="40"/>
      <c r="AP604" s="40"/>
      <c r="AQ604" s="40"/>
    </row>
    <row r="605">
      <c r="A605" s="40"/>
      <c r="B605" s="42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1"/>
      <c r="AM605" s="41"/>
      <c r="AN605" s="41"/>
      <c r="AO605" s="40"/>
      <c r="AP605" s="40"/>
      <c r="AQ605" s="40"/>
    </row>
    <row r="606">
      <c r="A606" s="40"/>
      <c r="B606" s="42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1"/>
      <c r="AM606" s="41"/>
      <c r="AN606" s="41"/>
      <c r="AO606" s="40"/>
      <c r="AP606" s="40"/>
      <c r="AQ606" s="40"/>
    </row>
    <row r="607">
      <c r="A607" s="40"/>
      <c r="B607" s="42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1"/>
      <c r="AM607" s="41"/>
      <c r="AN607" s="41"/>
      <c r="AO607" s="40"/>
      <c r="AP607" s="40"/>
      <c r="AQ607" s="40"/>
    </row>
    <row r="608">
      <c r="A608" s="40"/>
      <c r="B608" s="42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1"/>
      <c r="AM608" s="41"/>
      <c r="AN608" s="41"/>
      <c r="AO608" s="40"/>
      <c r="AP608" s="40"/>
      <c r="AQ608" s="40"/>
    </row>
    <row r="609">
      <c r="A609" s="40"/>
      <c r="B609" s="42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1"/>
      <c r="AM609" s="41"/>
      <c r="AN609" s="41"/>
      <c r="AO609" s="40"/>
      <c r="AP609" s="40"/>
      <c r="AQ609" s="40"/>
    </row>
    <row r="610">
      <c r="A610" s="40"/>
      <c r="B610" s="42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1"/>
      <c r="AM610" s="41"/>
      <c r="AN610" s="41"/>
      <c r="AO610" s="40"/>
      <c r="AP610" s="40"/>
      <c r="AQ610" s="40"/>
    </row>
    <row r="611">
      <c r="A611" s="40"/>
      <c r="B611" s="42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1"/>
      <c r="AM611" s="41"/>
      <c r="AN611" s="41"/>
      <c r="AO611" s="40"/>
      <c r="AP611" s="40"/>
      <c r="AQ611" s="40"/>
    </row>
    <row r="612">
      <c r="A612" s="40"/>
      <c r="B612" s="42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1"/>
      <c r="AM612" s="41"/>
      <c r="AN612" s="41"/>
      <c r="AO612" s="40"/>
      <c r="AP612" s="40"/>
      <c r="AQ612" s="40"/>
    </row>
    <row r="613">
      <c r="A613" s="40"/>
      <c r="B613" s="42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1"/>
      <c r="AM613" s="41"/>
      <c r="AN613" s="41"/>
      <c r="AO613" s="40"/>
      <c r="AP613" s="40"/>
      <c r="AQ613" s="40"/>
    </row>
    <row r="614">
      <c r="A614" s="40"/>
      <c r="B614" s="42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1"/>
      <c r="AM614" s="41"/>
      <c r="AN614" s="41"/>
      <c r="AO614" s="40"/>
      <c r="AP614" s="40"/>
      <c r="AQ614" s="40"/>
    </row>
    <row r="615">
      <c r="A615" s="40"/>
      <c r="B615" s="42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1"/>
      <c r="AM615" s="41"/>
      <c r="AN615" s="41"/>
      <c r="AO615" s="40"/>
      <c r="AP615" s="40"/>
      <c r="AQ615" s="40"/>
    </row>
    <row r="616">
      <c r="A616" s="40"/>
      <c r="B616" s="42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1"/>
      <c r="AM616" s="41"/>
      <c r="AN616" s="41"/>
      <c r="AO616" s="40"/>
      <c r="AP616" s="40"/>
      <c r="AQ616" s="40"/>
    </row>
    <row r="617">
      <c r="A617" s="40"/>
      <c r="B617" s="42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1"/>
      <c r="AM617" s="41"/>
      <c r="AN617" s="41"/>
      <c r="AO617" s="40"/>
      <c r="AP617" s="40"/>
      <c r="AQ617" s="40"/>
    </row>
    <row r="618">
      <c r="A618" s="40"/>
      <c r="B618" s="42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1"/>
      <c r="AM618" s="41"/>
      <c r="AN618" s="41"/>
      <c r="AO618" s="40"/>
      <c r="AP618" s="40"/>
      <c r="AQ618" s="40"/>
    </row>
    <row r="619">
      <c r="A619" s="40"/>
      <c r="B619" s="42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1"/>
      <c r="AM619" s="41"/>
      <c r="AN619" s="41"/>
      <c r="AO619" s="40"/>
      <c r="AP619" s="40"/>
      <c r="AQ619" s="40"/>
    </row>
    <row r="620">
      <c r="A620" s="40"/>
      <c r="B620" s="42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1"/>
      <c r="AM620" s="41"/>
      <c r="AN620" s="41"/>
      <c r="AO620" s="40"/>
      <c r="AP620" s="40"/>
      <c r="AQ620" s="40"/>
    </row>
    <row r="621">
      <c r="A621" s="40"/>
      <c r="B621" s="42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1"/>
      <c r="AM621" s="41"/>
      <c r="AN621" s="41"/>
      <c r="AO621" s="40"/>
      <c r="AP621" s="40"/>
      <c r="AQ621" s="40"/>
    </row>
    <row r="622">
      <c r="A622" s="40"/>
      <c r="B622" s="42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1"/>
      <c r="AM622" s="41"/>
      <c r="AN622" s="41"/>
      <c r="AO622" s="40"/>
      <c r="AP622" s="40"/>
      <c r="AQ622" s="40"/>
    </row>
    <row r="623">
      <c r="A623" s="40"/>
      <c r="B623" s="42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1"/>
      <c r="AM623" s="41"/>
      <c r="AN623" s="41"/>
      <c r="AO623" s="40"/>
      <c r="AP623" s="40"/>
      <c r="AQ623" s="40"/>
    </row>
    <row r="624">
      <c r="A624" s="40"/>
      <c r="B624" s="42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1"/>
      <c r="AM624" s="41"/>
      <c r="AN624" s="41"/>
      <c r="AO624" s="40"/>
      <c r="AP624" s="40"/>
      <c r="AQ624" s="40"/>
    </row>
    <row r="625">
      <c r="A625" s="40"/>
      <c r="B625" s="42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1"/>
      <c r="AM625" s="41"/>
      <c r="AN625" s="41"/>
      <c r="AO625" s="40"/>
      <c r="AP625" s="40"/>
      <c r="AQ625" s="40"/>
    </row>
    <row r="626">
      <c r="A626" s="40"/>
      <c r="B626" s="42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1"/>
      <c r="AM626" s="41"/>
      <c r="AN626" s="41"/>
      <c r="AO626" s="40"/>
      <c r="AP626" s="40"/>
      <c r="AQ626" s="40"/>
    </row>
    <row r="627">
      <c r="A627" s="40"/>
      <c r="B627" s="42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1"/>
      <c r="AM627" s="41"/>
      <c r="AN627" s="41"/>
      <c r="AO627" s="40"/>
      <c r="AP627" s="40"/>
      <c r="AQ627" s="40"/>
    </row>
    <row r="628">
      <c r="A628" s="40"/>
      <c r="B628" s="42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1"/>
      <c r="AM628" s="41"/>
      <c r="AN628" s="41"/>
      <c r="AO628" s="40"/>
      <c r="AP628" s="40"/>
      <c r="AQ628" s="40"/>
    </row>
    <row r="629">
      <c r="A629" s="40"/>
      <c r="B629" s="42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1"/>
      <c r="AM629" s="41"/>
      <c r="AN629" s="41"/>
      <c r="AO629" s="40"/>
      <c r="AP629" s="40"/>
      <c r="AQ629" s="40"/>
    </row>
    <row r="630">
      <c r="A630" s="40"/>
      <c r="B630" s="42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1"/>
      <c r="AM630" s="41"/>
      <c r="AN630" s="41"/>
      <c r="AO630" s="40"/>
      <c r="AP630" s="40"/>
      <c r="AQ630" s="40"/>
    </row>
    <row r="631">
      <c r="A631" s="40"/>
      <c r="B631" s="42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1"/>
      <c r="AM631" s="41"/>
      <c r="AN631" s="41"/>
      <c r="AO631" s="40"/>
      <c r="AP631" s="40"/>
      <c r="AQ631" s="40"/>
    </row>
    <row r="632">
      <c r="A632" s="40"/>
      <c r="B632" s="42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1"/>
      <c r="AM632" s="41"/>
      <c r="AN632" s="41"/>
      <c r="AO632" s="40"/>
      <c r="AP632" s="40"/>
      <c r="AQ632" s="40"/>
    </row>
    <row r="633">
      <c r="A633" s="40"/>
      <c r="B633" s="42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1"/>
      <c r="AM633" s="41"/>
      <c r="AN633" s="41"/>
      <c r="AO633" s="40"/>
      <c r="AP633" s="40"/>
      <c r="AQ633" s="40"/>
    </row>
    <row r="634">
      <c r="A634" s="40"/>
      <c r="B634" s="42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1"/>
      <c r="AM634" s="41"/>
      <c r="AN634" s="41"/>
      <c r="AO634" s="40"/>
      <c r="AP634" s="40"/>
      <c r="AQ634" s="40"/>
    </row>
    <row r="635">
      <c r="A635" s="40"/>
      <c r="B635" s="42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1"/>
      <c r="AM635" s="41"/>
      <c r="AN635" s="41"/>
      <c r="AO635" s="40"/>
      <c r="AP635" s="40"/>
      <c r="AQ635" s="40"/>
    </row>
    <row r="636">
      <c r="A636" s="40"/>
      <c r="B636" s="42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1"/>
      <c r="AM636" s="41"/>
      <c r="AN636" s="41"/>
      <c r="AO636" s="40"/>
      <c r="AP636" s="40"/>
      <c r="AQ636" s="40"/>
    </row>
    <row r="637">
      <c r="A637" s="40"/>
      <c r="B637" s="42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1"/>
      <c r="AM637" s="41"/>
      <c r="AN637" s="41"/>
      <c r="AO637" s="40"/>
      <c r="AP637" s="40"/>
      <c r="AQ637" s="40"/>
    </row>
    <row r="638">
      <c r="A638" s="40"/>
      <c r="B638" s="42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1"/>
      <c r="AM638" s="41"/>
      <c r="AN638" s="41"/>
      <c r="AO638" s="40"/>
      <c r="AP638" s="40"/>
      <c r="AQ638" s="40"/>
    </row>
    <row r="639">
      <c r="A639" s="40"/>
      <c r="B639" s="42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1"/>
      <c r="AM639" s="41"/>
      <c r="AN639" s="41"/>
      <c r="AO639" s="40"/>
      <c r="AP639" s="40"/>
      <c r="AQ639" s="40"/>
    </row>
    <row r="640">
      <c r="A640" s="40"/>
      <c r="B640" s="42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1"/>
      <c r="AM640" s="41"/>
      <c r="AN640" s="41"/>
      <c r="AO640" s="40"/>
      <c r="AP640" s="40"/>
      <c r="AQ640" s="40"/>
    </row>
    <row r="641">
      <c r="A641" s="40"/>
      <c r="B641" s="42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1"/>
      <c r="AM641" s="41"/>
      <c r="AN641" s="41"/>
      <c r="AO641" s="40"/>
      <c r="AP641" s="40"/>
      <c r="AQ641" s="40"/>
    </row>
    <row r="642">
      <c r="A642" s="40"/>
      <c r="B642" s="42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1"/>
      <c r="AM642" s="41"/>
      <c r="AN642" s="41"/>
      <c r="AO642" s="40"/>
      <c r="AP642" s="40"/>
      <c r="AQ642" s="40"/>
    </row>
    <row r="643">
      <c r="A643" s="40"/>
      <c r="B643" s="42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1"/>
      <c r="AM643" s="41"/>
      <c r="AN643" s="41"/>
      <c r="AO643" s="40"/>
      <c r="AP643" s="40"/>
      <c r="AQ643" s="40"/>
    </row>
    <row r="644">
      <c r="A644" s="40"/>
      <c r="B644" s="42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1"/>
      <c r="AM644" s="41"/>
      <c r="AN644" s="41"/>
      <c r="AO644" s="40"/>
      <c r="AP644" s="40"/>
      <c r="AQ644" s="40"/>
    </row>
    <row r="645">
      <c r="A645" s="40"/>
      <c r="B645" s="42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1"/>
      <c r="AM645" s="41"/>
      <c r="AN645" s="41"/>
      <c r="AO645" s="40"/>
      <c r="AP645" s="40"/>
      <c r="AQ645" s="40"/>
    </row>
    <row r="646">
      <c r="A646" s="40"/>
      <c r="B646" s="42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1"/>
      <c r="AM646" s="41"/>
      <c r="AN646" s="41"/>
      <c r="AO646" s="40"/>
      <c r="AP646" s="40"/>
      <c r="AQ646" s="40"/>
    </row>
    <row r="647">
      <c r="A647" s="40"/>
      <c r="B647" s="42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1"/>
      <c r="AM647" s="41"/>
      <c r="AN647" s="41"/>
      <c r="AO647" s="40"/>
      <c r="AP647" s="40"/>
      <c r="AQ647" s="40"/>
    </row>
    <row r="648">
      <c r="A648" s="40"/>
      <c r="B648" s="42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1"/>
      <c r="AM648" s="41"/>
      <c r="AN648" s="41"/>
      <c r="AO648" s="40"/>
      <c r="AP648" s="40"/>
      <c r="AQ648" s="40"/>
    </row>
    <row r="649">
      <c r="A649" s="40"/>
      <c r="B649" s="42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1"/>
      <c r="AM649" s="41"/>
      <c r="AN649" s="41"/>
      <c r="AO649" s="40"/>
      <c r="AP649" s="40"/>
      <c r="AQ649" s="40"/>
    </row>
    <row r="650">
      <c r="A650" s="40"/>
      <c r="B650" s="42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1"/>
      <c r="AM650" s="41"/>
      <c r="AN650" s="41"/>
      <c r="AO650" s="40"/>
      <c r="AP650" s="40"/>
      <c r="AQ650" s="40"/>
    </row>
    <row r="651">
      <c r="A651" s="40"/>
      <c r="B651" s="42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1"/>
      <c r="AM651" s="41"/>
      <c r="AN651" s="41"/>
      <c r="AO651" s="40"/>
      <c r="AP651" s="40"/>
      <c r="AQ651" s="40"/>
    </row>
    <row r="652">
      <c r="A652" s="40"/>
      <c r="B652" s="42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1"/>
      <c r="AM652" s="41"/>
      <c r="AN652" s="41"/>
      <c r="AO652" s="40"/>
      <c r="AP652" s="40"/>
      <c r="AQ652" s="40"/>
    </row>
    <row r="653">
      <c r="A653" s="40"/>
      <c r="B653" s="42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1"/>
      <c r="AM653" s="41"/>
      <c r="AN653" s="41"/>
      <c r="AO653" s="40"/>
      <c r="AP653" s="40"/>
      <c r="AQ653" s="40"/>
    </row>
    <row r="654">
      <c r="A654" s="40"/>
      <c r="B654" s="42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1"/>
      <c r="AM654" s="41"/>
      <c r="AN654" s="41"/>
      <c r="AO654" s="40"/>
      <c r="AP654" s="40"/>
      <c r="AQ654" s="40"/>
    </row>
    <row r="655">
      <c r="A655" s="40"/>
      <c r="B655" s="42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1"/>
      <c r="AM655" s="41"/>
      <c r="AN655" s="41"/>
      <c r="AO655" s="40"/>
      <c r="AP655" s="40"/>
      <c r="AQ655" s="40"/>
    </row>
    <row r="656">
      <c r="A656" s="40"/>
      <c r="B656" s="42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1"/>
      <c r="AM656" s="41"/>
      <c r="AN656" s="41"/>
      <c r="AO656" s="40"/>
      <c r="AP656" s="40"/>
      <c r="AQ656" s="40"/>
    </row>
    <row r="657">
      <c r="A657" s="40"/>
      <c r="B657" s="42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1"/>
      <c r="AM657" s="41"/>
      <c r="AN657" s="41"/>
      <c r="AO657" s="40"/>
      <c r="AP657" s="40"/>
      <c r="AQ657" s="40"/>
    </row>
    <row r="658">
      <c r="A658" s="40"/>
      <c r="B658" s="42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1"/>
      <c r="AM658" s="41"/>
      <c r="AN658" s="41"/>
      <c r="AO658" s="40"/>
      <c r="AP658" s="40"/>
      <c r="AQ658" s="40"/>
    </row>
    <row r="659">
      <c r="A659" s="40"/>
      <c r="B659" s="42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1"/>
      <c r="AM659" s="41"/>
      <c r="AN659" s="41"/>
      <c r="AO659" s="40"/>
      <c r="AP659" s="40"/>
      <c r="AQ659" s="40"/>
    </row>
    <row r="660">
      <c r="A660" s="40"/>
      <c r="B660" s="42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1"/>
      <c r="AM660" s="41"/>
      <c r="AN660" s="41"/>
      <c r="AO660" s="40"/>
      <c r="AP660" s="40"/>
      <c r="AQ660" s="40"/>
    </row>
    <row r="661">
      <c r="A661" s="40"/>
      <c r="B661" s="42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1"/>
      <c r="AM661" s="41"/>
      <c r="AN661" s="41"/>
      <c r="AO661" s="40"/>
      <c r="AP661" s="40"/>
      <c r="AQ661" s="40"/>
    </row>
    <row r="662">
      <c r="A662" s="40"/>
      <c r="B662" s="42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1"/>
      <c r="AM662" s="41"/>
      <c r="AN662" s="41"/>
      <c r="AO662" s="40"/>
      <c r="AP662" s="40"/>
      <c r="AQ662" s="40"/>
    </row>
    <row r="663">
      <c r="A663" s="40"/>
      <c r="B663" s="42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1"/>
      <c r="AM663" s="41"/>
      <c r="AN663" s="41"/>
      <c r="AO663" s="40"/>
      <c r="AP663" s="40"/>
      <c r="AQ663" s="40"/>
    </row>
    <row r="664">
      <c r="A664" s="40"/>
      <c r="B664" s="42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1"/>
      <c r="AM664" s="41"/>
      <c r="AN664" s="41"/>
      <c r="AO664" s="40"/>
      <c r="AP664" s="40"/>
      <c r="AQ664" s="40"/>
    </row>
    <row r="665">
      <c r="A665" s="40"/>
      <c r="B665" s="42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1"/>
      <c r="AM665" s="41"/>
      <c r="AN665" s="41"/>
      <c r="AO665" s="40"/>
      <c r="AP665" s="40"/>
      <c r="AQ665" s="40"/>
    </row>
    <row r="666">
      <c r="A666" s="40"/>
      <c r="B666" s="42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1"/>
      <c r="AM666" s="41"/>
      <c r="AN666" s="41"/>
      <c r="AO666" s="40"/>
      <c r="AP666" s="40"/>
      <c r="AQ666" s="40"/>
    </row>
    <row r="667">
      <c r="A667" s="40"/>
      <c r="B667" s="42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1"/>
      <c r="AM667" s="41"/>
      <c r="AN667" s="41"/>
      <c r="AO667" s="40"/>
      <c r="AP667" s="40"/>
      <c r="AQ667" s="40"/>
    </row>
    <row r="668">
      <c r="A668" s="40"/>
      <c r="B668" s="42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1"/>
      <c r="AM668" s="41"/>
      <c r="AN668" s="41"/>
      <c r="AO668" s="40"/>
      <c r="AP668" s="40"/>
      <c r="AQ668" s="40"/>
    </row>
    <row r="669">
      <c r="A669" s="40"/>
      <c r="B669" s="42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1"/>
      <c r="AM669" s="41"/>
      <c r="AN669" s="41"/>
      <c r="AO669" s="40"/>
      <c r="AP669" s="40"/>
      <c r="AQ669" s="40"/>
    </row>
    <row r="670">
      <c r="A670" s="40"/>
      <c r="B670" s="42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1"/>
      <c r="AM670" s="41"/>
      <c r="AN670" s="41"/>
      <c r="AO670" s="40"/>
      <c r="AP670" s="40"/>
      <c r="AQ670" s="40"/>
    </row>
    <row r="671">
      <c r="A671" s="40"/>
      <c r="B671" s="42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1"/>
      <c r="AM671" s="41"/>
      <c r="AN671" s="41"/>
      <c r="AO671" s="40"/>
      <c r="AP671" s="40"/>
      <c r="AQ671" s="40"/>
    </row>
    <row r="672">
      <c r="A672" s="40"/>
      <c r="B672" s="42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1"/>
      <c r="AM672" s="41"/>
      <c r="AN672" s="41"/>
      <c r="AO672" s="40"/>
      <c r="AP672" s="40"/>
      <c r="AQ672" s="40"/>
    </row>
    <row r="673">
      <c r="A673" s="40"/>
      <c r="B673" s="42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1"/>
      <c r="AM673" s="41"/>
      <c r="AN673" s="41"/>
      <c r="AO673" s="40"/>
      <c r="AP673" s="40"/>
      <c r="AQ673" s="40"/>
    </row>
    <row r="674">
      <c r="A674" s="40"/>
      <c r="B674" s="42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1"/>
      <c r="AM674" s="41"/>
      <c r="AN674" s="41"/>
      <c r="AO674" s="40"/>
      <c r="AP674" s="40"/>
      <c r="AQ674" s="40"/>
    </row>
    <row r="675">
      <c r="A675" s="40"/>
      <c r="B675" s="42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1"/>
      <c r="AM675" s="41"/>
      <c r="AN675" s="41"/>
      <c r="AO675" s="40"/>
      <c r="AP675" s="40"/>
      <c r="AQ675" s="40"/>
    </row>
    <row r="676">
      <c r="A676" s="40"/>
      <c r="B676" s="42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1"/>
      <c r="AM676" s="41"/>
      <c r="AN676" s="41"/>
      <c r="AO676" s="40"/>
      <c r="AP676" s="40"/>
      <c r="AQ676" s="40"/>
    </row>
    <row r="677">
      <c r="A677" s="40"/>
      <c r="B677" s="42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1"/>
      <c r="AM677" s="41"/>
      <c r="AN677" s="41"/>
      <c r="AO677" s="40"/>
      <c r="AP677" s="40"/>
      <c r="AQ677" s="40"/>
    </row>
    <row r="678">
      <c r="A678" s="40"/>
      <c r="B678" s="42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1"/>
      <c r="AM678" s="41"/>
      <c r="AN678" s="41"/>
      <c r="AO678" s="40"/>
      <c r="AP678" s="40"/>
      <c r="AQ678" s="40"/>
    </row>
    <row r="679">
      <c r="A679" s="40"/>
      <c r="B679" s="42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1"/>
      <c r="AM679" s="41"/>
      <c r="AN679" s="41"/>
      <c r="AO679" s="40"/>
      <c r="AP679" s="40"/>
      <c r="AQ679" s="40"/>
    </row>
    <row r="680">
      <c r="A680" s="40"/>
      <c r="B680" s="42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1"/>
      <c r="AM680" s="41"/>
      <c r="AN680" s="41"/>
      <c r="AO680" s="40"/>
      <c r="AP680" s="40"/>
      <c r="AQ680" s="40"/>
    </row>
    <row r="681">
      <c r="A681" s="40"/>
      <c r="B681" s="42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1"/>
      <c r="AM681" s="41"/>
      <c r="AN681" s="41"/>
      <c r="AO681" s="40"/>
      <c r="AP681" s="40"/>
      <c r="AQ681" s="40"/>
    </row>
    <row r="682">
      <c r="A682" s="40"/>
      <c r="B682" s="42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1"/>
      <c r="AM682" s="41"/>
      <c r="AN682" s="41"/>
      <c r="AO682" s="40"/>
      <c r="AP682" s="40"/>
      <c r="AQ682" s="40"/>
    </row>
    <row r="683">
      <c r="A683" s="40"/>
      <c r="B683" s="42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1"/>
      <c r="AM683" s="41"/>
      <c r="AN683" s="41"/>
      <c r="AO683" s="40"/>
      <c r="AP683" s="40"/>
      <c r="AQ683" s="40"/>
    </row>
    <row r="684">
      <c r="A684" s="40"/>
      <c r="B684" s="42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1"/>
      <c r="AM684" s="41"/>
      <c r="AN684" s="41"/>
      <c r="AO684" s="40"/>
      <c r="AP684" s="40"/>
      <c r="AQ684" s="40"/>
    </row>
    <row r="685">
      <c r="A685" s="40"/>
      <c r="B685" s="42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1"/>
      <c r="AM685" s="41"/>
      <c r="AN685" s="41"/>
      <c r="AO685" s="40"/>
      <c r="AP685" s="40"/>
      <c r="AQ685" s="40"/>
    </row>
    <row r="686">
      <c r="A686" s="40"/>
      <c r="B686" s="42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1"/>
      <c r="AM686" s="41"/>
      <c r="AN686" s="41"/>
      <c r="AO686" s="40"/>
      <c r="AP686" s="40"/>
      <c r="AQ686" s="40"/>
    </row>
    <row r="687">
      <c r="A687" s="40"/>
      <c r="B687" s="42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1"/>
      <c r="AM687" s="41"/>
      <c r="AN687" s="41"/>
      <c r="AO687" s="40"/>
      <c r="AP687" s="40"/>
      <c r="AQ687" s="40"/>
    </row>
    <row r="688">
      <c r="A688" s="40"/>
      <c r="B688" s="42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1"/>
      <c r="AM688" s="41"/>
      <c r="AN688" s="41"/>
      <c r="AO688" s="40"/>
      <c r="AP688" s="40"/>
      <c r="AQ688" s="40"/>
    </row>
    <row r="689">
      <c r="A689" s="40"/>
      <c r="B689" s="42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1"/>
      <c r="AM689" s="41"/>
      <c r="AN689" s="41"/>
      <c r="AO689" s="40"/>
      <c r="AP689" s="40"/>
      <c r="AQ689" s="40"/>
    </row>
    <row r="690">
      <c r="A690" s="40"/>
      <c r="B690" s="42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1"/>
      <c r="AM690" s="41"/>
      <c r="AN690" s="41"/>
      <c r="AO690" s="40"/>
      <c r="AP690" s="40"/>
      <c r="AQ690" s="40"/>
    </row>
    <row r="691">
      <c r="A691" s="40"/>
      <c r="B691" s="42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1"/>
      <c r="AM691" s="41"/>
      <c r="AN691" s="41"/>
      <c r="AO691" s="40"/>
      <c r="AP691" s="40"/>
      <c r="AQ691" s="40"/>
    </row>
    <row r="692">
      <c r="A692" s="40"/>
      <c r="B692" s="42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1"/>
      <c r="AM692" s="41"/>
      <c r="AN692" s="41"/>
      <c r="AO692" s="40"/>
      <c r="AP692" s="40"/>
      <c r="AQ692" s="40"/>
    </row>
    <row r="693">
      <c r="A693" s="40"/>
      <c r="B693" s="42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1"/>
      <c r="AM693" s="41"/>
      <c r="AN693" s="41"/>
      <c r="AO693" s="40"/>
      <c r="AP693" s="40"/>
      <c r="AQ693" s="40"/>
    </row>
    <row r="694">
      <c r="A694" s="40"/>
      <c r="B694" s="42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1"/>
      <c r="AM694" s="41"/>
      <c r="AN694" s="41"/>
      <c r="AO694" s="40"/>
      <c r="AP694" s="40"/>
      <c r="AQ694" s="40"/>
    </row>
    <row r="695">
      <c r="A695" s="40"/>
      <c r="B695" s="42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1"/>
      <c r="AM695" s="41"/>
      <c r="AN695" s="41"/>
      <c r="AO695" s="40"/>
      <c r="AP695" s="40"/>
      <c r="AQ695" s="40"/>
    </row>
    <row r="696">
      <c r="A696" s="40"/>
      <c r="B696" s="42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1"/>
      <c r="AM696" s="41"/>
      <c r="AN696" s="41"/>
      <c r="AO696" s="40"/>
      <c r="AP696" s="40"/>
      <c r="AQ696" s="40"/>
    </row>
    <row r="697">
      <c r="A697" s="40"/>
      <c r="B697" s="42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1"/>
      <c r="AM697" s="41"/>
      <c r="AN697" s="41"/>
      <c r="AO697" s="40"/>
      <c r="AP697" s="40"/>
      <c r="AQ697" s="40"/>
    </row>
    <row r="698">
      <c r="A698" s="40"/>
      <c r="B698" s="42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1"/>
      <c r="AM698" s="41"/>
      <c r="AN698" s="41"/>
      <c r="AO698" s="40"/>
      <c r="AP698" s="40"/>
      <c r="AQ698" s="40"/>
    </row>
    <row r="699">
      <c r="A699" s="40"/>
      <c r="B699" s="42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1"/>
      <c r="AM699" s="41"/>
      <c r="AN699" s="41"/>
      <c r="AO699" s="40"/>
      <c r="AP699" s="40"/>
      <c r="AQ699" s="40"/>
    </row>
    <row r="700">
      <c r="A700" s="40"/>
      <c r="B700" s="42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1"/>
      <c r="AM700" s="41"/>
      <c r="AN700" s="41"/>
      <c r="AO700" s="40"/>
      <c r="AP700" s="40"/>
      <c r="AQ700" s="40"/>
    </row>
    <row r="701">
      <c r="A701" s="40"/>
      <c r="B701" s="42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1"/>
      <c r="AM701" s="41"/>
      <c r="AN701" s="41"/>
      <c r="AO701" s="40"/>
      <c r="AP701" s="40"/>
      <c r="AQ701" s="40"/>
    </row>
    <row r="702">
      <c r="A702" s="40"/>
      <c r="B702" s="42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1"/>
      <c r="AM702" s="41"/>
      <c r="AN702" s="41"/>
      <c r="AO702" s="40"/>
      <c r="AP702" s="40"/>
      <c r="AQ702" s="40"/>
    </row>
    <row r="703">
      <c r="A703" s="40"/>
      <c r="B703" s="42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1"/>
      <c r="AM703" s="41"/>
      <c r="AN703" s="41"/>
      <c r="AO703" s="40"/>
      <c r="AP703" s="40"/>
      <c r="AQ703" s="40"/>
    </row>
    <row r="704">
      <c r="A704" s="40"/>
      <c r="B704" s="42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1"/>
      <c r="AM704" s="41"/>
      <c r="AN704" s="41"/>
      <c r="AO704" s="40"/>
      <c r="AP704" s="40"/>
      <c r="AQ704" s="40"/>
    </row>
    <row r="705">
      <c r="A705" s="40"/>
      <c r="B705" s="42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1"/>
      <c r="AM705" s="41"/>
      <c r="AN705" s="41"/>
      <c r="AO705" s="40"/>
      <c r="AP705" s="40"/>
      <c r="AQ705" s="40"/>
    </row>
    <row r="706">
      <c r="A706" s="40"/>
      <c r="B706" s="42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1"/>
      <c r="AM706" s="41"/>
      <c r="AN706" s="41"/>
      <c r="AO706" s="40"/>
      <c r="AP706" s="40"/>
      <c r="AQ706" s="40"/>
    </row>
    <row r="707">
      <c r="A707" s="40"/>
      <c r="B707" s="42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1"/>
      <c r="AM707" s="41"/>
      <c r="AN707" s="41"/>
      <c r="AO707" s="40"/>
      <c r="AP707" s="40"/>
      <c r="AQ707" s="40"/>
    </row>
    <row r="708">
      <c r="A708" s="40"/>
      <c r="B708" s="42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1"/>
      <c r="AM708" s="41"/>
      <c r="AN708" s="41"/>
      <c r="AO708" s="40"/>
      <c r="AP708" s="40"/>
      <c r="AQ708" s="40"/>
    </row>
    <row r="709">
      <c r="A709" s="40"/>
      <c r="B709" s="42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1"/>
      <c r="AM709" s="41"/>
      <c r="AN709" s="41"/>
      <c r="AO709" s="40"/>
      <c r="AP709" s="40"/>
      <c r="AQ709" s="40"/>
    </row>
    <row r="710">
      <c r="A710" s="40"/>
      <c r="B710" s="42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1"/>
      <c r="AM710" s="41"/>
      <c r="AN710" s="41"/>
      <c r="AO710" s="40"/>
      <c r="AP710" s="40"/>
      <c r="AQ710" s="40"/>
    </row>
    <row r="711">
      <c r="A711" s="40"/>
      <c r="B711" s="42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1"/>
      <c r="AM711" s="41"/>
      <c r="AN711" s="41"/>
      <c r="AO711" s="40"/>
      <c r="AP711" s="40"/>
      <c r="AQ711" s="40"/>
    </row>
    <row r="712">
      <c r="A712" s="40"/>
      <c r="B712" s="42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1"/>
      <c r="AM712" s="41"/>
      <c r="AN712" s="41"/>
      <c r="AO712" s="40"/>
      <c r="AP712" s="40"/>
      <c r="AQ712" s="40"/>
    </row>
    <row r="713">
      <c r="A713" s="40"/>
      <c r="B713" s="42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1"/>
      <c r="AM713" s="41"/>
      <c r="AN713" s="41"/>
      <c r="AO713" s="40"/>
      <c r="AP713" s="40"/>
      <c r="AQ713" s="40"/>
    </row>
    <row r="714">
      <c r="A714" s="40"/>
      <c r="B714" s="42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1"/>
      <c r="AM714" s="41"/>
      <c r="AN714" s="41"/>
      <c r="AO714" s="40"/>
      <c r="AP714" s="40"/>
      <c r="AQ714" s="40"/>
    </row>
    <row r="715">
      <c r="A715" s="40"/>
      <c r="B715" s="42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1"/>
      <c r="AM715" s="41"/>
      <c r="AN715" s="41"/>
      <c r="AO715" s="40"/>
      <c r="AP715" s="40"/>
      <c r="AQ715" s="40"/>
    </row>
    <row r="716">
      <c r="A716" s="40"/>
      <c r="B716" s="42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1"/>
      <c r="AM716" s="41"/>
      <c r="AN716" s="41"/>
      <c r="AO716" s="40"/>
      <c r="AP716" s="40"/>
      <c r="AQ716" s="40"/>
    </row>
    <row r="717">
      <c r="A717" s="40"/>
      <c r="B717" s="42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1"/>
      <c r="AM717" s="41"/>
      <c r="AN717" s="41"/>
      <c r="AO717" s="40"/>
      <c r="AP717" s="40"/>
      <c r="AQ717" s="40"/>
    </row>
    <row r="718">
      <c r="A718" s="40"/>
      <c r="B718" s="42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1"/>
      <c r="AM718" s="41"/>
      <c r="AN718" s="41"/>
      <c r="AO718" s="40"/>
      <c r="AP718" s="40"/>
      <c r="AQ718" s="40"/>
    </row>
    <row r="719">
      <c r="A719" s="40"/>
      <c r="B719" s="42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1"/>
      <c r="AM719" s="41"/>
      <c r="AN719" s="41"/>
      <c r="AO719" s="40"/>
      <c r="AP719" s="40"/>
      <c r="AQ719" s="40"/>
    </row>
    <row r="720">
      <c r="A720" s="40"/>
      <c r="B720" s="42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1"/>
      <c r="AM720" s="41"/>
      <c r="AN720" s="41"/>
      <c r="AO720" s="40"/>
      <c r="AP720" s="40"/>
      <c r="AQ720" s="40"/>
    </row>
    <row r="721">
      <c r="A721" s="40"/>
      <c r="B721" s="42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1"/>
      <c r="AM721" s="41"/>
      <c r="AN721" s="41"/>
      <c r="AO721" s="40"/>
      <c r="AP721" s="40"/>
      <c r="AQ721" s="40"/>
    </row>
    <row r="722">
      <c r="A722" s="40"/>
      <c r="B722" s="42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1"/>
      <c r="AM722" s="41"/>
      <c r="AN722" s="41"/>
      <c r="AO722" s="40"/>
      <c r="AP722" s="40"/>
      <c r="AQ722" s="40"/>
    </row>
    <row r="723">
      <c r="A723" s="40"/>
      <c r="B723" s="42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1"/>
      <c r="AM723" s="41"/>
      <c r="AN723" s="41"/>
      <c r="AO723" s="40"/>
      <c r="AP723" s="40"/>
      <c r="AQ723" s="40"/>
    </row>
    <row r="724">
      <c r="A724" s="40"/>
      <c r="B724" s="42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1"/>
      <c r="AM724" s="41"/>
      <c r="AN724" s="41"/>
      <c r="AO724" s="40"/>
      <c r="AP724" s="40"/>
      <c r="AQ724" s="40"/>
    </row>
    <row r="725">
      <c r="A725" s="40"/>
      <c r="B725" s="42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1"/>
      <c r="AM725" s="41"/>
      <c r="AN725" s="41"/>
      <c r="AO725" s="40"/>
      <c r="AP725" s="40"/>
      <c r="AQ725" s="40"/>
    </row>
    <row r="726">
      <c r="A726" s="40"/>
      <c r="B726" s="42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1"/>
      <c r="AM726" s="41"/>
      <c r="AN726" s="41"/>
      <c r="AO726" s="40"/>
      <c r="AP726" s="40"/>
      <c r="AQ726" s="40"/>
    </row>
    <row r="727">
      <c r="A727" s="40"/>
      <c r="B727" s="42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1"/>
      <c r="AM727" s="41"/>
      <c r="AN727" s="41"/>
      <c r="AO727" s="40"/>
      <c r="AP727" s="40"/>
      <c r="AQ727" s="40"/>
    </row>
    <row r="728">
      <c r="A728" s="40"/>
      <c r="B728" s="42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1"/>
      <c r="AM728" s="41"/>
      <c r="AN728" s="41"/>
      <c r="AO728" s="40"/>
      <c r="AP728" s="40"/>
      <c r="AQ728" s="40"/>
    </row>
    <row r="729">
      <c r="A729" s="40"/>
      <c r="B729" s="42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1"/>
      <c r="AM729" s="41"/>
      <c r="AN729" s="41"/>
      <c r="AO729" s="40"/>
      <c r="AP729" s="40"/>
      <c r="AQ729" s="40"/>
    </row>
    <row r="730">
      <c r="A730" s="40"/>
      <c r="B730" s="42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1"/>
      <c r="AM730" s="41"/>
      <c r="AN730" s="41"/>
      <c r="AO730" s="40"/>
      <c r="AP730" s="40"/>
      <c r="AQ730" s="40"/>
    </row>
    <row r="731">
      <c r="A731" s="40"/>
      <c r="B731" s="42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1"/>
      <c r="AM731" s="41"/>
      <c r="AN731" s="41"/>
      <c r="AO731" s="40"/>
      <c r="AP731" s="40"/>
      <c r="AQ731" s="40"/>
    </row>
    <row r="732">
      <c r="A732" s="40"/>
      <c r="B732" s="42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1"/>
      <c r="AM732" s="41"/>
      <c r="AN732" s="41"/>
      <c r="AO732" s="40"/>
      <c r="AP732" s="40"/>
      <c r="AQ732" s="40"/>
    </row>
    <row r="733">
      <c r="A733" s="40"/>
      <c r="B733" s="42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1"/>
      <c r="AM733" s="41"/>
      <c r="AN733" s="41"/>
      <c r="AO733" s="40"/>
      <c r="AP733" s="40"/>
      <c r="AQ733" s="40"/>
    </row>
    <row r="734">
      <c r="A734" s="40"/>
      <c r="B734" s="42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1"/>
      <c r="AM734" s="41"/>
      <c r="AN734" s="41"/>
      <c r="AO734" s="40"/>
      <c r="AP734" s="40"/>
      <c r="AQ734" s="40"/>
    </row>
    <row r="735">
      <c r="A735" s="40"/>
      <c r="B735" s="42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1"/>
      <c r="AM735" s="41"/>
      <c r="AN735" s="41"/>
      <c r="AO735" s="40"/>
      <c r="AP735" s="40"/>
      <c r="AQ735" s="40"/>
    </row>
    <row r="736">
      <c r="A736" s="40"/>
      <c r="B736" s="42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1"/>
      <c r="AM736" s="41"/>
      <c r="AN736" s="41"/>
      <c r="AO736" s="40"/>
      <c r="AP736" s="40"/>
      <c r="AQ736" s="40"/>
    </row>
    <row r="737">
      <c r="A737" s="40"/>
      <c r="B737" s="42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1"/>
      <c r="AM737" s="41"/>
      <c r="AN737" s="41"/>
      <c r="AO737" s="40"/>
      <c r="AP737" s="40"/>
      <c r="AQ737" s="40"/>
    </row>
    <row r="738">
      <c r="A738" s="40"/>
      <c r="B738" s="42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1"/>
      <c r="AM738" s="41"/>
      <c r="AN738" s="41"/>
      <c r="AO738" s="40"/>
      <c r="AP738" s="40"/>
      <c r="AQ738" s="40"/>
    </row>
    <row r="739">
      <c r="A739" s="40"/>
      <c r="B739" s="42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1"/>
      <c r="AM739" s="41"/>
      <c r="AN739" s="41"/>
      <c r="AO739" s="40"/>
      <c r="AP739" s="40"/>
      <c r="AQ739" s="40"/>
    </row>
    <row r="740">
      <c r="A740" s="40"/>
      <c r="B740" s="42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1"/>
      <c r="AM740" s="41"/>
      <c r="AN740" s="41"/>
      <c r="AO740" s="40"/>
      <c r="AP740" s="40"/>
      <c r="AQ740" s="40"/>
    </row>
    <row r="741">
      <c r="A741" s="40"/>
      <c r="B741" s="42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1"/>
      <c r="AM741" s="41"/>
      <c r="AN741" s="41"/>
      <c r="AO741" s="40"/>
      <c r="AP741" s="40"/>
      <c r="AQ741" s="40"/>
    </row>
    <row r="742">
      <c r="A742" s="40"/>
      <c r="B742" s="42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1"/>
      <c r="AM742" s="41"/>
      <c r="AN742" s="41"/>
      <c r="AO742" s="40"/>
      <c r="AP742" s="40"/>
      <c r="AQ742" s="40"/>
    </row>
    <row r="743">
      <c r="A743" s="40"/>
      <c r="B743" s="42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1"/>
      <c r="AM743" s="41"/>
      <c r="AN743" s="41"/>
      <c r="AO743" s="40"/>
      <c r="AP743" s="40"/>
      <c r="AQ743" s="40"/>
    </row>
    <row r="744">
      <c r="A744" s="40"/>
      <c r="B744" s="42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1"/>
      <c r="AM744" s="41"/>
      <c r="AN744" s="41"/>
      <c r="AO744" s="40"/>
      <c r="AP744" s="40"/>
      <c r="AQ744" s="40"/>
    </row>
    <row r="745">
      <c r="A745" s="40"/>
      <c r="B745" s="42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1"/>
      <c r="AM745" s="41"/>
      <c r="AN745" s="41"/>
      <c r="AO745" s="40"/>
      <c r="AP745" s="40"/>
      <c r="AQ745" s="40"/>
    </row>
    <row r="746">
      <c r="A746" s="40"/>
      <c r="B746" s="42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1"/>
      <c r="AM746" s="41"/>
      <c r="AN746" s="41"/>
      <c r="AO746" s="40"/>
      <c r="AP746" s="40"/>
      <c r="AQ746" s="40"/>
    </row>
    <row r="747">
      <c r="A747" s="40"/>
      <c r="B747" s="42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1"/>
      <c r="AM747" s="41"/>
      <c r="AN747" s="41"/>
      <c r="AO747" s="40"/>
      <c r="AP747" s="40"/>
      <c r="AQ747" s="40"/>
    </row>
    <row r="748">
      <c r="A748" s="40"/>
      <c r="B748" s="42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1"/>
      <c r="AM748" s="41"/>
      <c r="AN748" s="41"/>
      <c r="AO748" s="40"/>
      <c r="AP748" s="40"/>
      <c r="AQ748" s="40"/>
    </row>
    <row r="749">
      <c r="A749" s="40"/>
      <c r="B749" s="42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1"/>
      <c r="AM749" s="41"/>
      <c r="AN749" s="41"/>
      <c r="AO749" s="40"/>
      <c r="AP749" s="40"/>
      <c r="AQ749" s="40"/>
    </row>
    <row r="750">
      <c r="A750" s="40"/>
      <c r="B750" s="42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1"/>
      <c r="AM750" s="41"/>
      <c r="AN750" s="41"/>
      <c r="AO750" s="40"/>
      <c r="AP750" s="40"/>
      <c r="AQ750" s="40"/>
    </row>
    <row r="751">
      <c r="A751" s="40"/>
      <c r="B751" s="42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1"/>
      <c r="AM751" s="41"/>
      <c r="AN751" s="41"/>
      <c r="AO751" s="40"/>
      <c r="AP751" s="40"/>
      <c r="AQ751" s="40"/>
    </row>
    <row r="752">
      <c r="A752" s="40"/>
      <c r="B752" s="42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1"/>
      <c r="AM752" s="41"/>
      <c r="AN752" s="41"/>
      <c r="AO752" s="40"/>
      <c r="AP752" s="40"/>
      <c r="AQ752" s="40"/>
    </row>
    <row r="753">
      <c r="A753" s="40"/>
      <c r="B753" s="42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1"/>
      <c r="AM753" s="41"/>
      <c r="AN753" s="41"/>
      <c r="AO753" s="40"/>
      <c r="AP753" s="40"/>
      <c r="AQ753" s="40"/>
    </row>
    <row r="754">
      <c r="A754" s="40"/>
      <c r="B754" s="42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1"/>
      <c r="AM754" s="41"/>
      <c r="AN754" s="41"/>
      <c r="AO754" s="40"/>
      <c r="AP754" s="40"/>
      <c r="AQ754" s="40"/>
    </row>
    <row r="755">
      <c r="A755" s="40"/>
      <c r="B755" s="42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1"/>
      <c r="AM755" s="41"/>
      <c r="AN755" s="41"/>
      <c r="AO755" s="40"/>
      <c r="AP755" s="40"/>
      <c r="AQ755" s="40"/>
    </row>
    <row r="756">
      <c r="A756" s="40"/>
      <c r="B756" s="42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1"/>
      <c r="AM756" s="41"/>
      <c r="AN756" s="41"/>
      <c r="AO756" s="40"/>
      <c r="AP756" s="40"/>
      <c r="AQ756" s="40"/>
    </row>
    <row r="757">
      <c r="A757" s="40"/>
      <c r="B757" s="42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1"/>
      <c r="AM757" s="41"/>
      <c r="AN757" s="41"/>
      <c r="AO757" s="40"/>
      <c r="AP757" s="40"/>
      <c r="AQ757" s="40"/>
    </row>
    <row r="758">
      <c r="A758" s="40"/>
      <c r="B758" s="42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1"/>
      <c r="AM758" s="41"/>
      <c r="AN758" s="41"/>
      <c r="AO758" s="40"/>
      <c r="AP758" s="40"/>
      <c r="AQ758" s="40"/>
    </row>
    <row r="759">
      <c r="A759" s="40"/>
      <c r="B759" s="42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1"/>
      <c r="AM759" s="41"/>
      <c r="AN759" s="41"/>
      <c r="AO759" s="40"/>
      <c r="AP759" s="40"/>
      <c r="AQ759" s="40"/>
    </row>
    <row r="760">
      <c r="A760" s="40"/>
      <c r="B760" s="42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1"/>
      <c r="AM760" s="41"/>
      <c r="AN760" s="41"/>
      <c r="AO760" s="40"/>
      <c r="AP760" s="40"/>
      <c r="AQ760" s="40"/>
    </row>
    <row r="761">
      <c r="A761" s="40"/>
      <c r="B761" s="42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1"/>
      <c r="AM761" s="41"/>
      <c r="AN761" s="41"/>
      <c r="AO761" s="40"/>
      <c r="AP761" s="40"/>
      <c r="AQ761" s="40"/>
    </row>
    <row r="762">
      <c r="A762" s="40"/>
      <c r="B762" s="42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1"/>
      <c r="AM762" s="41"/>
      <c r="AN762" s="41"/>
      <c r="AO762" s="40"/>
      <c r="AP762" s="40"/>
      <c r="AQ762" s="40"/>
    </row>
    <row r="763">
      <c r="A763" s="40"/>
      <c r="B763" s="42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1"/>
      <c r="AM763" s="41"/>
      <c r="AN763" s="41"/>
      <c r="AO763" s="40"/>
      <c r="AP763" s="40"/>
      <c r="AQ763" s="40"/>
    </row>
    <row r="764">
      <c r="A764" s="40"/>
      <c r="B764" s="42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1"/>
      <c r="AM764" s="41"/>
      <c r="AN764" s="41"/>
      <c r="AO764" s="40"/>
      <c r="AP764" s="40"/>
      <c r="AQ764" s="40"/>
    </row>
    <row r="765">
      <c r="A765" s="40"/>
      <c r="B765" s="42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1"/>
      <c r="AM765" s="41"/>
      <c r="AN765" s="41"/>
      <c r="AO765" s="40"/>
      <c r="AP765" s="40"/>
      <c r="AQ765" s="40"/>
    </row>
    <row r="766">
      <c r="A766" s="40"/>
      <c r="B766" s="42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1"/>
      <c r="AM766" s="41"/>
      <c r="AN766" s="41"/>
      <c r="AO766" s="40"/>
      <c r="AP766" s="40"/>
      <c r="AQ766" s="40"/>
    </row>
    <row r="767">
      <c r="A767" s="40"/>
      <c r="B767" s="42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1"/>
      <c r="AM767" s="41"/>
      <c r="AN767" s="41"/>
      <c r="AO767" s="40"/>
      <c r="AP767" s="40"/>
      <c r="AQ767" s="40"/>
    </row>
    <row r="768">
      <c r="A768" s="40"/>
      <c r="B768" s="42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1"/>
      <c r="AM768" s="41"/>
      <c r="AN768" s="41"/>
      <c r="AO768" s="40"/>
      <c r="AP768" s="40"/>
      <c r="AQ768" s="40"/>
    </row>
    <row r="769">
      <c r="A769" s="40"/>
      <c r="B769" s="42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1"/>
      <c r="AM769" s="41"/>
      <c r="AN769" s="41"/>
      <c r="AO769" s="40"/>
      <c r="AP769" s="40"/>
      <c r="AQ769" s="40"/>
    </row>
    <row r="770">
      <c r="A770" s="40"/>
      <c r="B770" s="42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1"/>
      <c r="AM770" s="41"/>
      <c r="AN770" s="41"/>
      <c r="AO770" s="40"/>
      <c r="AP770" s="40"/>
      <c r="AQ770" s="40"/>
    </row>
    <row r="771">
      <c r="A771" s="40"/>
      <c r="B771" s="42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1"/>
      <c r="AM771" s="41"/>
      <c r="AN771" s="41"/>
      <c r="AO771" s="40"/>
      <c r="AP771" s="40"/>
      <c r="AQ771" s="40"/>
    </row>
    <row r="772">
      <c r="A772" s="40"/>
      <c r="B772" s="42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1"/>
      <c r="AM772" s="41"/>
      <c r="AN772" s="41"/>
      <c r="AO772" s="40"/>
      <c r="AP772" s="40"/>
      <c r="AQ772" s="40"/>
    </row>
    <row r="773">
      <c r="A773" s="40"/>
      <c r="B773" s="42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1"/>
      <c r="AM773" s="41"/>
      <c r="AN773" s="41"/>
      <c r="AO773" s="40"/>
      <c r="AP773" s="40"/>
      <c r="AQ773" s="40"/>
    </row>
    <row r="774">
      <c r="A774" s="40"/>
      <c r="B774" s="42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1"/>
      <c r="AM774" s="41"/>
      <c r="AN774" s="41"/>
      <c r="AO774" s="40"/>
      <c r="AP774" s="40"/>
      <c r="AQ774" s="40"/>
    </row>
    <row r="775">
      <c r="A775" s="40"/>
      <c r="B775" s="42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1"/>
      <c r="AM775" s="41"/>
      <c r="AN775" s="41"/>
      <c r="AO775" s="40"/>
      <c r="AP775" s="40"/>
      <c r="AQ775" s="40"/>
    </row>
    <row r="776">
      <c r="A776" s="40"/>
      <c r="B776" s="42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1"/>
      <c r="AM776" s="41"/>
      <c r="AN776" s="41"/>
      <c r="AO776" s="40"/>
      <c r="AP776" s="40"/>
      <c r="AQ776" s="40"/>
    </row>
    <row r="777">
      <c r="A777" s="40"/>
      <c r="B777" s="42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1"/>
      <c r="AM777" s="41"/>
      <c r="AN777" s="41"/>
      <c r="AO777" s="40"/>
      <c r="AP777" s="40"/>
      <c r="AQ777" s="40"/>
    </row>
    <row r="778">
      <c r="A778" s="40"/>
      <c r="B778" s="42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1"/>
      <c r="AM778" s="41"/>
      <c r="AN778" s="41"/>
      <c r="AO778" s="40"/>
      <c r="AP778" s="40"/>
      <c r="AQ778" s="40"/>
    </row>
    <row r="779">
      <c r="A779" s="40"/>
      <c r="B779" s="42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1"/>
      <c r="AM779" s="41"/>
      <c r="AN779" s="41"/>
      <c r="AO779" s="40"/>
      <c r="AP779" s="40"/>
      <c r="AQ779" s="40"/>
    </row>
    <row r="780">
      <c r="A780" s="40"/>
      <c r="B780" s="42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1"/>
      <c r="AM780" s="41"/>
      <c r="AN780" s="41"/>
      <c r="AO780" s="40"/>
      <c r="AP780" s="40"/>
      <c r="AQ780" s="40"/>
    </row>
    <row r="781">
      <c r="A781" s="40"/>
      <c r="B781" s="42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1"/>
      <c r="AM781" s="41"/>
      <c r="AN781" s="41"/>
      <c r="AO781" s="40"/>
      <c r="AP781" s="40"/>
      <c r="AQ781" s="40"/>
    </row>
    <row r="782">
      <c r="A782" s="40"/>
      <c r="B782" s="42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1"/>
      <c r="AM782" s="41"/>
      <c r="AN782" s="41"/>
      <c r="AO782" s="40"/>
      <c r="AP782" s="40"/>
      <c r="AQ782" s="40"/>
    </row>
    <row r="783">
      <c r="A783" s="40"/>
      <c r="B783" s="42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1"/>
      <c r="AM783" s="41"/>
      <c r="AN783" s="41"/>
      <c r="AO783" s="40"/>
      <c r="AP783" s="40"/>
      <c r="AQ783" s="40"/>
    </row>
    <row r="784">
      <c r="A784" s="40"/>
      <c r="B784" s="42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1"/>
      <c r="AM784" s="41"/>
      <c r="AN784" s="41"/>
      <c r="AO784" s="40"/>
      <c r="AP784" s="40"/>
      <c r="AQ784" s="40"/>
    </row>
    <row r="785">
      <c r="A785" s="40"/>
      <c r="B785" s="42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1"/>
      <c r="AM785" s="41"/>
      <c r="AN785" s="41"/>
      <c r="AO785" s="40"/>
      <c r="AP785" s="40"/>
      <c r="AQ785" s="40"/>
    </row>
    <row r="786">
      <c r="A786" s="40"/>
      <c r="B786" s="42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1"/>
      <c r="AM786" s="41"/>
      <c r="AN786" s="41"/>
      <c r="AO786" s="40"/>
      <c r="AP786" s="40"/>
      <c r="AQ786" s="40"/>
    </row>
    <row r="787">
      <c r="A787" s="40"/>
      <c r="B787" s="42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1"/>
      <c r="AM787" s="41"/>
      <c r="AN787" s="41"/>
      <c r="AO787" s="40"/>
      <c r="AP787" s="40"/>
      <c r="AQ787" s="40"/>
    </row>
    <row r="788">
      <c r="A788" s="40"/>
      <c r="B788" s="42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1"/>
      <c r="AM788" s="41"/>
      <c r="AN788" s="41"/>
      <c r="AO788" s="40"/>
      <c r="AP788" s="40"/>
      <c r="AQ788" s="40"/>
    </row>
    <row r="789">
      <c r="A789" s="40"/>
      <c r="B789" s="42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1"/>
      <c r="AM789" s="41"/>
      <c r="AN789" s="41"/>
      <c r="AO789" s="40"/>
      <c r="AP789" s="40"/>
      <c r="AQ789" s="40"/>
    </row>
    <row r="790">
      <c r="A790" s="40"/>
      <c r="B790" s="42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1"/>
      <c r="AM790" s="41"/>
      <c r="AN790" s="41"/>
      <c r="AO790" s="40"/>
      <c r="AP790" s="40"/>
      <c r="AQ790" s="40"/>
    </row>
    <row r="791">
      <c r="A791" s="40"/>
      <c r="B791" s="42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1"/>
      <c r="AM791" s="41"/>
      <c r="AN791" s="41"/>
      <c r="AO791" s="40"/>
      <c r="AP791" s="40"/>
      <c r="AQ791" s="40"/>
    </row>
    <row r="792">
      <c r="A792" s="40"/>
      <c r="B792" s="42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1"/>
      <c r="AM792" s="41"/>
      <c r="AN792" s="41"/>
      <c r="AO792" s="40"/>
      <c r="AP792" s="40"/>
      <c r="AQ792" s="40"/>
    </row>
    <row r="793">
      <c r="A793" s="40"/>
      <c r="B793" s="42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1"/>
      <c r="AM793" s="41"/>
      <c r="AN793" s="41"/>
      <c r="AO793" s="40"/>
      <c r="AP793" s="40"/>
      <c r="AQ793" s="40"/>
    </row>
    <row r="794">
      <c r="A794" s="40"/>
      <c r="B794" s="42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1"/>
      <c r="AM794" s="41"/>
      <c r="AN794" s="41"/>
      <c r="AO794" s="40"/>
      <c r="AP794" s="40"/>
      <c r="AQ794" s="40"/>
    </row>
    <row r="795">
      <c r="A795" s="40"/>
      <c r="B795" s="42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1"/>
      <c r="AM795" s="41"/>
      <c r="AN795" s="41"/>
      <c r="AO795" s="40"/>
      <c r="AP795" s="40"/>
      <c r="AQ795" s="40"/>
    </row>
    <row r="796">
      <c r="A796" s="40"/>
      <c r="B796" s="42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1"/>
      <c r="AM796" s="41"/>
      <c r="AN796" s="41"/>
      <c r="AO796" s="40"/>
      <c r="AP796" s="40"/>
      <c r="AQ796" s="40"/>
    </row>
    <row r="797">
      <c r="A797" s="40"/>
      <c r="B797" s="42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1"/>
      <c r="AM797" s="41"/>
      <c r="AN797" s="41"/>
      <c r="AO797" s="40"/>
      <c r="AP797" s="40"/>
      <c r="AQ797" s="40"/>
    </row>
    <row r="798">
      <c r="A798" s="40"/>
      <c r="B798" s="42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1"/>
      <c r="AM798" s="41"/>
      <c r="AN798" s="41"/>
      <c r="AO798" s="40"/>
      <c r="AP798" s="40"/>
      <c r="AQ798" s="40"/>
    </row>
    <row r="799">
      <c r="A799" s="40"/>
      <c r="B799" s="42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1"/>
      <c r="AM799" s="41"/>
      <c r="AN799" s="41"/>
      <c r="AO799" s="40"/>
      <c r="AP799" s="40"/>
      <c r="AQ799" s="40"/>
    </row>
    <row r="800">
      <c r="A800" s="40"/>
      <c r="B800" s="42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1"/>
      <c r="AM800" s="41"/>
      <c r="AN800" s="41"/>
      <c r="AO800" s="40"/>
      <c r="AP800" s="40"/>
      <c r="AQ800" s="40"/>
    </row>
    <row r="801">
      <c r="A801" s="40"/>
      <c r="B801" s="42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1"/>
      <c r="AM801" s="41"/>
      <c r="AN801" s="41"/>
      <c r="AO801" s="40"/>
      <c r="AP801" s="40"/>
      <c r="AQ801" s="40"/>
    </row>
    <row r="802">
      <c r="A802" s="40"/>
      <c r="B802" s="42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1"/>
      <c r="AM802" s="41"/>
      <c r="AN802" s="41"/>
      <c r="AO802" s="40"/>
      <c r="AP802" s="40"/>
      <c r="AQ802" s="40"/>
    </row>
    <row r="803">
      <c r="A803" s="40"/>
      <c r="B803" s="42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1"/>
      <c r="AM803" s="41"/>
      <c r="AN803" s="41"/>
      <c r="AO803" s="40"/>
      <c r="AP803" s="40"/>
      <c r="AQ803" s="40"/>
    </row>
    <row r="804">
      <c r="A804" s="40"/>
      <c r="B804" s="42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1"/>
      <c r="AM804" s="41"/>
      <c r="AN804" s="41"/>
      <c r="AO804" s="40"/>
      <c r="AP804" s="40"/>
      <c r="AQ804" s="40"/>
    </row>
    <row r="805">
      <c r="A805" s="40"/>
      <c r="B805" s="42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1"/>
      <c r="AM805" s="41"/>
      <c r="AN805" s="41"/>
      <c r="AO805" s="40"/>
      <c r="AP805" s="40"/>
      <c r="AQ805" s="40"/>
    </row>
    <row r="806">
      <c r="A806" s="40"/>
      <c r="B806" s="42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1"/>
      <c r="AM806" s="41"/>
      <c r="AN806" s="41"/>
      <c r="AO806" s="40"/>
      <c r="AP806" s="40"/>
      <c r="AQ806" s="40"/>
    </row>
    <row r="807">
      <c r="A807" s="40"/>
      <c r="B807" s="42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1"/>
      <c r="AM807" s="41"/>
      <c r="AN807" s="41"/>
      <c r="AO807" s="40"/>
      <c r="AP807" s="40"/>
      <c r="AQ807" s="40"/>
    </row>
    <row r="808">
      <c r="A808" s="40"/>
      <c r="B808" s="42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1"/>
      <c r="AM808" s="41"/>
      <c r="AN808" s="41"/>
      <c r="AO808" s="40"/>
      <c r="AP808" s="40"/>
      <c r="AQ808" s="40"/>
    </row>
    <row r="809">
      <c r="A809" s="40"/>
      <c r="B809" s="42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1"/>
      <c r="AM809" s="41"/>
      <c r="AN809" s="41"/>
      <c r="AO809" s="40"/>
      <c r="AP809" s="40"/>
      <c r="AQ809" s="40"/>
    </row>
    <row r="810">
      <c r="A810" s="40"/>
      <c r="B810" s="42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1"/>
      <c r="AM810" s="41"/>
      <c r="AN810" s="41"/>
      <c r="AO810" s="40"/>
      <c r="AP810" s="40"/>
      <c r="AQ810" s="40"/>
    </row>
    <row r="811">
      <c r="A811" s="40"/>
      <c r="B811" s="42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1"/>
      <c r="AM811" s="41"/>
      <c r="AN811" s="41"/>
      <c r="AO811" s="40"/>
      <c r="AP811" s="40"/>
      <c r="AQ811" s="40"/>
    </row>
    <row r="812">
      <c r="A812" s="40"/>
      <c r="B812" s="42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1"/>
      <c r="AM812" s="41"/>
      <c r="AN812" s="41"/>
      <c r="AO812" s="40"/>
      <c r="AP812" s="40"/>
      <c r="AQ812" s="40"/>
    </row>
    <row r="813">
      <c r="A813" s="40"/>
      <c r="B813" s="42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1"/>
      <c r="AM813" s="41"/>
      <c r="AN813" s="41"/>
      <c r="AO813" s="40"/>
      <c r="AP813" s="40"/>
      <c r="AQ813" s="40"/>
    </row>
    <row r="814">
      <c r="A814" s="40"/>
      <c r="B814" s="42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1"/>
      <c r="AM814" s="41"/>
      <c r="AN814" s="41"/>
      <c r="AO814" s="40"/>
      <c r="AP814" s="40"/>
      <c r="AQ814" s="40"/>
    </row>
    <row r="815">
      <c r="A815" s="40"/>
      <c r="B815" s="42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1"/>
      <c r="AM815" s="41"/>
      <c r="AN815" s="41"/>
      <c r="AO815" s="40"/>
      <c r="AP815" s="40"/>
      <c r="AQ815" s="40"/>
    </row>
    <row r="816">
      <c r="A816" s="40"/>
      <c r="B816" s="42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1"/>
      <c r="AM816" s="41"/>
      <c r="AN816" s="41"/>
      <c r="AO816" s="40"/>
      <c r="AP816" s="40"/>
      <c r="AQ816" s="40"/>
    </row>
    <row r="817">
      <c r="A817" s="40"/>
      <c r="B817" s="42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1"/>
      <c r="AM817" s="41"/>
      <c r="AN817" s="41"/>
      <c r="AO817" s="40"/>
      <c r="AP817" s="40"/>
      <c r="AQ817" s="40"/>
    </row>
    <row r="818">
      <c r="A818" s="40"/>
      <c r="B818" s="42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1"/>
      <c r="AM818" s="41"/>
      <c r="AN818" s="41"/>
      <c r="AO818" s="40"/>
      <c r="AP818" s="40"/>
      <c r="AQ818" s="40"/>
    </row>
    <row r="819">
      <c r="A819" s="40"/>
      <c r="B819" s="42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1"/>
      <c r="AM819" s="41"/>
      <c r="AN819" s="41"/>
      <c r="AO819" s="40"/>
      <c r="AP819" s="40"/>
      <c r="AQ819" s="40"/>
    </row>
    <row r="820">
      <c r="A820" s="40"/>
      <c r="B820" s="42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1"/>
      <c r="AM820" s="41"/>
      <c r="AN820" s="41"/>
      <c r="AO820" s="40"/>
      <c r="AP820" s="40"/>
      <c r="AQ820" s="40"/>
    </row>
    <row r="821">
      <c r="A821" s="40"/>
      <c r="B821" s="42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1"/>
      <c r="AM821" s="41"/>
      <c r="AN821" s="41"/>
      <c r="AO821" s="40"/>
      <c r="AP821" s="40"/>
      <c r="AQ821" s="40"/>
    </row>
    <row r="822">
      <c r="A822" s="40"/>
      <c r="B822" s="42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1"/>
      <c r="AM822" s="41"/>
      <c r="AN822" s="41"/>
      <c r="AO822" s="40"/>
      <c r="AP822" s="40"/>
      <c r="AQ822" s="40"/>
    </row>
    <row r="823">
      <c r="A823" s="40"/>
      <c r="B823" s="42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1"/>
      <c r="AM823" s="41"/>
      <c r="AN823" s="41"/>
      <c r="AO823" s="40"/>
      <c r="AP823" s="40"/>
      <c r="AQ823" s="40"/>
    </row>
    <row r="824">
      <c r="A824" s="40"/>
      <c r="B824" s="42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1"/>
      <c r="AM824" s="41"/>
      <c r="AN824" s="41"/>
      <c r="AO824" s="40"/>
      <c r="AP824" s="40"/>
      <c r="AQ824" s="40"/>
    </row>
    <row r="825">
      <c r="A825" s="40"/>
      <c r="B825" s="42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1"/>
      <c r="AM825" s="41"/>
      <c r="AN825" s="41"/>
      <c r="AO825" s="40"/>
      <c r="AP825" s="40"/>
      <c r="AQ825" s="40"/>
    </row>
    <row r="826">
      <c r="A826" s="40"/>
      <c r="B826" s="42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1"/>
      <c r="AM826" s="41"/>
      <c r="AN826" s="41"/>
      <c r="AO826" s="40"/>
      <c r="AP826" s="40"/>
      <c r="AQ826" s="40"/>
    </row>
    <row r="827">
      <c r="A827" s="40"/>
      <c r="B827" s="42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1"/>
      <c r="AM827" s="41"/>
      <c r="AN827" s="41"/>
      <c r="AO827" s="40"/>
      <c r="AP827" s="40"/>
      <c r="AQ827" s="40"/>
    </row>
    <row r="828">
      <c r="A828" s="40"/>
      <c r="B828" s="42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1"/>
      <c r="AM828" s="41"/>
      <c r="AN828" s="41"/>
      <c r="AO828" s="40"/>
      <c r="AP828" s="40"/>
      <c r="AQ828" s="40"/>
    </row>
    <row r="829">
      <c r="A829" s="40"/>
      <c r="B829" s="42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1"/>
      <c r="AM829" s="41"/>
      <c r="AN829" s="41"/>
      <c r="AO829" s="40"/>
      <c r="AP829" s="40"/>
      <c r="AQ829" s="40"/>
    </row>
    <row r="830">
      <c r="A830" s="40"/>
      <c r="B830" s="42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1"/>
      <c r="AM830" s="41"/>
      <c r="AN830" s="41"/>
      <c r="AO830" s="40"/>
      <c r="AP830" s="40"/>
      <c r="AQ830" s="40"/>
    </row>
    <row r="831">
      <c r="A831" s="40"/>
      <c r="B831" s="42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1"/>
      <c r="AM831" s="41"/>
      <c r="AN831" s="41"/>
      <c r="AO831" s="40"/>
      <c r="AP831" s="40"/>
      <c r="AQ831" s="40"/>
    </row>
    <row r="832">
      <c r="A832" s="40"/>
      <c r="B832" s="42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1"/>
      <c r="AM832" s="41"/>
      <c r="AN832" s="41"/>
      <c r="AO832" s="40"/>
      <c r="AP832" s="40"/>
      <c r="AQ832" s="40"/>
    </row>
    <row r="833">
      <c r="A833" s="40"/>
      <c r="B833" s="42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1"/>
      <c r="AM833" s="41"/>
      <c r="AN833" s="41"/>
      <c r="AO833" s="40"/>
      <c r="AP833" s="40"/>
      <c r="AQ833" s="40"/>
    </row>
    <row r="834">
      <c r="A834" s="40"/>
      <c r="B834" s="42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1"/>
      <c r="AM834" s="41"/>
      <c r="AN834" s="41"/>
      <c r="AO834" s="40"/>
      <c r="AP834" s="40"/>
      <c r="AQ834" s="40"/>
    </row>
    <row r="835">
      <c r="A835" s="40"/>
      <c r="B835" s="42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1"/>
      <c r="AM835" s="41"/>
      <c r="AN835" s="41"/>
      <c r="AO835" s="40"/>
      <c r="AP835" s="40"/>
      <c r="AQ835" s="40"/>
    </row>
    <row r="836">
      <c r="A836" s="40"/>
      <c r="B836" s="42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1"/>
      <c r="AM836" s="41"/>
      <c r="AN836" s="41"/>
      <c r="AO836" s="40"/>
      <c r="AP836" s="40"/>
      <c r="AQ836" s="40"/>
    </row>
    <row r="837">
      <c r="A837" s="40"/>
      <c r="B837" s="42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1"/>
      <c r="AM837" s="41"/>
      <c r="AN837" s="41"/>
      <c r="AO837" s="40"/>
      <c r="AP837" s="40"/>
      <c r="AQ837" s="40"/>
    </row>
    <row r="838">
      <c r="A838" s="40"/>
      <c r="B838" s="42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1"/>
      <c r="AM838" s="41"/>
      <c r="AN838" s="41"/>
      <c r="AO838" s="40"/>
      <c r="AP838" s="40"/>
      <c r="AQ838" s="40"/>
    </row>
    <row r="839">
      <c r="A839" s="40"/>
      <c r="B839" s="42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1"/>
      <c r="AM839" s="41"/>
      <c r="AN839" s="41"/>
      <c r="AO839" s="40"/>
      <c r="AP839" s="40"/>
      <c r="AQ839" s="40"/>
    </row>
    <row r="840">
      <c r="A840" s="40"/>
      <c r="B840" s="42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1"/>
      <c r="AM840" s="41"/>
      <c r="AN840" s="41"/>
      <c r="AO840" s="40"/>
      <c r="AP840" s="40"/>
      <c r="AQ840" s="40"/>
    </row>
    <row r="841">
      <c r="A841" s="40"/>
      <c r="B841" s="42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1"/>
      <c r="AM841" s="41"/>
      <c r="AN841" s="41"/>
      <c r="AO841" s="40"/>
      <c r="AP841" s="40"/>
      <c r="AQ841" s="40"/>
    </row>
    <row r="842">
      <c r="A842" s="40"/>
      <c r="B842" s="42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1"/>
      <c r="AM842" s="41"/>
      <c r="AN842" s="41"/>
      <c r="AO842" s="40"/>
      <c r="AP842" s="40"/>
      <c r="AQ842" s="40"/>
    </row>
    <row r="843">
      <c r="A843" s="40"/>
      <c r="B843" s="42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1"/>
      <c r="AM843" s="41"/>
      <c r="AN843" s="41"/>
      <c r="AO843" s="40"/>
      <c r="AP843" s="40"/>
      <c r="AQ843" s="40"/>
    </row>
    <row r="844">
      <c r="A844" s="40"/>
      <c r="B844" s="42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1"/>
      <c r="AM844" s="41"/>
      <c r="AN844" s="41"/>
      <c r="AO844" s="40"/>
      <c r="AP844" s="40"/>
      <c r="AQ844" s="40"/>
    </row>
    <row r="845">
      <c r="A845" s="40"/>
      <c r="B845" s="42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1"/>
      <c r="AM845" s="41"/>
      <c r="AN845" s="41"/>
      <c r="AO845" s="40"/>
      <c r="AP845" s="40"/>
      <c r="AQ845" s="40"/>
    </row>
    <row r="846">
      <c r="A846" s="40"/>
      <c r="B846" s="42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1"/>
      <c r="AM846" s="41"/>
      <c r="AN846" s="41"/>
      <c r="AO846" s="40"/>
      <c r="AP846" s="40"/>
      <c r="AQ846" s="40"/>
    </row>
    <row r="847">
      <c r="A847" s="40"/>
      <c r="B847" s="42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1"/>
      <c r="AM847" s="41"/>
      <c r="AN847" s="41"/>
      <c r="AO847" s="40"/>
      <c r="AP847" s="40"/>
      <c r="AQ847" s="40"/>
    </row>
    <row r="848">
      <c r="A848" s="40"/>
      <c r="B848" s="42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1"/>
      <c r="AM848" s="41"/>
      <c r="AN848" s="41"/>
      <c r="AO848" s="40"/>
      <c r="AP848" s="40"/>
      <c r="AQ848" s="40"/>
    </row>
    <row r="849">
      <c r="A849" s="40"/>
      <c r="B849" s="42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1"/>
      <c r="AM849" s="41"/>
      <c r="AN849" s="41"/>
      <c r="AO849" s="40"/>
      <c r="AP849" s="40"/>
      <c r="AQ849" s="40"/>
    </row>
    <row r="850">
      <c r="A850" s="40"/>
      <c r="B850" s="42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1"/>
      <c r="AM850" s="41"/>
      <c r="AN850" s="41"/>
      <c r="AO850" s="40"/>
      <c r="AP850" s="40"/>
      <c r="AQ850" s="40"/>
    </row>
    <row r="851">
      <c r="A851" s="40"/>
      <c r="B851" s="42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1"/>
      <c r="AM851" s="41"/>
      <c r="AN851" s="41"/>
      <c r="AO851" s="40"/>
      <c r="AP851" s="40"/>
      <c r="AQ851" s="40"/>
    </row>
    <row r="852">
      <c r="A852" s="40"/>
      <c r="B852" s="42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1"/>
      <c r="AM852" s="41"/>
      <c r="AN852" s="41"/>
      <c r="AO852" s="40"/>
      <c r="AP852" s="40"/>
      <c r="AQ852" s="40"/>
    </row>
    <row r="853">
      <c r="A853" s="40"/>
      <c r="B853" s="42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1"/>
      <c r="AM853" s="41"/>
      <c r="AN853" s="41"/>
      <c r="AO853" s="40"/>
      <c r="AP853" s="40"/>
      <c r="AQ853" s="40"/>
    </row>
    <row r="854">
      <c r="A854" s="40"/>
      <c r="B854" s="42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1"/>
      <c r="AM854" s="41"/>
      <c r="AN854" s="41"/>
      <c r="AO854" s="40"/>
      <c r="AP854" s="40"/>
      <c r="AQ854" s="40"/>
    </row>
    <row r="855">
      <c r="A855" s="40"/>
      <c r="B855" s="42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1"/>
      <c r="AM855" s="41"/>
      <c r="AN855" s="41"/>
      <c r="AO855" s="40"/>
      <c r="AP855" s="40"/>
      <c r="AQ855" s="40"/>
    </row>
    <row r="856">
      <c r="A856" s="40"/>
      <c r="B856" s="42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1"/>
      <c r="AM856" s="41"/>
      <c r="AN856" s="41"/>
      <c r="AO856" s="40"/>
      <c r="AP856" s="40"/>
      <c r="AQ856" s="40"/>
    </row>
    <row r="857">
      <c r="A857" s="40"/>
      <c r="B857" s="42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1"/>
      <c r="AM857" s="41"/>
      <c r="AN857" s="41"/>
      <c r="AO857" s="40"/>
      <c r="AP857" s="40"/>
      <c r="AQ857" s="40"/>
    </row>
    <row r="858">
      <c r="A858" s="40"/>
      <c r="B858" s="42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1"/>
      <c r="AM858" s="41"/>
      <c r="AN858" s="41"/>
      <c r="AO858" s="40"/>
      <c r="AP858" s="40"/>
      <c r="AQ858" s="40"/>
    </row>
    <row r="859">
      <c r="A859" s="40"/>
      <c r="B859" s="42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1"/>
      <c r="AM859" s="41"/>
      <c r="AN859" s="41"/>
      <c r="AO859" s="40"/>
      <c r="AP859" s="40"/>
      <c r="AQ859" s="40"/>
    </row>
    <row r="860">
      <c r="A860" s="40"/>
      <c r="B860" s="42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1"/>
      <c r="AM860" s="41"/>
      <c r="AN860" s="41"/>
      <c r="AO860" s="40"/>
      <c r="AP860" s="40"/>
      <c r="AQ860" s="40"/>
    </row>
    <row r="861">
      <c r="A861" s="40"/>
      <c r="B861" s="42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1"/>
      <c r="AM861" s="41"/>
      <c r="AN861" s="41"/>
      <c r="AO861" s="40"/>
      <c r="AP861" s="40"/>
      <c r="AQ861" s="40"/>
    </row>
    <row r="862">
      <c r="A862" s="40"/>
      <c r="B862" s="42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1"/>
      <c r="AM862" s="41"/>
      <c r="AN862" s="41"/>
      <c r="AO862" s="40"/>
      <c r="AP862" s="40"/>
      <c r="AQ862" s="40"/>
    </row>
    <row r="863">
      <c r="A863" s="40"/>
      <c r="B863" s="42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1"/>
      <c r="AM863" s="41"/>
      <c r="AN863" s="41"/>
      <c r="AO863" s="40"/>
      <c r="AP863" s="40"/>
      <c r="AQ863" s="40"/>
    </row>
    <row r="864">
      <c r="A864" s="40"/>
      <c r="B864" s="42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1"/>
      <c r="AM864" s="41"/>
      <c r="AN864" s="41"/>
      <c r="AO864" s="40"/>
      <c r="AP864" s="40"/>
      <c r="AQ864" s="40"/>
    </row>
    <row r="865">
      <c r="A865" s="40"/>
      <c r="B865" s="42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1"/>
      <c r="AM865" s="41"/>
      <c r="AN865" s="41"/>
      <c r="AO865" s="40"/>
      <c r="AP865" s="40"/>
      <c r="AQ865" s="40"/>
    </row>
    <row r="866">
      <c r="A866" s="40"/>
      <c r="B866" s="42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1"/>
      <c r="AM866" s="41"/>
      <c r="AN866" s="41"/>
      <c r="AO866" s="40"/>
      <c r="AP866" s="40"/>
      <c r="AQ866" s="40"/>
    </row>
    <row r="867">
      <c r="A867" s="40"/>
      <c r="B867" s="42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1"/>
      <c r="AM867" s="41"/>
      <c r="AN867" s="41"/>
      <c r="AO867" s="40"/>
      <c r="AP867" s="40"/>
      <c r="AQ867" s="40"/>
    </row>
    <row r="868">
      <c r="A868" s="40"/>
      <c r="B868" s="42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1"/>
      <c r="AM868" s="41"/>
      <c r="AN868" s="41"/>
      <c r="AO868" s="40"/>
      <c r="AP868" s="40"/>
      <c r="AQ868" s="40"/>
    </row>
    <row r="869">
      <c r="A869" s="40"/>
      <c r="B869" s="42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1"/>
      <c r="AM869" s="41"/>
      <c r="AN869" s="41"/>
      <c r="AO869" s="40"/>
      <c r="AP869" s="40"/>
      <c r="AQ869" s="40"/>
    </row>
    <row r="870">
      <c r="A870" s="40"/>
      <c r="B870" s="42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1"/>
      <c r="AM870" s="41"/>
      <c r="AN870" s="41"/>
      <c r="AO870" s="40"/>
      <c r="AP870" s="40"/>
      <c r="AQ870" s="40"/>
    </row>
    <row r="871">
      <c r="A871" s="40"/>
      <c r="B871" s="42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1"/>
      <c r="AM871" s="41"/>
      <c r="AN871" s="41"/>
      <c r="AO871" s="40"/>
      <c r="AP871" s="40"/>
      <c r="AQ871" s="40"/>
    </row>
    <row r="872">
      <c r="A872" s="40"/>
      <c r="B872" s="42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1"/>
      <c r="AM872" s="41"/>
      <c r="AN872" s="41"/>
      <c r="AO872" s="40"/>
      <c r="AP872" s="40"/>
      <c r="AQ872" s="40"/>
    </row>
    <row r="873">
      <c r="A873" s="40"/>
      <c r="B873" s="42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1"/>
      <c r="AM873" s="41"/>
      <c r="AN873" s="41"/>
      <c r="AO873" s="40"/>
      <c r="AP873" s="40"/>
      <c r="AQ873" s="40"/>
    </row>
    <row r="874">
      <c r="A874" s="40"/>
      <c r="B874" s="42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1"/>
      <c r="AM874" s="41"/>
      <c r="AN874" s="41"/>
      <c r="AO874" s="40"/>
      <c r="AP874" s="40"/>
      <c r="AQ874" s="40"/>
    </row>
    <row r="875">
      <c r="A875" s="40"/>
      <c r="B875" s="42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1"/>
      <c r="AM875" s="41"/>
      <c r="AN875" s="41"/>
      <c r="AO875" s="40"/>
      <c r="AP875" s="40"/>
      <c r="AQ875" s="40"/>
    </row>
    <row r="876">
      <c r="A876" s="40"/>
      <c r="B876" s="42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1"/>
      <c r="AM876" s="41"/>
      <c r="AN876" s="41"/>
      <c r="AO876" s="40"/>
      <c r="AP876" s="40"/>
      <c r="AQ876" s="40"/>
    </row>
    <row r="877">
      <c r="A877" s="40"/>
      <c r="B877" s="42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1"/>
      <c r="AM877" s="41"/>
      <c r="AN877" s="41"/>
      <c r="AO877" s="40"/>
      <c r="AP877" s="40"/>
      <c r="AQ877" s="40"/>
    </row>
    <row r="878">
      <c r="A878" s="40"/>
      <c r="B878" s="42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1"/>
      <c r="AM878" s="41"/>
      <c r="AN878" s="41"/>
      <c r="AO878" s="40"/>
      <c r="AP878" s="40"/>
      <c r="AQ878" s="40"/>
    </row>
    <row r="879">
      <c r="A879" s="40"/>
      <c r="B879" s="42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1"/>
      <c r="AM879" s="41"/>
      <c r="AN879" s="41"/>
      <c r="AO879" s="40"/>
      <c r="AP879" s="40"/>
      <c r="AQ879" s="40"/>
    </row>
    <row r="880">
      <c r="A880" s="40"/>
      <c r="B880" s="42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1"/>
      <c r="AM880" s="41"/>
      <c r="AN880" s="41"/>
      <c r="AO880" s="40"/>
      <c r="AP880" s="40"/>
      <c r="AQ880" s="40"/>
    </row>
    <row r="881">
      <c r="A881" s="40"/>
      <c r="B881" s="42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1"/>
      <c r="AM881" s="41"/>
      <c r="AN881" s="41"/>
      <c r="AO881" s="40"/>
      <c r="AP881" s="40"/>
      <c r="AQ881" s="40"/>
    </row>
    <row r="882">
      <c r="A882" s="40"/>
      <c r="B882" s="42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1"/>
      <c r="AM882" s="41"/>
      <c r="AN882" s="41"/>
      <c r="AO882" s="40"/>
      <c r="AP882" s="40"/>
      <c r="AQ882" s="40"/>
    </row>
    <row r="883">
      <c r="A883" s="40"/>
      <c r="B883" s="42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1"/>
      <c r="AM883" s="41"/>
      <c r="AN883" s="41"/>
      <c r="AO883" s="40"/>
      <c r="AP883" s="40"/>
      <c r="AQ883" s="40"/>
    </row>
    <row r="884">
      <c r="A884" s="40"/>
      <c r="B884" s="42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1"/>
      <c r="AM884" s="41"/>
      <c r="AN884" s="41"/>
      <c r="AO884" s="40"/>
      <c r="AP884" s="40"/>
      <c r="AQ884" s="40"/>
    </row>
    <row r="885">
      <c r="A885" s="40"/>
      <c r="B885" s="42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1"/>
      <c r="AM885" s="41"/>
      <c r="AN885" s="41"/>
      <c r="AO885" s="40"/>
      <c r="AP885" s="40"/>
      <c r="AQ885" s="40"/>
    </row>
    <row r="886">
      <c r="A886" s="40"/>
      <c r="B886" s="42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1"/>
      <c r="AM886" s="41"/>
      <c r="AN886" s="41"/>
      <c r="AO886" s="40"/>
      <c r="AP886" s="40"/>
      <c r="AQ886" s="40"/>
    </row>
    <row r="887">
      <c r="A887" s="40"/>
      <c r="B887" s="42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1"/>
      <c r="AM887" s="41"/>
      <c r="AN887" s="41"/>
      <c r="AO887" s="40"/>
      <c r="AP887" s="40"/>
      <c r="AQ887" s="40"/>
    </row>
    <row r="888">
      <c r="A888" s="40"/>
      <c r="B888" s="42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1"/>
      <c r="AM888" s="41"/>
      <c r="AN888" s="41"/>
      <c r="AO888" s="40"/>
      <c r="AP888" s="40"/>
      <c r="AQ888" s="40"/>
    </row>
    <row r="889">
      <c r="A889" s="40"/>
      <c r="B889" s="42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1"/>
      <c r="AM889" s="41"/>
      <c r="AN889" s="41"/>
      <c r="AO889" s="40"/>
      <c r="AP889" s="40"/>
      <c r="AQ889" s="40"/>
    </row>
    <row r="890">
      <c r="A890" s="40"/>
      <c r="B890" s="42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1"/>
      <c r="AM890" s="41"/>
      <c r="AN890" s="41"/>
      <c r="AO890" s="40"/>
      <c r="AP890" s="40"/>
      <c r="AQ890" s="40"/>
    </row>
    <row r="891">
      <c r="A891" s="40"/>
      <c r="B891" s="42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1"/>
      <c r="AM891" s="41"/>
      <c r="AN891" s="41"/>
      <c r="AO891" s="40"/>
      <c r="AP891" s="40"/>
      <c r="AQ891" s="40"/>
    </row>
    <row r="892">
      <c r="A892" s="40"/>
      <c r="B892" s="42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1"/>
      <c r="AM892" s="41"/>
      <c r="AN892" s="41"/>
      <c r="AO892" s="40"/>
      <c r="AP892" s="40"/>
      <c r="AQ892" s="40"/>
    </row>
    <row r="893">
      <c r="A893" s="40"/>
      <c r="B893" s="42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1"/>
      <c r="AM893" s="41"/>
      <c r="AN893" s="41"/>
      <c r="AO893" s="40"/>
      <c r="AP893" s="40"/>
      <c r="AQ893" s="40"/>
    </row>
    <row r="894">
      <c r="A894" s="40"/>
      <c r="B894" s="42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1"/>
      <c r="AM894" s="41"/>
      <c r="AN894" s="41"/>
      <c r="AO894" s="40"/>
      <c r="AP894" s="40"/>
      <c r="AQ894" s="40"/>
    </row>
    <row r="895">
      <c r="A895" s="40"/>
      <c r="B895" s="42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1"/>
      <c r="AM895" s="41"/>
      <c r="AN895" s="41"/>
      <c r="AO895" s="40"/>
      <c r="AP895" s="40"/>
      <c r="AQ895" s="40"/>
    </row>
    <row r="896">
      <c r="A896" s="40"/>
      <c r="B896" s="42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1"/>
      <c r="AM896" s="41"/>
      <c r="AN896" s="41"/>
      <c r="AO896" s="40"/>
      <c r="AP896" s="40"/>
      <c r="AQ896" s="40"/>
    </row>
    <row r="897">
      <c r="A897" s="40"/>
      <c r="B897" s="42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1"/>
      <c r="AM897" s="41"/>
      <c r="AN897" s="41"/>
      <c r="AO897" s="40"/>
      <c r="AP897" s="40"/>
      <c r="AQ897" s="40"/>
    </row>
    <row r="898">
      <c r="A898" s="40"/>
      <c r="B898" s="42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1"/>
      <c r="AM898" s="41"/>
      <c r="AN898" s="41"/>
      <c r="AO898" s="40"/>
      <c r="AP898" s="40"/>
      <c r="AQ898" s="40"/>
    </row>
    <row r="899">
      <c r="A899" s="40"/>
      <c r="B899" s="42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1"/>
      <c r="AM899" s="41"/>
      <c r="AN899" s="41"/>
      <c r="AO899" s="40"/>
      <c r="AP899" s="40"/>
      <c r="AQ899" s="40"/>
    </row>
    <row r="900">
      <c r="A900" s="40"/>
      <c r="B900" s="42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1"/>
      <c r="AM900" s="41"/>
      <c r="AN900" s="41"/>
      <c r="AO900" s="40"/>
      <c r="AP900" s="40"/>
      <c r="AQ900" s="40"/>
    </row>
    <row r="901">
      <c r="A901" s="40"/>
      <c r="B901" s="42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1"/>
      <c r="AM901" s="41"/>
      <c r="AN901" s="41"/>
      <c r="AO901" s="40"/>
      <c r="AP901" s="40"/>
      <c r="AQ901" s="40"/>
    </row>
    <row r="902">
      <c r="A902" s="40"/>
      <c r="B902" s="42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1"/>
      <c r="AM902" s="41"/>
      <c r="AN902" s="41"/>
      <c r="AO902" s="40"/>
      <c r="AP902" s="40"/>
      <c r="AQ902" s="40"/>
    </row>
    <row r="903">
      <c r="A903" s="40"/>
      <c r="B903" s="42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1"/>
      <c r="AM903" s="41"/>
      <c r="AN903" s="41"/>
      <c r="AO903" s="40"/>
      <c r="AP903" s="40"/>
      <c r="AQ903" s="40"/>
    </row>
    <row r="904">
      <c r="A904" s="40"/>
      <c r="B904" s="42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1"/>
      <c r="AM904" s="41"/>
      <c r="AN904" s="41"/>
      <c r="AO904" s="40"/>
      <c r="AP904" s="40"/>
      <c r="AQ904" s="40"/>
    </row>
    <row r="905">
      <c r="A905" s="40"/>
      <c r="B905" s="42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1"/>
      <c r="AM905" s="41"/>
      <c r="AN905" s="41"/>
      <c r="AO905" s="40"/>
      <c r="AP905" s="40"/>
      <c r="AQ905" s="40"/>
    </row>
    <row r="906">
      <c r="A906" s="40"/>
      <c r="B906" s="42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1"/>
      <c r="AM906" s="41"/>
      <c r="AN906" s="41"/>
      <c r="AO906" s="40"/>
      <c r="AP906" s="40"/>
      <c r="AQ906" s="40"/>
    </row>
    <row r="907">
      <c r="A907" s="40"/>
      <c r="B907" s="42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1"/>
      <c r="AM907" s="41"/>
      <c r="AN907" s="41"/>
      <c r="AO907" s="40"/>
      <c r="AP907" s="40"/>
      <c r="AQ907" s="40"/>
    </row>
    <row r="908">
      <c r="A908" s="40"/>
      <c r="B908" s="42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1"/>
      <c r="AM908" s="41"/>
      <c r="AN908" s="41"/>
      <c r="AO908" s="40"/>
      <c r="AP908" s="40"/>
      <c r="AQ908" s="40"/>
    </row>
    <row r="909">
      <c r="A909" s="40"/>
      <c r="B909" s="42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1"/>
      <c r="AM909" s="41"/>
      <c r="AN909" s="41"/>
      <c r="AO909" s="40"/>
      <c r="AP909" s="40"/>
      <c r="AQ909" s="40"/>
    </row>
    <row r="910">
      <c r="A910" s="40"/>
      <c r="B910" s="42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1"/>
      <c r="AM910" s="41"/>
      <c r="AN910" s="41"/>
      <c r="AO910" s="40"/>
      <c r="AP910" s="40"/>
      <c r="AQ910" s="40"/>
    </row>
    <row r="911">
      <c r="A911" s="40"/>
      <c r="B911" s="42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1"/>
      <c r="AM911" s="41"/>
      <c r="AN911" s="41"/>
      <c r="AO911" s="40"/>
      <c r="AP911" s="40"/>
      <c r="AQ911" s="40"/>
    </row>
    <row r="912">
      <c r="A912" s="40"/>
      <c r="B912" s="42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1"/>
      <c r="AM912" s="41"/>
      <c r="AN912" s="41"/>
      <c r="AO912" s="40"/>
      <c r="AP912" s="40"/>
      <c r="AQ912" s="40"/>
    </row>
    <row r="913">
      <c r="A913" s="40"/>
      <c r="B913" s="42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1"/>
      <c r="AM913" s="41"/>
      <c r="AN913" s="41"/>
      <c r="AO913" s="40"/>
      <c r="AP913" s="40"/>
      <c r="AQ913" s="40"/>
    </row>
    <row r="914">
      <c r="A914" s="40"/>
      <c r="B914" s="42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1"/>
      <c r="AM914" s="41"/>
      <c r="AN914" s="41"/>
      <c r="AO914" s="40"/>
      <c r="AP914" s="40"/>
      <c r="AQ914" s="40"/>
    </row>
    <row r="915">
      <c r="A915" s="40"/>
      <c r="B915" s="42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1"/>
      <c r="AM915" s="41"/>
      <c r="AN915" s="41"/>
      <c r="AO915" s="40"/>
      <c r="AP915" s="40"/>
      <c r="AQ915" s="40"/>
    </row>
    <row r="916">
      <c r="A916" s="40"/>
      <c r="B916" s="42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1"/>
      <c r="AM916" s="41"/>
      <c r="AN916" s="41"/>
      <c r="AO916" s="40"/>
      <c r="AP916" s="40"/>
      <c r="AQ916" s="40"/>
    </row>
    <row r="917">
      <c r="A917" s="40"/>
      <c r="B917" s="42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1"/>
      <c r="AM917" s="41"/>
      <c r="AN917" s="41"/>
      <c r="AO917" s="40"/>
      <c r="AP917" s="40"/>
      <c r="AQ917" s="40"/>
    </row>
    <row r="918">
      <c r="A918" s="40"/>
      <c r="B918" s="42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1"/>
      <c r="AM918" s="41"/>
      <c r="AN918" s="41"/>
      <c r="AO918" s="40"/>
      <c r="AP918" s="40"/>
      <c r="AQ918" s="40"/>
    </row>
    <row r="919">
      <c r="A919" s="40"/>
      <c r="B919" s="42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1"/>
      <c r="AM919" s="41"/>
      <c r="AN919" s="41"/>
      <c r="AO919" s="40"/>
      <c r="AP919" s="40"/>
      <c r="AQ919" s="40"/>
    </row>
    <row r="920">
      <c r="A920" s="40"/>
      <c r="B920" s="42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1"/>
      <c r="AM920" s="41"/>
      <c r="AN920" s="41"/>
      <c r="AO920" s="40"/>
      <c r="AP920" s="40"/>
      <c r="AQ920" s="40"/>
    </row>
    <row r="921">
      <c r="A921" s="40"/>
      <c r="B921" s="42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1"/>
      <c r="AM921" s="41"/>
      <c r="AN921" s="41"/>
      <c r="AO921" s="40"/>
      <c r="AP921" s="40"/>
      <c r="AQ921" s="40"/>
    </row>
    <row r="922">
      <c r="A922" s="40"/>
      <c r="B922" s="42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1"/>
      <c r="AM922" s="41"/>
      <c r="AN922" s="41"/>
      <c r="AO922" s="40"/>
      <c r="AP922" s="40"/>
      <c r="AQ922" s="40"/>
    </row>
    <row r="923">
      <c r="A923" s="40"/>
      <c r="B923" s="42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1"/>
      <c r="AM923" s="41"/>
      <c r="AN923" s="41"/>
      <c r="AO923" s="40"/>
      <c r="AP923" s="40"/>
      <c r="AQ923" s="40"/>
    </row>
    <row r="924">
      <c r="A924" s="40"/>
      <c r="B924" s="42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1"/>
      <c r="AM924" s="41"/>
      <c r="AN924" s="41"/>
      <c r="AO924" s="40"/>
      <c r="AP924" s="40"/>
      <c r="AQ924" s="40"/>
    </row>
    <row r="925">
      <c r="A925" s="40"/>
      <c r="B925" s="42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1"/>
      <c r="AM925" s="41"/>
      <c r="AN925" s="41"/>
      <c r="AO925" s="40"/>
      <c r="AP925" s="40"/>
      <c r="AQ925" s="40"/>
    </row>
    <row r="926">
      <c r="A926" s="40"/>
      <c r="B926" s="42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1"/>
      <c r="AM926" s="41"/>
      <c r="AN926" s="41"/>
      <c r="AO926" s="40"/>
      <c r="AP926" s="40"/>
      <c r="AQ926" s="40"/>
    </row>
    <row r="927">
      <c r="A927" s="40"/>
      <c r="B927" s="42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1"/>
      <c r="AM927" s="41"/>
      <c r="AN927" s="41"/>
      <c r="AO927" s="40"/>
      <c r="AP927" s="40"/>
      <c r="AQ927" s="40"/>
    </row>
    <row r="928">
      <c r="A928" s="40"/>
      <c r="B928" s="42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1"/>
      <c r="AM928" s="41"/>
      <c r="AN928" s="41"/>
      <c r="AO928" s="40"/>
      <c r="AP928" s="40"/>
      <c r="AQ928" s="40"/>
    </row>
    <row r="929">
      <c r="A929" s="40"/>
      <c r="B929" s="42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1"/>
      <c r="AM929" s="41"/>
      <c r="AN929" s="41"/>
      <c r="AO929" s="40"/>
      <c r="AP929" s="40"/>
      <c r="AQ929" s="40"/>
    </row>
    <row r="930">
      <c r="A930" s="40"/>
      <c r="B930" s="42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1"/>
      <c r="AM930" s="41"/>
      <c r="AN930" s="41"/>
      <c r="AO930" s="40"/>
      <c r="AP930" s="40"/>
      <c r="AQ930" s="40"/>
    </row>
    <row r="931">
      <c r="A931" s="40"/>
      <c r="B931" s="42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1"/>
      <c r="AM931" s="41"/>
      <c r="AN931" s="41"/>
      <c r="AO931" s="40"/>
      <c r="AP931" s="40"/>
      <c r="AQ931" s="40"/>
    </row>
    <row r="932">
      <c r="A932" s="40"/>
      <c r="B932" s="42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1"/>
      <c r="AM932" s="41"/>
      <c r="AN932" s="41"/>
      <c r="AO932" s="40"/>
      <c r="AP932" s="40"/>
      <c r="AQ932" s="40"/>
    </row>
    <row r="933">
      <c r="A933" s="40"/>
      <c r="B933" s="42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1"/>
      <c r="AM933" s="41"/>
      <c r="AN933" s="41"/>
      <c r="AO933" s="40"/>
      <c r="AP933" s="40"/>
      <c r="AQ933" s="40"/>
    </row>
    <row r="934">
      <c r="A934" s="40"/>
      <c r="B934" s="42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1"/>
      <c r="AM934" s="41"/>
      <c r="AN934" s="41"/>
      <c r="AO934" s="40"/>
      <c r="AP934" s="40"/>
      <c r="AQ934" s="40"/>
    </row>
    <row r="935">
      <c r="A935" s="40"/>
      <c r="B935" s="42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1"/>
      <c r="AM935" s="41"/>
      <c r="AN935" s="41"/>
      <c r="AO935" s="40"/>
      <c r="AP935" s="40"/>
      <c r="AQ935" s="40"/>
    </row>
    <row r="936">
      <c r="A936" s="40"/>
      <c r="B936" s="42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1"/>
      <c r="AM936" s="41"/>
      <c r="AN936" s="41"/>
      <c r="AO936" s="40"/>
      <c r="AP936" s="40"/>
      <c r="AQ936" s="40"/>
    </row>
    <row r="937">
      <c r="A937" s="40"/>
      <c r="B937" s="42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1"/>
      <c r="AM937" s="41"/>
      <c r="AN937" s="41"/>
      <c r="AO937" s="40"/>
      <c r="AP937" s="40"/>
      <c r="AQ937" s="40"/>
    </row>
    <row r="938">
      <c r="A938" s="40"/>
      <c r="B938" s="42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1"/>
      <c r="AM938" s="41"/>
      <c r="AN938" s="41"/>
      <c r="AO938" s="40"/>
      <c r="AP938" s="40"/>
      <c r="AQ938" s="40"/>
    </row>
    <row r="939">
      <c r="A939" s="40"/>
      <c r="B939" s="42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1"/>
      <c r="AM939" s="41"/>
      <c r="AN939" s="41"/>
      <c r="AO939" s="40"/>
      <c r="AP939" s="40"/>
      <c r="AQ939" s="40"/>
    </row>
    <row r="940">
      <c r="A940" s="40"/>
      <c r="B940" s="42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1"/>
      <c r="AM940" s="41"/>
      <c r="AN940" s="41"/>
      <c r="AO940" s="40"/>
      <c r="AP940" s="40"/>
      <c r="AQ940" s="40"/>
    </row>
    <row r="941">
      <c r="A941" s="40"/>
      <c r="B941" s="42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1"/>
      <c r="AM941" s="41"/>
      <c r="AN941" s="41"/>
      <c r="AO941" s="40"/>
      <c r="AP941" s="40"/>
      <c r="AQ941" s="40"/>
    </row>
    <row r="942">
      <c r="A942" s="40"/>
      <c r="B942" s="42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1"/>
      <c r="AM942" s="41"/>
      <c r="AN942" s="41"/>
      <c r="AO942" s="40"/>
      <c r="AP942" s="40"/>
      <c r="AQ942" s="40"/>
    </row>
    <row r="943">
      <c r="A943" s="40"/>
      <c r="B943" s="42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1"/>
      <c r="AM943" s="41"/>
      <c r="AN943" s="41"/>
      <c r="AO943" s="40"/>
      <c r="AP943" s="40"/>
      <c r="AQ943" s="40"/>
    </row>
    <row r="944">
      <c r="A944" s="40"/>
      <c r="B944" s="42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1"/>
      <c r="AM944" s="41"/>
      <c r="AN944" s="41"/>
      <c r="AO944" s="40"/>
      <c r="AP944" s="40"/>
      <c r="AQ944" s="40"/>
    </row>
    <row r="945">
      <c r="A945" s="40"/>
      <c r="B945" s="42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1"/>
      <c r="AM945" s="41"/>
      <c r="AN945" s="41"/>
      <c r="AO945" s="40"/>
      <c r="AP945" s="40"/>
      <c r="AQ945" s="40"/>
    </row>
    <row r="946">
      <c r="A946" s="40"/>
      <c r="B946" s="42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1"/>
      <c r="AM946" s="41"/>
      <c r="AN946" s="41"/>
      <c r="AO946" s="40"/>
      <c r="AP946" s="40"/>
      <c r="AQ946" s="40"/>
    </row>
    <row r="947">
      <c r="A947" s="40"/>
      <c r="B947" s="42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1"/>
      <c r="AM947" s="41"/>
      <c r="AN947" s="41"/>
      <c r="AO947" s="40"/>
      <c r="AP947" s="40"/>
      <c r="AQ947" s="40"/>
    </row>
    <row r="948">
      <c r="A948" s="40"/>
      <c r="B948" s="42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1"/>
      <c r="AM948" s="41"/>
      <c r="AN948" s="41"/>
      <c r="AO948" s="40"/>
      <c r="AP948" s="40"/>
      <c r="AQ948" s="40"/>
    </row>
    <row r="949">
      <c r="A949" s="40"/>
      <c r="B949" s="42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1"/>
      <c r="AM949" s="41"/>
      <c r="AN949" s="41"/>
      <c r="AO949" s="40"/>
      <c r="AP949" s="40"/>
      <c r="AQ949" s="40"/>
    </row>
    <row r="950">
      <c r="A950" s="40"/>
      <c r="B950" s="42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1"/>
      <c r="AM950" s="41"/>
      <c r="AN950" s="41"/>
      <c r="AO950" s="40"/>
      <c r="AP950" s="40"/>
      <c r="AQ950" s="40"/>
    </row>
    <row r="951">
      <c r="A951" s="40"/>
      <c r="B951" s="42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1"/>
      <c r="AM951" s="41"/>
      <c r="AN951" s="41"/>
      <c r="AO951" s="40"/>
      <c r="AP951" s="40"/>
      <c r="AQ951" s="40"/>
    </row>
    <row r="952">
      <c r="A952" s="40"/>
      <c r="B952" s="42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1"/>
      <c r="AM952" s="41"/>
      <c r="AN952" s="41"/>
      <c r="AO952" s="40"/>
      <c r="AP952" s="40"/>
      <c r="AQ952" s="40"/>
    </row>
    <row r="953">
      <c r="A953" s="40"/>
      <c r="B953" s="42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1"/>
      <c r="AM953" s="41"/>
      <c r="AN953" s="41"/>
      <c r="AO953" s="40"/>
      <c r="AP953" s="40"/>
      <c r="AQ953" s="40"/>
    </row>
    <row r="954">
      <c r="A954" s="40"/>
      <c r="B954" s="42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1"/>
      <c r="AM954" s="41"/>
      <c r="AN954" s="41"/>
      <c r="AO954" s="40"/>
      <c r="AP954" s="40"/>
      <c r="AQ954" s="40"/>
    </row>
    <row r="955">
      <c r="A955" s="40"/>
      <c r="B955" s="42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1"/>
      <c r="AM955" s="41"/>
      <c r="AN955" s="41"/>
      <c r="AO955" s="40"/>
      <c r="AP955" s="40"/>
      <c r="AQ955" s="40"/>
    </row>
    <row r="956">
      <c r="A956" s="40"/>
      <c r="B956" s="42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1"/>
      <c r="AM956" s="41"/>
      <c r="AN956" s="41"/>
      <c r="AO956" s="40"/>
      <c r="AP956" s="40"/>
      <c r="AQ956" s="40"/>
    </row>
    <row r="957">
      <c r="A957" s="40"/>
      <c r="B957" s="42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1"/>
      <c r="AM957" s="41"/>
      <c r="AN957" s="41"/>
      <c r="AO957" s="40"/>
      <c r="AP957" s="40"/>
      <c r="AQ957" s="40"/>
    </row>
    <row r="958">
      <c r="A958" s="40"/>
      <c r="B958" s="42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1"/>
      <c r="AM958" s="41"/>
      <c r="AN958" s="41"/>
      <c r="AO958" s="40"/>
      <c r="AP958" s="40"/>
      <c r="AQ958" s="40"/>
    </row>
    <row r="959">
      <c r="A959" s="40"/>
      <c r="B959" s="42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1"/>
      <c r="AM959" s="41"/>
      <c r="AN959" s="41"/>
      <c r="AO959" s="40"/>
      <c r="AP959" s="40"/>
      <c r="AQ959" s="40"/>
    </row>
    <row r="960">
      <c r="A960" s="40"/>
      <c r="B960" s="42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1"/>
      <c r="AM960" s="41"/>
      <c r="AN960" s="41"/>
      <c r="AO960" s="40"/>
      <c r="AP960" s="40"/>
      <c r="AQ960" s="40"/>
    </row>
    <row r="961">
      <c r="A961" s="40"/>
      <c r="B961" s="42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1"/>
      <c r="AM961" s="41"/>
      <c r="AN961" s="41"/>
      <c r="AO961" s="40"/>
      <c r="AP961" s="40"/>
      <c r="AQ961" s="40"/>
    </row>
    <row r="962">
      <c r="A962" s="40"/>
      <c r="B962" s="42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1"/>
      <c r="AM962" s="41"/>
      <c r="AN962" s="41"/>
      <c r="AO962" s="40"/>
      <c r="AP962" s="40"/>
      <c r="AQ962" s="40"/>
    </row>
    <row r="963">
      <c r="A963" s="40"/>
      <c r="B963" s="42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1"/>
      <c r="AM963" s="41"/>
      <c r="AN963" s="41"/>
      <c r="AO963" s="40"/>
      <c r="AP963" s="40"/>
      <c r="AQ963" s="40"/>
    </row>
    <row r="964">
      <c r="A964" s="40"/>
      <c r="B964" s="42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1"/>
      <c r="AM964" s="41"/>
      <c r="AN964" s="41"/>
      <c r="AO964" s="40"/>
      <c r="AP964" s="40"/>
      <c r="AQ964" s="40"/>
    </row>
    <row r="965">
      <c r="A965" s="40"/>
      <c r="B965" s="42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1"/>
      <c r="AM965" s="41"/>
      <c r="AN965" s="41"/>
      <c r="AO965" s="40"/>
      <c r="AP965" s="40"/>
      <c r="AQ965" s="40"/>
    </row>
    <row r="966">
      <c r="A966" s="40"/>
      <c r="B966" s="42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1"/>
      <c r="AM966" s="41"/>
      <c r="AN966" s="41"/>
      <c r="AO966" s="40"/>
      <c r="AP966" s="40"/>
      <c r="AQ966" s="40"/>
    </row>
    <row r="967">
      <c r="A967" s="40"/>
      <c r="B967" s="42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1"/>
      <c r="AM967" s="41"/>
      <c r="AN967" s="41"/>
      <c r="AO967" s="40"/>
      <c r="AP967" s="40"/>
      <c r="AQ967" s="40"/>
    </row>
    <row r="968">
      <c r="A968" s="40"/>
      <c r="B968" s="42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1"/>
      <c r="AM968" s="41"/>
      <c r="AN968" s="41"/>
      <c r="AO968" s="40"/>
      <c r="AP968" s="40"/>
      <c r="AQ968" s="40"/>
    </row>
    <row r="969">
      <c r="A969" s="40"/>
      <c r="B969" s="42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1"/>
      <c r="AM969" s="41"/>
      <c r="AN969" s="41"/>
      <c r="AO969" s="40"/>
      <c r="AP969" s="40"/>
      <c r="AQ969" s="40"/>
    </row>
    <row r="970">
      <c r="A970" s="40"/>
      <c r="B970" s="42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1"/>
      <c r="AM970" s="41"/>
      <c r="AN970" s="41"/>
      <c r="AO970" s="40"/>
      <c r="AP970" s="40"/>
      <c r="AQ970" s="40"/>
    </row>
    <row r="971">
      <c r="A971" s="40"/>
      <c r="B971" s="42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1"/>
      <c r="AM971" s="41"/>
      <c r="AN971" s="41"/>
      <c r="AO971" s="40"/>
      <c r="AP971" s="40"/>
      <c r="AQ971" s="40"/>
    </row>
    <row r="972">
      <c r="A972" s="40"/>
      <c r="B972" s="42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1"/>
      <c r="AM972" s="41"/>
      <c r="AN972" s="41"/>
      <c r="AO972" s="40"/>
      <c r="AP972" s="40"/>
      <c r="AQ972" s="40"/>
    </row>
    <row r="973">
      <c r="A973" s="40"/>
      <c r="B973" s="42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1"/>
      <c r="AM973" s="41"/>
      <c r="AN973" s="41"/>
      <c r="AO973" s="40"/>
      <c r="AP973" s="40"/>
      <c r="AQ973" s="40"/>
    </row>
    <row r="974">
      <c r="A974" s="40"/>
      <c r="B974" s="42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1"/>
      <c r="AM974" s="41"/>
      <c r="AN974" s="41"/>
      <c r="AO974" s="40"/>
      <c r="AP974" s="40"/>
      <c r="AQ974" s="40"/>
    </row>
    <row r="975">
      <c r="A975" s="40"/>
      <c r="B975" s="42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1"/>
      <c r="AM975" s="41"/>
      <c r="AN975" s="41"/>
      <c r="AO975" s="40"/>
      <c r="AP975" s="40"/>
      <c r="AQ975" s="40"/>
    </row>
    <row r="976">
      <c r="A976" s="40"/>
      <c r="B976" s="42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1"/>
      <c r="AM976" s="41"/>
      <c r="AN976" s="41"/>
      <c r="AO976" s="40"/>
      <c r="AP976" s="40"/>
      <c r="AQ976" s="40"/>
    </row>
    <row r="977">
      <c r="A977" s="40"/>
      <c r="B977" s="42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1"/>
      <c r="AM977" s="41"/>
      <c r="AN977" s="41"/>
      <c r="AO977" s="40"/>
      <c r="AP977" s="40"/>
      <c r="AQ977" s="40"/>
    </row>
    <row r="978">
      <c r="A978" s="40"/>
      <c r="B978" s="42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1"/>
      <c r="AM978" s="41"/>
      <c r="AN978" s="41"/>
      <c r="AO978" s="40"/>
      <c r="AP978" s="40"/>
      <c r="AQ978" s="40"/>
    </row>
    <row r="979">
      <c r="A979" s="40"/>
      <c r="B979" s="42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1"/>
      <c r="AM979" s="41"/>
      <c r="AN979" s="41"/>
      <c r="AO979" s="40"/>
      <c r="AP979" s="40"/>
      <c r="AQ979" s="40"/>
    </row>
    <row r="980">
      <c r="A980" s="40"/>
      <c r="B980" s="42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1"/>
      <c r="AM980" s="41"/>
      <c r="AN980" s="41"/>
      <c r="AO980" s="40"/>
      <c r="AP980" s="40"/>
      <c r="AQ980" s="40"/>
    </row>
    <row r="981">
      <c r="A981" s="40"/>
      <c r="B981" s="42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1"/>
      <c r="AM981" s="41"/>
      <c r="AN981" s="41"/>
      <c r="AO981" s="40"/>
      <c r="AP981" s="40"/>
      <c r="AQ981" s="40"/>
    </row>
    <row r="982">
      <c r="A982" s="40"/>
      <c r="B982" s="42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1"/>
      <c r="AM982" s="41"/>
      <c r="AN982" s="41"/>
      <c r="AO982" s="40"/>
      <c r="AP982" s="40"/>
      <c r="AQ982" s="40"/>
    </row>
    <row r="983">
      <c r="A983" s="40"/>
      <c r="B983" s="42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1"/>
      <c r="AM983" s="41"/>
      <c r="AN983" s="41"/>
      <c r="AO983" s="40"/>
      <c r="AP983" s="40"/>
      <c r="AQ983" s="40"/>
    </row>
    <row r="984">
      <c r="A984" s="40"/>
      <c r="B984" s="42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1"/>
      <c r="AM984" s="41"/>
      <c r="AN984" s="41"/>
      <c r="AO984" s="40"/>
      <c r="AP984" s="40"/>
      <c r="AQ984" s="40"/>
    </row>
    <row r="985">
      <c r="A985" s="40"/>
      <c r="B985" s="42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1"/>
      <c r="AM985" s="41"/>
      <c r="AN985" s="41"/>
      <c r="AO985" s="40"/>
      <c r="AP985" s="40"/>
      <c r="AQ985" s="40"/>
    </row>
    <row r="986">
      <c r="A986" s="40"/>
      <c r="B986" s="42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1"/>
      <c r="AM986" s="41"/>
      <c r="AN986" s="41"/>
      <c r="AO986" s="40"/>
      <c r="AP986" s="40"/>
      <c r="AQ986" s="40"/>
    </row>
    <row r="987">
      <c r="A987" s="40"/>
      <c r="B987" s="42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1"/>
      <c r="AM987" s="41"/>
      <c r="AN987" s="41"/>
      <c r="AO987" s="40"/>
      <c r="AP987" s="40"/>
      <c r="AQ987" s="40"/>
    </row>
    <row r="988">
      <c r="A988" s="40"/>
      <c r="B988" s="42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1"/>
      <c r="AM988" s="41"/>
      <c r="AN988" s="41"/>
      <c r="AO988" s="40"/>
      <c r="AP988" s="40"/>
      <c r="AQ988" s="40"/>
    </row>
    <row r="989">
      <c r="A989" s="40"/>
      <c r="B989" s="42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1"/>
      <c r="AM989" s="41"/>
      <c r="AN989" s="41"/>
      <c r="AO989" s="40"/>
      <c r="AP989" s="40"/>
      <c r="AQ989" s="40"/>
    </row>
    <row r="990">
      <c r="A990" s="40"/>
      <c r="B990" s="42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1"/>
      <c r="AM990" s="41"/>
      <c r="AN990" s="41"/>
      <c r="AO990" s="40"/>
      <c r="AP990" s="40"/>
      <c r="AQ990" s="40"/>
    </row>
    <row r="991">
      <c r="A991" s="40"/>
      <c r="B991" s="42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1"/>
      <c r="AM991" s="41"/>
      <c r="AN991" s="41"/>
      <c r="AO991" s="40"/>
      <c r="AP991" s="40"/>
      <c r="AQ991" s="40"/>
    </row>
    <row r="992">
      <c r="A992" s="40"/>
      <c r="B992" s="42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1"/>
      <c r="AM992" s="41"/>
      <c r="AN992" s="41"/>
      <c r="AO992" s="40"/>
      <c r="AP992" s="40"/>
      <c r="AQ992" s="40"/>
    </row>
    <row r="993">
      <c r="A993" s="40"/>
      <c r="B993" s="42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1"/>
      <c r="AM993" s="41"/>
      <c r="AN993" s="41"/>
      <c r="AO993" s="40"/>
      <c r="AP993" s="40"/>
      <c r="AQ993" s="40"/>
    </row>
    <row r="994">
      <c r="A994" s="40"/>
      <c r="B994" s="42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1"/>
      <c r="AM994" s="41"/>
      <c r="AN994" s="41"/>
      <c r="AO994" s="40"/>
      <c r="AP994" s="40"/>
      <c r="AQ994" s="40"/>
    </row>
    <row r="995">
      <c r="A995" s="40"/>
      <c r="B995" s="42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1"/>
      <c r="AM995" s="41"/>
      <c r="AN995" s="41"/>
      <c r="AO995" s="40"/>
      <c r="AP995" s="40"/>
      <c r="AQ995" s="40"/>
    </row>
    <row r="996">
      <c r="B996" s="39"/>
      <c r="AL996" s="43"/>
      <c r="AM996" s="43"/>
      <c r="AN996" s="43"/>
    </row>
    <row r="997">
      <c r="B997" s="39"/>
      <c r="AL997" s="43"/>
      <c r="AM997" s="43"/>
      <c r="AN997" s="43"/>
    </row>
    <row r="998">
      <c r="B998" s="39"/>
      <c r="AL998" s="43"/>
      <c r="AM998" s="43"/>
      <c r="AN998" s="43"/>
    </row>
  </sheetData>
  <mergeCells count="4">
    <mergeCell ref="A1:AK1"/>
    <mergeCell ref="A2:A4"/>
    <mergeCell ref="B2:B4"/>
    <mergeCell ref="C2:AK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6.88"/>
    <col customWidth="1" min="2" max="2" width="10.13"/>
    <col customWidth="1" min="3" max="3" width="4.13"/>
    <col customWidth="1" min="4" max="4" width="4.25"/>
    <col customWidth="1" min="5" max="5" width="3.0"/>
    <col customWidth="1" min="6" max="6" width="4.25"/>
    <col customWidth="1" min="7" max="8" width="3.0"/>
    <col customWidth="1" min="9" max="9" width="4.25"/>
    <col customWidth="1" min="10" max="18" width="3.0"/>
    <col customWidth="1" min="19" max="19" width="4.25"/>
    <col customWidth="1" min="20" max="37" width="3.0"/>
    <col customWidth="1" min="38" max="38" width="10.38"/>
    <col customWidth="1" min="39" max="40" width="12.63"/>
    <col customWidth="1" min="41" max="42" width="11.25"/>
  </cols>
  <sheetData>
    <row r="1">
      <c r="A1" s="11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7"/>
      <c r="AL1" s="2"/>
      <c r="AM1" s="2"/>
      <c r="AN1" s="2"/>
      <c r="AO1" s="1"/>
      <c r="AP1" s="1"/>
      <c r="AQ1" s="113">
        <v>46023.0</v>
      </c>
    </row>
    <row r="2">
      <c r="A2" s="4" t="s">
        <v>1</v>
      </c>
      <c r="B2" s="4" t="s">
        <v>2</v>
      </c>
      <c r="C2" s="5" t="str">
        <f>UPPER("HARI / BULAN : " &amp; TEXT(AQ1, "MMMM YYYY"))</f>
        <v>HARI / BULAN : JANUARI 2026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  <c r="AL2" s="8"/>
      <c r="AM2" s="8"/>
      <c r="AN2" s="8"/>
      <c r="AO2" s="9"/>
      <c r="AP2" s="9"/>
      <c r="AQ2" s="10"/>
    </row>
    <row r="3">
      <c r="A3" s="11"/>
      <c r="B3" s="11"/>
      <c r="C3" s="12" t="str">
        <f t="shared" ref="C3:AG3" si="1">TEXT(C4,"dddd")</f>
        <v>Kamis</v>
      </c>
      <c r="D3" s="12" t="str">
        <f t="shared" si="1"/>
        <v>Jumat</v>
      </c>
      <c r="E3" s="12" t="str">
        <f t="shared" si="1"/>
        <v>Sabtu</v>
      </c>
      <c r="F3" s="12" t="str">
        <f t="shared" si="1"/>
        <v>Minggu</v>
      </c>
      <c r="G3" s="12" t="str">
        <f t="shared" si="1"/>
        <v>Senin</v>
      </c>
      <c r="H3" s="12" t="str">
        <f t="shared" si="1"/>
        <v>Selasa</v>
      </c>
      <c r="I3" s="12" t="str">
        <f t="shared" si="1"/>
        <v>Rabu</v>
      </c>
      <c r="J3" s="12" t="str">
        <f t="shared" si="1"/>
        <v>Kamis</v>
      </c>
      <c r="K3" s="12" t="str">
        <f t="shared" si="1"/>
        <v>Jumat</v>
      </c>
      <c r="L3" s="12" t="str">
        <f t="shared" si="1"/>
        <v>Sabtu</v>
      </c>
      <c r="M3" s="12" t="str">
        <f t="shared" si="1"/>
        <v>Minggu</v>
      </c>
      <c r="N3" s="12" t="str">
        <f t="shared" si="1"/>
        <v>Senin</v>
      </c>
      <c r="O3" s="12" t="str">
        <f t="shared" si="1"/>
        <v>Selasa</v>
      </c>
      <c r="P3" s="12" t="str">
        <f t="shared" si="1"/>
        <v>Rabu</v>
      </c>
      <c r="Q3" s="12" t="str">
        <f t="shared" si="1"/>
        <v>Kamis</v>
      </c>
      <c r="R3" s="12" t="str">
        <f t="shared" si="1"/>
        <v>Jumat</v>
      </c>
      <c r="S3" s="12" t="str">
        <f t="shared" si="1"/>
        <v>Sabtu</v>
      </c>
      <c r="T3" s="12" t="str">
        <f t="shared" si="1"/>
        <v>Minggu</v>
      </c>
      <c r="U3" s="12" t="str">
        <f t="shared" si="1"/>
        <v>Senin</v>
      </c>
      <c r="V3" s="12" t="str">
        <f t="shared" si="1"/>
        <v>Selasa</v>
      </c>
      <c r="W3" s="12" t="str">
        <f t="shared" si="1"/>
        <v>Rabu</v>
      </c>
      <c r="X3" s="12" t="str">
        <f t="shared" si="1"/>
        <v>Kamis</v>
      </c>
      <c r="Y3" s="12" t="str">
        <f t="shared" si="1"/>
        <v>Jumat</v>
      </c>
      <c r="Z3" s="12" t="str">
        <f t="shared" si="1"/>
        <v>Sabtu</v>
      </c>
      <c r="AA3" s="12" t="str">
        <f t="shared" si="1"/>
        <v>Minggu</v>
      </c>
      <c r="AB3" s="12" t="str">
        <f t="shared" si="1"/>
        <v>Senin</v>
      </c>
      <c r="AC3" s="12" t="str">
        <f t="shared" si="1"/>
        <v>Selasa</v>
      </c>
      <c r="AD3" s="12" t="str">
        <f t="shared" si="1"/>
        <v>Rabu</v>
      </c>
      <c r="AE3" s="12" t="str">
        <f t="shared" si="1"/>
        <v>Kamis</v>
      </c>
      <c r="AF3" s="12" t="str">
        <f t="shared" si="1"/>
        <v>Jumat</v>
      </c>
      <c r="AG3" s="12" t="str">
        <f t="shared" si="1"/>
        <v>Sabtu</v>
      </c>
      <c r="AH3" s="13" t="s">
        <v>3</v>
      </c>
      <c r="AI3" s="13" t="s">
        <v>4</v>
      </c>
      <c r="AJ3" s="13" t="s">
        <v>5</v>
      </c>
      <c r="AK3" s="13" t="s">
        <v>6</v>
      </c>
      <c r="AL3" s="14" t="s">
        <v>7</v>
      </c>
      <c r="AM3" s="14" t="s">
        <v>8</v>
      </c>
      <c r="AN3" s="14" t="s">
        <v>9</v>
      </c>
      <c r="AO3" s="13" t="s">
        <v>10</v>
      </c>
      <c r="AP3" s="13" t="s">
        <v>509</v>
      </c>
      <c r="AQ3" s="10"/>
    </row>
    <row r="4">
      <c r="A4" s="15"/>
      <c r="B4" s="15"/>
      <c r="C4" s="16">
        <f>AQ1</f>
        <v>46023</v>
      </c>
      <c r="D4" s="16">
        <f t="shared" ref="D4:AG4" si="2">IF(AND(MONTH(C4+1) = MONTH(C4), C4&lt;&gt;""),C4  + 1, "")</f>
        <v>46024</v>
      </c>
      <c r="E4" s="16">
        <f t="shared" si="2"/>
        <v>46025</v>
      </c>
      <c r="F4" s="16">
        <f t="shared" si="2"/>
        <v>46026</v>
      </c>
      <c r="G4" s="16">
        <f t="shared" si="2"/>
        <v>46027</v>
      </c>
      <c r="H4" s="16">
        <f t="shared" si="2"/>
        <v>46028</v>
      </c>
      <c r="I4" s="16">
        <f t="shared" si="2"/>
        <v>46029</v>
      </c>
      <c r="J4" s="16">
        <f t="shared" si="2"/>
        <v>46030</v>
      </c>
      <c r="K4" s="16">
        <f t="shared" si="2"/>
        <v>46031</v>
      </c>
      <c r="L4" s="16">
        <f t="shared" si="2"/>
        <v>46032</v>
      </c>
      <c r="M4" s="16">
        <f t="shared" si="2"/>
        <v>46033</v>
      </c>
      <c r="N4" s="16">
        <f t="shared" si="2"/>
        <v>46034</v>
      </c>
      <c r="O4" s="16">
        <f t="shared" si="2"/>
        <v>46035</v>
      </c>
      <c r="P4" s="16">
        <f t="shared" si="2"/>
        <v>46036</v>
      </c>
      <c r="Q4" s="16">
        <f t="shared" si="2"/>
        <v>46037</v>
      </c>
      <c r="R4" s="16">
        <f t="shared" si="2"/>
        <v>46038</v>
      </c>
      <c r="S4" s="16">
        <f t="shared" si="2"/>
        <v>46039</v>
      </c>
      <c r="T4" s="16">
        <f t="shared" si="2"/>
        <v>46040</v>
      </c>
      <c r="U4" s="16">
        <f t="shared" si="2"/>
        <v>46041</v>
      </c>
      <c r="V4" s="16">
        <f t="shared" si="2"/>
        <v>46042</v>
      </c>
      <c r="W4" s="16">
        <f t="shared" si="2"/>
        <v>46043</v>
      </c>
      <c r="X4" s="16">
        <f t="shared" si="2"/>
        <v>46044</v>
      </c>
      <c r="Y4" s="16">
        <f t="shared" si="2"/>
        <v>46045</v>
      </c>
      <c r="Z4" s="16">
        <f t="shared" si="2"/>
        <v>46046</v>
      </c>
      <c r="AA4" s="16">
        <f t="shared" si="2"/>
        <v>46047</v>
      </c>
      <c r="AB4" s="16">
        <f t="shared" si="2"/>
        <v>46048</v>
      </c>
      <c r="AC4" s="16">
        <f t="shared" si="2"/>
        <v>46049</v>
      </c>
      <c r="AD4" s="16">
        <f t="shared" si="2"/>
        <v>46050</v>
      </c>
      <c r="AE4" s="16">
        <f t="shared" si="2"/>
        <v>46051</v>
      </c>
      <c r="AF4" s="16">
        <f t="shared" si="2"/>
        <v>46052</v>
      </c>
      <c r="AG4" s="16">
        <f t="shared" si="2"/>
        <v>46053</v>
      </c>
      <c r="AH4" s="17"/>
      <c r="AI4" s="17"/>
      <c r="AJ4" s="18"/>
      <c r="AK4" s="18"/>
      <c r="AL4" s="19"/>
      <c r="AM4" s="19"/>
      <c r="AN4" s="19"/>
      <c r="AO4" s="18"/>
      <c r="AP4" s="18"/>
      <c r="AQ4" s="10"/>
    </row>
    <row r="5">
      <c r="A5" s="20" t="str">
        <f>'MASTER STOCK'!F2</f>
        <v>Fitting Gantung</v>
      </c>
      <c r="B5" s="21">
        <f>'DES 25'!AJ:AJ</f>
        <v>8</v>
      </c>
      <c r="C5" s="22"/>
      <c r="D5" s="22"/>
      <c r="E5" s="10"/>
      <c r="F5" s="10"/>
      <c r="G5" s="22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22"/>
      <c r="AH5" s="23">
        <f t="shared" ref="AH5:AH378" si="3">SUM(C5:AG5)</f>
        <v>0</v>
      </c>
      <c r="AI5" s="24">
        <v>0.0</v>
      </c>
      <c r="AJ5" s="23">
        <f t="shared" ref="AJ5:AJ378" si="4">B5-AH5</f>
        <v>8</v>
      </c>
      <c r="AK5" s="23">
        <f t="shared" ref="AK5:AK378" si="5">AJ5-AI5</f>
        <v>8</v>
      </c>
      <c r="AL5" s="25">
        <f>'MASTER STOCK'!I2</f>
        <v>1400</v>
      </c>
      <c r="AM5" s="27">
        <f>'MASTER STOCK'!L2</f>
        <v>1820</v>
      </c>
      <c r="AN5" s="27">
        <f t="shared" ref="AN5:AN377" si="6">AH5*AM5</f>
        <v>0</v>
      </c>
      <c r="AO5" s="26">
        <f t="shared" ref="AO5:AO378" si="7">AN5-(AH5*AL5)</f>
        <v>0</v>
      </c>
      <c r="AP5" s="114">
        <f t="shared" ref="AP5:AP378" si="8">AH5*AL5</f>
        <v>0</v>
      </c>
      <c r="AQ5" s="10"/>
    </row>
    <row r="6">
      <c r="A6" s="20" t="str">
        <f>'MASTER STOCK'!F3</f>
        <v>Colokan T </v>
      </c>
      <c r="B6" s="21">
        <f>'DES 25'!AJ:AJ</f>
        <v>12</v>
      </c>
      <c r="C6" s="22"/>
      <c r="D6" s="10"/>
      <c r="E6" s="10"/>
      <c r="F6" s="10"/>
      <c r="G6" s="10"/>
      <c r="H6" s="22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22">
        <v>1.0</v>
      </c>
      <c r="AA6" s="10"/>
      <c r="AB6" s="10"/>
      <c r="AC6" s="10"/>
      <c r="AD6" s="10"/>
      <c r="AE6" s="10"/>
      <c r="AF6" s="10"/>
      <c r="AG6" s="10"/>
      <c r="AH6" s="23">
        <f t="shared" si="3"/>
        <v>1</v>
      </c>
      <c r="AI6" s="24">
        <v>0.0</v>
      </c>
      <c r="AJ6" s="23">
        <f t="shared" si="4"/>
        <v>11</v>
      </c>
      <c r="AK6" s="23">
        <f t="shared" si="5"/>
        <v>11</v>
      </c>
      <c r="AL6" s="25">
        <f>'MASTER STOCK'!I3</f>
        <v>3000</v>
      </c>
      <c r="AM6" s="27">
        <f>'MASTER STOCK'!L3</f>
        <v>3900</v>
      </c>
      <c r="AN6" s="27">
        <f t="shared" si="6"/>
        <v>3900</v>
      </c>
      <c r="AO6" s="26">
        <f t="shared" si="7"/>
        <v>900</v>
      </c>
      <c r="AP6" s="114">
        <f t="shared" si="8"/>
        <v>3000</v>
      </c>
      <c r="AQ6" s="10"/>
    </row>
    <row r="7">
      <c r="A7" s="20" t="str">
        <f>'MASTER STOCK'!F4</f>
        <v>Steker Bulat</v>
      </c>
      <c r="B7" s="21">
        <f>'DES 25'!AJ:AJ</f>
        <v>10</v>
      </c>
      <c r="C7" s="10"/>
      <c r="D7" s="10"/>
      <c r="E7" s="22"/>
      <c r="F7" s="22"/>
      <c r="G7" s="10"/>
      <c r="H7" s="10"/>
      <c r="I7" s="10"/>
      <c r="J7" s="10"/>
      <c r="K7" s="10"/>
      <c r="L7" s="10"/>
      <c r="M7" s="10"/>
      <c r="N7" s="10"/>
      <c r="O7" s="10"/>
      <c r="P7" s="10"/>
      <c r="Q7" s="22">
        <v>1.0</v>
      </c>
      <c r="R7" s="10"/>
      <c r="S7" s="10"/>
      <c r="T7" s="10"/>
      <c r="U7" s="10"/>
      <c r="V7" s="10"/>
      <c r="W7" s="10"/>
      <c r="X7" s="10"/>
      <c r="Y7" s="10"/>
      <c r="Z7" s="22">
        <v>1.0</v>
      </c>
      <c r="AA7" s="10"/>
      <c r="AB7" s="10"/>
      <c r="AC7" s="10"/>
      <c r="AD7" s="10"/>
      <c r="AE7" s="10"/>
      <c r="AF7" s="10"/>
      <c r="AG7" s="10"/>
      <c r="AH7" s="23">
        <f t="shared" si="3"/>
        <v>2</v>
      </c>
      <c r="AI7" s="24">
        <v>0.0</v>
      </c>
      <c r="AJ7" s="23">
        <f t="shared" si="4"/>
        <v>8</v>
      </c>
      <c r="AK7" s="23">
        <f t="shared" si="5"/>
        <v>8</v>
      </c>
      <c r="AL7" s="25">
        <f>'MASTER STOCK'!I4</f>
        <v>3000</v>
      </c>
      <c r="AM7" s="27">
        <f>'MASTER STOCK'!L4</f>
        <v>6000</v>
      </c>
      <c r="AN7" s="27">
        <f t="shared" si="6"/>
        <v>12000</v>
      </c>
      <c r="AO7" s="26">
        <f t="shared" si="7"/>
        <v>6000</v>
      </c>
      <c r="AP7" s="114">
        <f t="shared" si="8"/>
        <v>6000</v>
      </c>
      <c r="AQ7" s="10"/>
    </row>
    <row r="8">
      <c r="A8" s="20" t="str">
        <f>'MASTER STOCK'!F5</f>
        <v>Steker Gepeng</v>
      </c>
      <c r="B8" s="21">
        <f>'DES 25'!AJ:AJ</f>
        <v>10</v>
      </c>
      <c r="C8" s="10"/>
      <c r="D8" s="10"/>
      <c r="E8" s="10"/>
      <c r="F8" s="10"/>
      <c r="G8" s="10"/>
      <c r="H8" s="22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23">
        <f t="shared" si="3"/>
        <v>0</v>
      </c>
      <c r="AI8" s="24">
        <v>0.0</v>
      </c>
      <c r="AJ8" s="23">
        <f t="shared" si="4"/>
        <v>10</v>
      </c>
      <c r="AK8" s="23">
        <f t="shared" si="5"/>
        <v>10</v>
      </c>
      <c r="AL8" s="25">
        <f>'MASTER STOCK'!I5</f>
        <v>1100</v>
      </c>
      <c r="AM8" s="27">
        <f>'MASTER STOCK'!L5</f>
        <v>1430</v>
      </c>
      <c r="AN8" s="27">
        <f t="shared" si="6"/>
        <v>0</v>
      </c>
      <c r="AO8" s="26">
        <f t="shared" si="7"/>
        <v>0</v>
      </c>
      <c r="AP8" s="114">
        <f t="shared" si="8"/>
        <v>0</v>
      </c>
      <c r="AQ8" s="10"/>
    </row>
    <row r="9">
      <c r="A9" s="20" t="str">
        <f>'MASTER STOCK'!F6</f>
        <v>Saklar Gantung Putih jumbo</v>
      </c>
      <c r="B9" s="21">
        <f>'DES 25'!AJ:AJ</f>
        <v>7</v>
      </c>
      <c r="C9" s="10"/>
      <c r="D9" s="10"/>
      <c r="E9" s="22"/>
      <c r="F9" s="10"/>
      <c r="G9" s="22"/>
      <c r="H9" s="10"/>
      <c r="I9" s="10"/>
      <c r="J9" s="10"/>
      <c r="K9" s="10"/>
      <c r="L9" s="10"/>
      <c r="M9" s="10"/>
      <c r="N9" s="22">
        <v>1.0</v>
      </c>
      <c r="O9" s="10"/>
      <c r="P9" s="10"/>
      <c r="Q9" s="10"/>
      <c r="R9" s="10"/>
      <c r="S9" s="22"/>
      <c r="T9" s="10"/>
      <c r="U9" s="10"/>
      <c r="V9" s="22"/>
      <c r="W9" s="22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23">
        <f t="shared" si="3"/>
        <v>1</v>
      </c>
      <c r="AI9" s="24">
        <v>0.0</v>
      </c>
      <c r="AJ9" s="23">
        <f t="shared" si="4"/>
        <v>6</v>
      </c>
      <c r="AK9" s="23">
        <f t="shared" si="5"/>
        <v>6</v>
      </c>
      <c r="AL9" s="25">
        <f>'MASTER STOCK'!I6</f>
        <v>2250</v>
      </c>
      <c r="AM9" s="27">
        <f>'MASTER STOCK'!L6</f>
        <v>4000</v>
      </c>
      <c r="AN9" s="27">
        <f t="shared" si="6"/>
        <v>4000</v>
      </c>
      <c r="AO9" s="26">
        <f t="shared" si="7"/>
        <v>1750</v>
      </c>
      <c r="AP9" s="114">
        <f t="shared" si="8"/>
        <v>2250</v>
      </c>
      <c r="AQ9" s="10"/>
    </row>
    <row r="10">
      <c r="A10" s="20" t="str">
        <f>'MASTER STOCK'!F7</f>
        <v>Saklar Gantung Hitam</v>
      </c>
      <c r="B10" s="21">
        <f>'DES 25'!AJ:AJ</f>
        <v>10</v>
      </c>
      <c r="C10" s="10"/>
      <c r="D10" s="10"/>
      <c r="E10" s="10"/>
      <c r="F10" s="10"/>
      <c r="G10" s="10"/>
      <c r="H10" s="10"/>
      <c r="I10" s="10"/>
      <c r="J10" s="10"/>
      <c r="K10" s="22"/>
      <c r="L10" s="10"/>
      <c r="M10" s="10"/>
      <c r="N10" s="10"/>
      <c r="O10" s="10"/>
      <c r="P10" s="10"/>
      <c r="Q10" s="10"/>
      <c r="R10" s="10"/>
      <c r="S10" s="22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23">
        <f t="shared" si="3"/>
        <v>0</v>
      </c>
      <c r="AI10" s="24">
        <v>0.0</v>
      </c>
      <c r="AJ10" s="23">
        <f t="shared" si="4"/>
        <v>10</v>
      </c>
      <c r="AK10" s="23">
        <f t="shared" si="5"/>
        <v>10</v>
      </c>
      <c r="AL10" s="25">
        <f>'MASTER STOCK'!I7</f>
        <v>1850</v>
      </c>
      <c r="AM10" s="27">
        <f>'MASTER STOCK'!L7</f>
        <v>4000</v>
      </c>
      <c r="AN10" s="27">
        <f t="shared" si="6"/>
        <v>0</v>
      </c>
      <c r="AO10" s="26">
        <f t="shared" si="7"/>
        <v>0</v>
      </c>
      <c r="AP10" s="114">
        <f t="shared" si="8"/>
        <v>0</v>
      </c>
      <c r="AQ10" s="10"/>
    </row>
    <row r="11">
      <c r="A11" s="20" t="str">
        <f>'MASTER STOCK'!F8</f>
        <v>Isolasi Hitam National</v>
      </c>
      <c r="B11" s="21">
        <f>'DES 25'!AJ:AJ</f>
        <v>19</v>
      </c>
      <c r="C11" s="10"/>
      <c r="D11" s="10"/>
      <c r="E11" s="10"/>
      <c r="F11" s="10"/>
      <c r="G11" s="22"/>
      <c r="H11" s="10"/>
      <c r="I11" s="10"/>
      <c r="J11" s="10"/>
      <c r="K11" s="10"/>
      <c r="L11" s="10"/>
      <c r="M11" s="10"/>
      <c r="N11" s="22">
        <v>1.0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22">
        <v>1.0</v>
      </c>
      <c r="AA11" s="10"/>
      <c r="AB11" s="10"/>
      <c r="AC11" s="10"/>
      <c r="AD11" s="22"/>
      <c r="AE11" s="10"/>
      <c r="AF11" s="10"/>
      <c r="AG11" s="10"/>
      <c r="AH11" s="23">
        <f t="shared" si="3"/>
        <v>2</v>
      </c>
      <c r="AI11" s="24">
        <v>0.0</v>
      </c>
      <c r="AJ11" s="23">
        <f t="shared" si="4"/>
        <v>17</v>
      </c>
      <c r="AK11" s="23">
        <f t="shared" si="5"/>
        <v>17</v>
      </c>
      <c r="AL11" s="25">
        <f>'MASTER STOCK'!I8</f>
        <v>5150</v>
      </c>
      <c r="AM11" s="27">
        <f>'MASTER STOCK'!L8</f>
        <v>7982.5</v>
      </c>
      <c r="AN11" s="27">
        <f t="shared" si="6"/>
        <v>15965</v>
      </c>
      <c r="AO11" s="26">
        <f t="shared" si="7"/>
        <v>5665</v>
      </c>
      <c r="AP11" s="114">
        <f t="shared" si="8"/>
        <v>10300</v>
      </c>
      <c r="AQ11" s="10"/>
    </row>
    <row r="12">
      <c r="A12" s="20" t="str">
        <f>'MASTER STOCK'!F9</f>
        <v>Lem PVC Isarplas 40gram</v>
      </c>
      <c r="B12" s="21">
        <f>'DES 25'!AJ:AJ</f>
        <v>21</v>
      </c>
      <c r="C12" s="22">
        <v>1.0</v>
      </c>
      <c r="D12" s="10"/>
      <c r="E12" s="10"/>
      <c r="F12" s="10"/>
      <c r="G12" s="10"/>
      <c r="H12" s="10"/>
      <c r="I12" s="22"/>
      <c r="J12" s="10"/>
      <c r="K12" s="10"/>
      <c r="L12" s="10"/>
      <c r="M12" s="10"/>
      <c r="N12" s="22">
        <v>1.0</v>
      </c>
      <c r="O12" s="10"/>
      <c r="P12" s="10"/>
      <c r="Q12" s="22">
        <v>1.0</v>
      </c>
      <c r="R12" s="10"/>
      <c r="S12" s="22"/>
      <c r="T12" s="10"/>
      <c r="U12" s="10"/>
      <c r="V12" s="10"/>
      <c r="W12" s="10"/>
      <c r="X12" s="10"/>
      <c r="Y12" s="22"/>
      <c r="Z12" s="10"/>
      <c r="AA12" s="10"/>
      <c r="AB12" s="10"/>
      <c r="AC12" s="10"/>
      <c r="AD12" s="10"/>
      <c r="AE12" s="10"/>
      <c r="AF12" s="10"/>
      <c r="AG12" s="10"/>
      <c r="AH12" s="23">
        <f t="shared" si="3"/>
        <v>3</v>
      </c>
      <c r="AI12" s="24">
        <v>0.0</v>
      </c>
      <c r="AJ12" s="23">
        <f t="shared" si="4"/>
        <v>18</v>
      </c>
      <c r="AK12" s="23">
        <f t="shared" si="5"/>
        <v>18</v>
      </c>
      <c r="AL12" s="25">
        <f>'MASTER STOCK'!I9</f>
        <v>6900</v>
      </c>
      <c r="AM12" s="27">
        <f>'MASTER STOCK'!L9</f>
        <v>9500</v>
      </c>
      <c r="AN12" s="27">
        <f t="shared" si="6"/>
        <v>28500</v>
      </c>
      <c r="AO12" s="26">
        <f t="shared" si="7"/>
        <v>7800</v>
      </c>
      <c r="AP12" s="114">
        <f t="shared" si="8"/>
        <v>20700</v>
      </c>
      <c r="AQ12" s="10"/>
    </row>
    <row r="13">
      <c r="A13" s="20" t="str">
        <f>'MASTER STOCK'!F10</f>
        <v>Isolasi Kran air onda </v>
      </c>
      <c r="B13" s="21">
        <f>'DES 25'!AJ:AJ</f>
        <v>60</v>
      </c>
      <c r="C13" s="23"/>
      <c r="D13" s="23"/>
      <c r="E13" s="23"/>
      <c r="F13" s="2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23">
        <f t="shared" si="3"/>
        <v>0</v>
      </c>
      <c r="AI13" s="24">
        <v>0.0</v>
      </c>
      <c r="AJ13" s="23">
        <f t="shared" si="4"/>
        <v>60</v>
      </c>
      <c r="AK13" s="23">
        <f t="shared" si="5"/>
        <v>60</v>
      </c>
      <c r="AL13" s="25">
        <f>'MASTER STOCK'!I10</f>
        <v>1150</v>
      </c>
      <c r="AM13" s="27">
        <f>'MASTER STOCK'!L10</f>
        <v>1495</v>
      </c>
      <c r="AN13" s="27">
        <f t="shared" si="6"/>
        <v>0</v>
      </c>
      <c r="AO13" s="26">
        <f t="shared" si="7"/>
        <v>0</v>
      </c>
      <c r="AP13" s="114">
        <f t="shared" si="8"/>
        <v>0</v>
      </c>
      <c r="AQ13" s="10"/>
    </row>
    <row r="14">
      <c r="A14" s="20" t="str">
        <f>'MASTER STOCK'!F11</f>
        <v>Tutup Pipa 3/4"</v>
      </c>
      <c r="B14" s="21">
        <f>'DES 25'!AJ:AJ</f>
        <v>50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23">
        <f t="shared" si="3"/>
        <v>0</v>
      </c>
      <c r="AI14" s="24">
        <v>0.0</v>
      </c>
      <c r="AJ14" s="23">
        <f t="shared" si="4"/>
        <v>50</v>
      </c>
      <c r="AK14" s="23">
        <f t="shared" si="5"/>
        <v>50</v>
      </c>
      <c r="AL14" s="25">
        <f>'MASTER STOCK'!I11</f>
        <v>850</v>
      </c>
      <c r="AM14" s="27">
        <f>'MASTER STOCK'!L11</f>
        <v>1275</v>
      </c>
      <c r="AN14" s="27">
        <f t="shared" si="6"/>
        <v>0</v>
      </c>
      <c r="AO14" s="26">
        <f t="shared" si="7"/>
        <v>0</v>
      </c>
      <c r="AP14" s="114">
        <f t="shared" si="8"/>
        <v>0</v>
      </c>
      <c r="AQ14" s="10"/>
    </row>
    <row r="15">
      <c r="A15" s="20" t="str">
        <f>'MASTER STOCK'!F12</f>
        <v>Fitting lampu gantung outdoor (10 m 5 fitting)</v>
      </c>
      <c r="B15" s="21">
        <f>'DES 25'!AJ:AJ</f>
        <v>1</v>
      </c>
      <c r="C15" s="28"/>
      <c r="D15" s="28"/>
      <c r="E15" s="28"/>
      <c r="F15" s="28"/>
      <c r="G15" s="10"/>
      <c r="H15" s="10"/>
      <c r="I15" s="2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23">
        <f t="shared" si="3"/>
        <v>0</v>
      </c>
      <c r="AI15" s="24">
        <v>0.0</v>
      </c>
      <c r="AJ15" s="23">
        <f t="shared" si="4"/>
        <v>1</v>
      </c>
      <c r="AK15" s="23">
        <f t="shared" si="5"/>
        <v>1</v>
      </c>
      <c r="AL15" s="25">
        <f>'MASTER STOCK'!I12</f>
        <v>38000</v>
      </c>
      <c r="AM15" s="27">
        <f>'MASTER STOCK'!L12</f>
        <v>49400</v>
      </c>
      <c r="AN15" s="27">
        <f t="shared" si="6"/>
        <v>0</v>
      </c>
      <c r="AO15" s="26">
        <f t="shared" si="7"/>
        <v>0</v>
      </c>
      <c r="AP15" s="114">
        <f t="shared" si="8"/>
        <v>0</v>
      </c>
      <c r="AQ15" s="10"/>
    </row>
    <row r="16">
      <c r="A16" s="20" t="str">
        <f>'MASTER STOCK'!F13</f>
        <v>Obeng karet 4" plus</v>
      </c>
      <c r="B16" s="21">
        <f>'DES 25'!AJ:AJ</f>
        <v>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23">
        <f t="shared" si="3"/>
        <v>0</v>
      </c>
      <c r="AI16" s="24">
        <v>0.0</v>
      </c>
      <c r="AJ16" s="23">
        <f t="shared" si="4"/>
        <v>5</v>
      </c>
      <c r="AK16" s="23">
        <f t="shared" si="5"/>
        <v>5</v>
      </c>
      <c r="AL16" s="25">
        <f>'MASTER STOCK'!I13</f>
        <v>5500</v>
      </c>
      <c r="AM16" s="27">
        <f>'MASTER STOCK'!L13</f>
        <v>7150</v>
      </c>
      <c r="AN16" s="27">
        <f t="shared" si="6"/>
        <v>0</v>
      </c>
      <c r="AO16" s="26">
        <f t="shared" si="7"/>
        <v>0</v>
      </c>
      <c r="AP16" s="114">
        <f t="shared" si="8"/>
        <v>0</v>
      </c>
      <c r="AQ16" s="10"/>
    </row>
    <row r="17">
      <c r="A17" s="20" t="str">
        <f>'MASTER STOCK'!F14</f>
        <v>Obeng karet 4" minus</v>
      </c>
      <c r="B17" s="21">
        <f>'DES 25'!AJ:AJ</f>
        <v>4</v>
      </c>
      <c r="C17" s="28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22"/>
      <c r="T17" s="22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23">
        <f t="shared" si="3"/>
        <v>0</v>
      </c>
      <c r="AI17" s="24">
        <v>0.0</v>
      </c>
      <c r="AJ17" s="23">
        <f t="shared" si="4"/>
        <v>4</v>
      </c>
      <c r="AK17" s="23">
        <f t="shared" si="5"/>
        <v>4</v>
      </c>
      <c r="AL17" s="25">
        <f>'MASTER STOCK'!I14</f>
        <v>5500</v>
      </c>
      <c r="AM17" s="27">
        <f>'MASTER STOCK'!L14</f>
        <v>7150</v>
      </c>
      <c r="AN17" s="27">
        <f t="shared" si="6"/>
        <v>0</v>
      </c>
      <c r="AO17" s="26">
        <f t="shared" si="7"/>
        <v>0</v>
      </c>
      <c r="AP17" s="114">
        <f t="shared" si="8"/>
        <v>0</v>
      </c>
      <c r="AQ17" s="10"/>
    </row>
    <row r="18">
      <c r="A18" s="20" t="str">
        <f>'MASTER STOCK'!F15</f>
        <v>Obeng karet 6" plus</v>
      </c>
      <c r="B18" s="21">
        <f>'DES 25'!AJ:AJ</f>
        <v>5</v>
      </c>
      <c r="C18" s="28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23">
        <f t="shared" si="3"/>
        <v>0</v>
      </c>
      <c r="AI18" s="24">
        <v>0.0</v>
      </c>
      <c r="AJ18" s="23">
        <f t="shared" si="4"/>
        <v>5</v>
      </c>
      <c r="AK18" s="23">
        <f t="shared" si="5"/>
        <v>5</v>
      </c>
      <c r="AL18" s="25">
        <f>'MASTER STOCK'!I15</f>
        <v>7000</v>
      </c>
      <c r="AM18" s="27">
        <f>'MASTER STOCK'!L15</f>
        <v>9100</v>
      </c>
      <c r="AN18" s="27">
        <f t="shared" si="6"/>
        <v>0</v>
      </c>
      <c r="AO18" s="26">
        <f t="shared" si="7"/>
        <v>0</v>
      </c>
      <c r="AP18" s="114">
        <f t="shared" si="8"/>
        <v>0</v>
      </c>
      <c r="AQ18" s="10"/>
    </row>
    <row r="19">
      <c r="A19" s="20" t="str">
        <f>'MASTER STOCK'!F16</f>
        <v>Obeng karet 6" Minus</v>
      </c>
      <c r="B19" s="21">
        <f>'DES 25'!AJ:AJ</f>
        <v>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22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23">
        <f t="shared" si="3"/>
        <v>0</v>
      </c>
      <c r="AI19" s="24">
        <v>0.0</v>
      </c>
      <c r="AJ19" s="23">
        <f t="shared" si="4"/>
        <v>5</v>
      </c>
      <c r="AK19" s="23">
        <f t="shared" si="5"/>
        <v>5</v>
      </c>
      <c r="AL19" s="25">
        <f>'MASTER STOCK'!I16</f>
        <v>7000</v>
      </c>
      <c r="AM19" s="27">
        <f>'MASTER STOCK'!L16</f>
        <v>9100</v>
      </c>
      <c r="AN19" s="27">
        <f t="shared" si="6"/>
        <v>0</v>
      </c>
      <c r="AO19" s="26">
        <f t="shared" si="7"/>
        <v>0</v>
      </c>
      <c r="AP19" s="114">
        <f t="shared" si="8"/>
        <v>0</v>
      </c>
      <c r="AQ19" s="10"/>
    </row>
    <row r="20">
      <c r="A20" s="20" t="str">
        <f>'MASTER STOCK'!F17</f>
        <v>Kabel Awg 24 Double 2x18 merah hitam</v>
      </c>
      <c r="B20" s="21">
        <f>'DES 25'!AJ:AJ</f>
        <v>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23">
        <f t="shared" si="3"/>
        <v>0</v>
      </c>
      <c r="AI20" s="24">
        <v>0.0</v>
      </c>
      <c r="AJ20" s="23">
        <f t="shared" si="4"/>
        <v>2</v>
      </c>
      <c r="AK20" s="23">
        <f t="shared" si="5"/>
        <v>2</v>
      </c>
      <c r="AL20" s="25">
        <f>'MASTER STOCK'!I17</f>
        <v>106500</v>
      </c>
      <c r="AM20" s="27">
        <f>'MASTER STOCK'!L17</f>
        <v>181050</v>
      </c>
      <c r="AN20" s="27">
        <f t="shared" si="6"/>
        <v>0</v>
      </c>
      <c r="AO20" s="26">
        <f t="shared" si="7"/>
        <v>0</v>
      </c>
      <c r="AP20" s="114">
        <f t="shared" si="8"/>
        <v>0</v>
      </c>
      <c r="AQ20" s="10"/>
    </row>
    <row r="21">
      <c r="A21" s="20" t="str">
        <f>'MASTER STOCK'!F18</f>
        <v>Kabel bintik serabut tembaga motor mobil 20mx0.5mm/0,85mm merah 0,5mm</v>
      </c>
      <c r="B21" s="21">
        <f>'DES 25'!AJ:AJ</f>
        <v>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22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23">
        <f t="shared" si="3"/>
        <v>0</v>
      </c>
      <c r="AI21" s="24">
        <v>0.0</v>
      </c>
      <c r="AJ21" s="23">
        <f t="shared" si="4"/>
        <v>2</v>
      </c>
      <c r="AK21" s="23">
        <f t="shared" si="5"/>
        <v>2</v>
      </c>
      <c r="AL21" s="25">
        <f>'MASTER STOCK'!I18</f>
        <v>33700</v>
      </c>
      <c r="AM21" s="27">
        <f>'MASTER STOCK'!L18</f>
        <v>57290</v>
      </c>
      <c r="AN21" s="27">
        <f t="shared" si="6"/>
        <v>0</v>
      </c>
      <c r="AO21" s="26">
        <f t="shared" si="7"/>
        <v>0</v>
      </c>
      <c r="AP21" s="114">
        <f t="shared" si="8"/>
        <v>0</v>
      </c>
      <c r="AQ21" s="10"/>
    </row>
    <row r="22">
      <c r="A22" s="20" t="str">
        <f>'MASTER STOCK'!F19</f>
        <v>Kabel bintik serabut tembaga motor mobil 20mx0.5mm/0,85mm hitam 0,5mm</v>
      </c>
      <c r="B22" s="21">
        <f>'DES 25'!AJ:AJ</f>
        <v>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22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23">
        <f t="shared" si="3"/>
        <v>0</v>
      </c>
      <c r="AI22" s="24">
        <v>0.0</v>
      </c>
      <c r="AJ22" s="23">
        <f t="shared" si="4"/>
        <v>2</v>
      </c>
      <c r="AK22" s="23">
        <f t="shared" si="5"/>
        <v>2</v>
      </c>
      <c r="AL22" s="25">
        <f>'MASTER STOCK'!I19</f>
        <v>33700</v>
      </c>
      <c r="AM22" s="27">
        <f>'MASTER STOCK'!L19</f>
        <v>57290</v>
      </c>
      <c r="AN22" s="27">
        <f t="shared" si="6"/>
        <v>0</v>
      </c>
      <c r="AO22" s="26">
        <f t="shared" si="7"/>
        <v>0</v>
      </c>
      <c r="AP22" s="114">
        <f t="shared" si="8"/>
        <v>0</v>
      </c>
      <c r="AQ22" s="10"/>
    </row>
    <row r="23">
      <c r="A23" s="20" t="str">
        <f>'MASTER STOCK'!F20</f>
        <v>Mata Gerinda keramik 4 inch kering</v>
      </c>
      <c r="B23" s="21">
        <f>'DES 25'!AJ:AJ</f>
        <v>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23">
        <f t="shared" si="3"/>
        <v>0</v>
      </c>
      <c r="AI23" s="24">
        <v>0.0</v>
      </c>
      <c r="AJ23" s="23">
        <f t="shared" si="4"/>
        <v>5</v>
      </c>
      <c r="AK23" s="23">
        <f t="shared" si="5"/>
        <v>5</v>
      </c>
      <c r="AL23" s="25">
        <f>'MASTER STOCK'!I20</f>
        <v>12000</v>
      </c>
      <c r="AM23" s="27">
        <f>'MASTER STOCK'!L20</f>
        <v>18000</v>
      </c>
      <c r="AN23" s="27">
        <f t="shared" si="6"/>
        <v>0</v>
      </c>
      <c r="AO23" s="26">
        <f t="shared" si="7"/>
        <v>0</v>
      </c>
      <c r="AP23" s="114">
        <f t="shared" si="8"/>
        <v>0</v>
      </c>
      <c r="AQ23" s="10"/>
    </row>
    <row r="24">
      <c r="A24" s="20" t="str">
        <f>'MASTER STOCK'!F21</f>
        <v>Kabel tunggal serabut 0.8mmx25m biru 25m</v>
      </c>
      <c r="B24" s="21">
        <f>'DES 25'!AJ:AJ</f>
        <v>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23">
        <f t="shared" si="3"/>
        <v>0</v>
      </c>
      <c r="AI24" s="24">
        <v>0.0</v>
      </c>
      <c r="AJ24" s="23">
        <f t="shared" si="4"/>
        <v>1</v>
      </c>
      <c r="AK24" s="23">
        <f t="shared" si="5"/>
        <v>1</v>
      </c>
      <c r="AL24" s="25">
        <f>'MASTER STOCK'!I21</f>
        <v>17500</v>
      </c>
      <c r="AM24" s="27">
        <f>'MASTER STOCK'!L21</f>
        <v>29750</v>
      </c>
      <c r="AN24" s="27">
        <f t="shared" si="6"/>
        <v>0</v>
      </c>
      <c r="AO24" s="26">
        <f t="shared" si="7"/>
        <v>0</v>
      </c>
      <c r="AP24" s="114">
        <f t="shared" si="8"/>
        <v>0</v>
      </c>
      <c r="AQ24" s="10"/>
    </row>
    <row r="25">
      <c r="A25" s="20" t="str">
        <f>'MASTER STOCK'!F22</f>
        <v>Kabel tunggal serabut 0.8mmx25m Hitam 25m</v>
      </c>
      <c r="B25" s="21">
        <f>'DES 25'!AJ:AJ</f>
        <v>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23">
        <f t="shared" si="3"/>
        <v>0</v>
      </c>
      <c r="AI25" s="24">
        <v>0.0</v>
      </c>
      <c r="AJ25" s="23">
        <f t="shared" si="4"/>
        <v>1</v>
      </c>
      <c r="AK25" s="23">
        <f t="shared" si="5"/>
        <v>1</v>
      </c>
      <c r="AL25" s="25">
        <f>'MASTER STOCK'!I22</f>
        <v>17500</v>
      </c>
      <c r="AM25" s="27">
        <f>'MASTER STOCK'!L22</f>
        <v>29750</v>
      </c>
      <c r="AN25" s="27">
        <f t="shared" si="6"/>
        <v>0</v>
      </c>
      <c r="AO25" s="26">
        <f t="shared" si="7"/>
        <v>0</v>
      </c>
      <c r="AP25" s="114">
        <f t="shared" si="8"/>
        <v>0</v>
      </c>
      <c r="AQ25" s="10"/>
    </row>
    <row r="26">
      <c r="A26" s="20" t="str">
        <f>'MASTER STOCK'!F23</f>
        <v>Lampu Hias LED strip USB 10m+adaptor </v>
      </c>
      <c r="B26" s="21">
        <f>'DES 25'!AJ:AJ</f>
        <v>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23">
        <f t="shared" si="3"/>
        <v>0</v>
      </c>
      <c r="AI26" s="24">
        <v>0.0</v>
      </c>
      <c r="AJ26" s="23">
        <f t="shared" si="4"/>
        <v>2</v>
      </c>
      <c r="AK26" s="23">
        <f t="shared" si="5"/>
        <v>2</v>
      </c>
      <c r="AL26" s="25">
        <f>'MASTER STOCK'!I23</f>
        <v>50000</v>
      </c>
      <c r="AM26" s="27">
        <f>'MASTER STOCK'!L23</f>
        <v>65000</v>
      </c>
      <c r="AN26" s="27">
        <f t="shared" si="6"/>
        <v>0</v>
      </c>
      <c r="AO26" s="26">
        <f t="shared" si="7"/>
        <v>0</v>
      </c>
      <c r="AP26" s="114">
        <f t="shared" si="8"/>
        <v>0</v>
      </c>
      <c r="AQ26" s="10"/>
    </row>
    <row r="27">
      <c r="A27" s="20" t="str">
        <f>'MASTER STOCK'!F24</f>
        <v>Lampu LED strip outdoor rainbow 10m +adaptor</v>
      </c>
      <c r="B27" s="21">
        <f>'DES 25'!AJ:AJ</f>
        <v>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23">
        <f t="shared" si="3"/>
        <v>0</v>
      </c>
      <c r="AI27" s="24">
        <v>0.0</v>
      </c>
      <c r="AJ27" s="23">
        <f t="shared" si="4"/>
        <v>5</v>
      </c>
      <c r="AK27" s="23">
        <f t="shared" si="5"/>
        <v>5</v>
      </c>
      <c r="AL27" s="25">
        <f>'MASTER STOCK'!I24</f>
        <v>27000</v>
      </c>
      <c r="AM27" s="27">
        <f>'MASTER STOCK'!L24</f>
        <v>35100</v>
      </c>
      <c r="AN27" s="27">
        <f t="shared" si="6"/>
        <v>0</v>
      </c>
      <c r="AO27" s="26">
        <f t="shared" si="7"/>
        <v>0</v>
      </c>
      <c r="AP27" s="114">
        <f t="shared" si="8"/>
        <v>0</v>
      </c>
      <c r="AQ27" s="10"/>
    </row>
    <row r="28">
      <c r="A28" s="20" t="str">
        <f>'MASTER STOCK'!F25</f>
        <v>Lampu LED strip outdoor merah putih 10m +adaptor</v>
      </c>
      <c r="B28" s="21">
        <f>'DES 25'!AJ:AJ</f>
        <v>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22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23">
        <f t="shared" si="3"/>
        <v>0</v>
      </c>
      <c r="AI28" s="24">
        <v>0.0</v>
      </c>
      <c r="AJ28" s="23">
        <f t="shared" si="4"/>
        <v>4</v>
      </c>
      <c r="AK28" s="23">
        <f t="shared" si="5"/>
        <v>4</v>
      </c>
      <c r="AL28" s="25">
        <f>'MASTER STOCK'!I25</f>
        <v>30000</v>
      </c>
      <c r="AM28" s="27">
        <f>'MASTER STOCK'!L25</f>
        <v>40500</v>
      </c>
      <c r="AN28" s="27">
        <f t="shared" si="6"/>
        <v>0</v>
      </c>
      <c r="AO28" s="26">
        <f t="shared" si="7"/>
        <v>0</v>
      </c>
      <c r="AP28" s="114">
        <f t="shared" si="8"/>
        <v>0</v>
      </c>
      <c r="AQ28" s="10"/>
    </row>
    <row r="29">
      <c r="A29" s="20" t="str">
        <f>'MASTER STOCK'!F26</f>
        <v>Lampu tumbler 10m (rainbow)</v>
      </c>
      <c r="B29" s="21">
        <f>'DES 25'!AJ:AJ</f>
        <v>5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23">
        <f t="shared" si="3"/>
        <v>0</v>
      </c>
      <c r="AI29" s="24">
        <v>0.0</v>
      </c>
      <c r="AJ29" s="23">
        <f t="shared" si="4"/>
        <v>5</v>
      </c>
      <c r="AK29" s="23">
        <f t="shared" si="5"/>
        <v>5</v>
      </c>
      <c r="AL29" s="25">
        <f>'MASTER STOCK'!I26</f>
        <v>11000</v>
      </c>
      <c r="AM29" s="27">
        <f>'MASTER STOCK'!L26</f>
        <v>14300</v>
      </c>
      <c r="AN29" s="27">
        <f t="shared" si="6"/>
        <v>0</v>
      </c>
      <c r="AO29" s="26">
        <f t="shared" si="7"/>
        <v>0</v>
      </c>
      <c r="AP29" s="114">
        <f t="shared" si="8"/>
        <v>0</v>
      </c>
      <c r="AQ29" s="10"/>
    </row>
    <row r="30">
      <c r="A30" s="20" t="str">
        <f>'MASTER STOCK'!F27</f>
        <v>WD Gerinda potong besi</v>
      </c>
      <c r="B30" s="21">
        <f>'DES 25'!AJ:AJ</f>
        <v>56</v>
      </c>
      <c r="C30" s="22">
        <v>1.0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22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23">
        <f t="shared" si="3"/>
        <v>1</v>
      </c>
      <c r="AI30" s="24">
        <v>0.0</v>
      </c>
      <c r="AJ30" s="23">
        <f t="shared" si="4"/>
        <v>55</v>
      </c>
      <c r="AK30" s="23">
        <f t="shared" si="5"/>
        <v>55</v>
      </c>
      <c r="AL30" s="25">
        <f>'MASTER STOCK'!I27</f>
        <v>2900</v>
      </c>
      <c r="AM30" s="27">
        <f>'MASTER STOCK'!L27</f>
        <v>5000</v>
      </c>
      <c r="AN30" s="27">
        <f t="shared" si="6"/>
        <v>5000</v>
      </c>
      <c r="AO30" s="26">
        <f t="shared" si="7"/>
        <v>2100</v>
      </c>
      <c r="AP30" s="114">
        <f t="shared" si="8"/>
        <v>2900</v>
      </c>
      <c r="AQ30" s="10"/>
    </row>
    <row r="31">
      <c r="A31" s="20" t="str">
        <f>'MASTER STOCK'!F28</f>
        <v>Meteran karet 7,5m (merk HPP)</v>
      </c>
      <c r="B31" s="21">
        <f>'DES 25'!AJ:AJ</f>
        <v>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23">
        <f t="shared" si="3"/>
        <v>0</v>
      </c>
      <c r="AI31" s="24">
        <v>0.0</v>
      </c>
      <c r="AJ31" s="23">
        <f t="shared" si="4"/>
        <v>3</v>
      </c>
      <c r="AK31" s="23">
        <f t="shared" si="5"/>
        <v>3</v>
      </c>
      <c r="AL31" s="25">
        <f>'MASTER STOCK'!I28</f>
        <v>12800</v>
      </c>
      <c r="AM31" s="27">
        <f>'MASTER STOCK'!L28</f>
        <v>16640</v>
      </c>
      <c r="AN31" s="27">
        <f t="shared" si="6"/>
        <v>0</v>
      </c>
      <c r="AO31" s="26">
        <f t="shared" si="7"/>
        <v>0</v>
      </c>
      <c r="AP31" s="114">
        <f t="shared" si="8"/>
        <v>0</v>
      </c>
      <c r="AQ31" s="10"/>
    </row>
    <row r="32">
      <c r="A32" s="20" t="str">
        <f>'MASTER STOCK'!F29</f>
        <v>Meteran karet 5m (merk VPR)</v>
      </c>
      <c r="B32" s="21">
        <f>'DES 25'!AJ:AJ</f>
        <v>3</v>
      </c>
      <c r="C32" s="22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23">
        <f t="shared" si="3"/>
        <v>0</v>
      </c>
      <c r="AI32" s="24">
        <v>0.0</v>
      </c>
      <c r="AJ32" s="23">
        <f t="shared" si="4"/>
        <v>3</v>
      </c>
      <c r="AK32" s="23">
        <f t="shared" si="5"/>
        <v>3</v>
      </c>
      <c r="AL32" s="25">
        <f>'MASTER STOCK'!I29</f>
        <v>7000</v>
      </c>
      <c r="AM32" s="27">
        <f>'MASTER STOCK'!L29</f>
        <v>9100</v>
      </c>
      <c r="AN32" s="27">
        <f t="shared" si="6"/>
        <v>0</v>
      </c>
      <c r="AO32" s="26">
        <f t="shared" si="7"/>
        <v>0</v>
      </c>
      <c r="AP32" s="114">
        <f t="shared" si="8"/>
        <v>0</v>
      </c>
      <c r="AQ32" s="10"/>
    </row>
    <row r="33">
      <c r="A33" s="20" t="str">
        <f>'MASTER STOCK'!F30</f>
        <v>Kuas cat 2 1/2" (merk MDN)</v>
      </c>
      <c r="B33" s="21">
        <f>'DES 25'!AJ:AJ</f>
        <v>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23">
        <f t="shared" si="3"/>
        <v>0</v>
      </c>
      <c r="AI33" s="24">
        <v>0.0</v>
      </c>
      <c r="AJ33" s="23">
        <f t="shared" si="4"/>
        <v>5</v>
      </c>
      <c r="AK33" s="23">
        <f t="shared" si="5"/>
        <v>5</v>
      </c>
      <c r="AL33" s="25">
        <f>'MASTER STOCK'!I30</f>
        <v>5300</v>
      </c>
      <c r="AM33" s="27">
        <f>'MASTER STOCK'!L30</f>
        <v>6890</v>
      </c>
      <c r="AN33" s="27">
        <f t="shared" si="6"/>
        <v>0</v>
      </c>
      <c r="AO33" s="26">
        <f t="shared" si="7"/>
        <v>0</v>
      </c>
      <c r="AP33" s="114">
        <f t="shared" si="8"/>
        <v>0</v>
      </c>
      <c r="AQ33" s="10"/>
    </row>
    <row r="34">
      <c r="A34" s="20" t="str">
        <f>'MASTER STOCK'!F31</f>
        <v>Kuas cat 2" (merk MDN)</v>
      </c>
      <c r="B34" s="21">
        <f>'DES 25'!AJ:AJ</f>
        <v>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23">
        <f t="shared" si="3"/>
        <v>0</v>
      </c>
      <c r="AI34" s="24">
        <v>0.0</v>
      </c>
      <c r="AJ34" s="23">
        <f t="shared" si="4"/>
        <v>5</v>
      </c>
      <c r="AK34" s="23">
        <f t="shared" si="5"/>
        <v>5</v>
      </c>
      <c r="AL34" s="25">
        <f>'MASTER STOCK'!I31</f>
        <v>4400</v>
      </c>
      <c r="AM34" s="27">
        <f>'MASTER STOCK'!L31</f>
        <v>5720</v>
      </c>
      <c r="AN34" s="27">
        <f t="shared" si="6"/>
        <v>0</v>
      </c>
      <c r="AO34" s="26">
        <f t="shared" si="7"/>
        <v>0</v>
      </c>
      <c r="AP34" s="114">
        <f t="shared" si="8"/>
        <v>0</v>
      </c>
      <c r="AQ34" s="10"/>
    </row>
    <row r="35">
      <c r="A35" s="20" t="str">
        <f>'MASTER STOCK'!F32</f>
        <v>Kuas cat 3" (merk MDN)</v>
      </c>
      <c r="B35" s="21">
        <f>'DES 25'!AJ:AJ</f>
        <v>3</v>
      </c>
      <c r="C35" s="22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22"/>
      <c r="R35" s="10"/>
      <c r="S35" s="10"/>
      <c r="T35" s="22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23">
        <f t="shared" si="3"/>
        <v>0</v>
      </c>
      <c r="AI35" s="24">
        <v>0.0</v>
      </c>
      <c r="AJ35" s="23">
        <f t="shared" si="4"/>
        <v>3</v>
      </c>
      <c r="AK35" s="23">
        <f t="shared" si="5"/>
        <v>3</v>
      </c>
      <c r="AL35" s="25">
        <f>'MASTER STOCK'!I32</f>
        <v>6300</v>
      </c>
      <c r="AM35" s="27">
        <f>'MASTER STOCK'!L32</f>
        <v>8190</v>
      </c>
      <c r="AN35" s="27">
        <f t="shared" si="6"/>
        <v>0</v>
      </c>
      <c r="AO35" s="26">
        <f t="shared" si="7"/>
        <v>0</v>
      </c>
      <c r="AP35" s="114">
        <f t="shared" si="8"/>
        <v>0</v>
      </c>
      <c r="AQ35" s="10"/>
    </row>
    <row r="36">
      <c r="A36" s="20" t="str">
        <f>'MASTER STOCK'!F33</f>
        <v>Kuas cat 1 1/2" (merk MDN)</v>
      </c>
      <c r="B36" s="21">
        <f>'DES 25'!AJ:AJ</f>
        <v>3</v>
      </c>
      <c r="C36" s="22">
        <v>1.0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22"/>
      <c r="X36" s="10"/>
      <c r="Y36" s="10"/>
      <c r="Z36" s="10"/>
      <c r="AA36" s="10"/>
      <c r="AB36" s="22"/>
      <c r="AC36" s="10"/>
      <c r="AD36" s="10"/>
      <c r="AE36" s="10"/>
      <c r="AF36" s="10"/>
      <c r="AG36" s="10"/>
      <c r="AH36" s="23">
        <f t="shared" si="3"/>
        <v>1</v>
      </c>
      <c r="AI36" s="24">
        <v>0.0</v>
      </c>
      <c r="AJ36" s="23">
        <f t="shared" si="4"/>
        <v>2</v>
      </c>
      <c r="AK36" s="23">
        <f t="shared" si="5"/>
        <v>2</v>
      </c>
      <c r="AL36" s="25">
        <f>'MASTER STOCK'!I33</f>
        <v>3400</v>
      </c>
      <c r="AM36" s="27">
        <f>'MASTER STOCK'!L33</f>
        <v>4420</v>
      </c>
      <c r="AN36" s="27">
        <f t="shared" si="6"/>
        <v>4420</v>
      </c>
      <c r="AO36" s="26">
        <f t="shared" si="7"/>
        <v>1020</v>
      </c>
      <c r="AP36" s="114">
        <f t="shared" si="8"/>
        <v>3400</v>
      </c>
      <c r="AQ36" s="10"/>
    </row>
    <row r="37">
      <c r="A37" s="20" t="str">
        <f>'MASTER STOCK'!F34</f>
        <v>Kuas cat 1" (merk MDN)</v>
      </c>
      <c r="B37" s="21">
        <f>'DES 25'!AJ:AJ</f>
        <v>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22"/>
      <c r="R37" s="10"/>
      <c r="S37" s="10"/>
      <c r="T37" s="22"/>
      <c r="U37" s="10"/>
      <c r="V37" s="10"/>
      <c r="W37" s="22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23">
        <f t="shared" si="3"/>
        <v>0</v>
      </c>
      <c r="AI37" s="24">
        <v>0.0</v>
      </c>
      <c r="AJ37" s="23">
        <f t="shared" si="4"/>
        <v>3</v>
      </c>
      <c r="AK37" s="23">
        <f t="shared" si="5"/>
        <v>3</v>
      </c>
      <c r="AL37" s="25">
        <f>'MASTER STOCK'!I34</f>
        <v>2300</v>
      </c>
      <c r="AM37" s="27">
        <f>'MASTER STOCK'!L34</f>
        <v>2990</v>
      </c>
      <c r="AN37" s="27">
        <f t="shared" si="6"/>
        <v>0</v>
      </c>
      <c r="AO37" s="26">
        <f t="shared" si="7"/>
        <v>0</v>
      </c>
      <c r="AP37" s="114">
        <f t="shared" si="8"/>
        <v>0</v>
      </c>
      <c r="AQ37" s="10"/>
    </row>
    <row r="38">
      <c r="A38" s="20" t="str">
        <f>'MASTER STOCK'!F35</f>
        <v>Kran PVC Tembok 3/4"</v>
      </c>
      <c r="B38" s="21">
        <f>'DES 25'!AJ:AJ</f>
        <v>21</v>
      </c>
      <c r="C38" s="10"/>
      <c r="D38" s="22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22">
        <v>1.0</v>
      </c>
      <c r="R38" s="10"/>
      <c r="S38" s="10"/>
      <c r="T38" s="10"/>
      <c r="U38" s="10"/>
      <c r="V38" s="10"/>
      <c r="W38" s="10"/>
      <c r="X38" s="10"/>
      <c r="Y38" s="10"/>
      <c r="Z38" s="10"/>
      <c r="AA38" s="22"/>
      <c r="AB38" s="10"/>
      <c r="AC38" s="10"/>
      <c r="AD38" s="10"/>
      <c r="AE38" s="10"/>
      <c r="AF38" s="10"/>
      <c r="AG38" s="22"/>
      <c r="AH38" s="23">
        <f t="shared" si="3"/>
        <v>1</v>
      </c>
      <c r="AI38" s="24">
        <v>0.0</v>
      </c>
      <c r="AJ38" s="23">
        <f t="shared" si="4"/>
        <v>20</v>
      </c>
      <c r="AK38" s="23">
        <f t="shared" si="5"/>
        <v>20</v>
      </c>
      <c r="AL38" s="25">
        <f>'MASTER STOCK'!I35</f>
        <v>4200</v>
      </c>
      <c r="AM38" s="27">
        <f>'MASTER STOCK'!L35</f>
        <v>6000</v>
      </c>
      <c r="AN38" s="27">
        <f t="shared" si="6"/>
        <v>6000</v>
      </c>
      <c r="AO38" s="26">
        <f t="shared" si="7"/>
        <v>1800</v>
      </c>
      <c r="AP38" s="114">
        <f t="shared" si="8"/>
        <v>4200</v>
      </c>
      <c r="AQ38" s="10"/>
    </row>
    <row r="39">
      <c r="A39" s="20" t="str">
        <f>'MASTER STOCK'!F36</f>
        <v>Kran PVC Tembok 1/2"</v>
      </c>
      <c r="B39" s="21">
        <f>'DES 25'!AJ:AJ</f>
        <v>24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23">
        <f t="shared" si="3"/>
        <v>0</v>
      </c>
      <c r="AI39" s="24">
        <v>0.0</v>
      </c>
      <c r="AJ39" s="23">
        <f t="shared" si="4"/>
        <v>24</v>
      </c>
      <c r="AK39" s="23">
        <f t="shared" si="5"/>
        <v>24</v>
      </c>
      <c r="AL39" s="25">
        <f>'MASTER STOCK'!I36</f>
        <v>4200</v>
      </c>
      <c r="AM39" s="27">
        <f>'MASTER STOCK'!L36</f>
        <v>6000</v>
      </c>
      <c r="AN39" s="27">
        <f t="shared" si="6"/>
        <v>0</v>
      </c>
      <c r="AO39" s="26">
        <f t="shared" si="7"/>
        <v>0</v>
      </c>
      <c r="AP39" s="114">
        <f t="shared" si="8"/>
        <v>0</v>
      </c>
      <c r="AQ39" s="10"/>
    </row>
    <row r="40">
      <c r="A40" s="20" t="str">
        <f>'MASTER STOCK'!F37</f>
        <v>Lampu bohlam inlite 5w Putih</v>
      </c>
      <c r="B40" s="21">
        <f>'DES 25'!AJ:AJ</f>
        <v>7</v>
      </c>
      <c r="C40" s="22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23">
        <f t="shared" si="3"/>
        <v>0</v>
      </c>
      <c r="AI40" s="24">
        <v>0.0</v>
      </c>
      <c r="AJ40" s="23">
        <f t="shared" si="4"/>
        <v>7</v>
      </c>
      <c r="AK40" s="23">
        <f t="shared" si="5"/>
        <v>7</v>
      </c>
      <c r="AL40" s="25">
        <f>'MASTER STOCK'!I37</f>
        <v>13000</v>
      </c>
      <c r="AM40" s="27">
        <f>'MASTER STOCK'!L37</f>
        <v>18200</v>
      </c>
      <c r="AN40" s="27">
        <f t="shared" si="6"/>
        <v>0</v>
      </c>
      <c r="AO40" s="26">
        <f t="shared" si="7"/>
        <v>0</v>
      </c>
      <c r="AP40" s="114">
        <f t="shared" si="8"/>
        <v>0</v>
      </c>
      <c r="AQ40" s="10"/>
    </row>
    <row r="41">
      <c r="A41" s="20" t="str">
        <f>'MASTER STOCK'!F38</f>
        <v>Lampu bohlam inlite 7w Putih</v>
      </c>
      <c r="B41" s="21">
        <f>'DES 25'!AJ:AJ</f>
        <v>2</v>
      </c>
      <c r="C41" s="22">
        <v>1.0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23">
        <f t="shared" si="3"/>
        <v>1</v>
      </c>
      <c r="AI41" s="24">
        <v>0.0</v>
      </c>
      <c r="AJ41" s="23">
        <f t="shared" si="4"/>
        <v>1</v>
      </c>
      <c r="AK41" s="23">
        <f t="shared" si="5"/>
        <v>1</v>
      </c>
      <c r="AL41" s="25">
        <f>'MASTER STOCK'!I38</f>
        <v>16200</v>
      </c>
      <c r="AM41" s="27">
        <f>'MASTER STOCK'!L38</f>
        <v>22680</v>
      </c>
      <c r="AN41" s="27">
        <f t="shared" si="6"/>
        <v>22680</v>
      </c>
      <c r="AO41" s="26">
        <f t="shared" si="7"/>
        <v>6480</v>
      </c>
      <c r="AP41" s="114">
        <f t="shared" si="8"/>
        <v>16200</v>
      </c>
      <c r="AQ41" s="10"/>
    </row>
    <row r="42">
      <c r="A42" s="20" t="str">
        <f>'MASTER STOCK'!F39</f>
        <v>Lampu bohlam inlite 15w Putih</v>
      </c>
      <c r="B42" s="21">
        <f>'DES 25'!AJ:AJ</f>
        <v>4</v>
      </c>
      <c r="C42" s="22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23">
        <f t="shared" si="3"/>
        <v>0</v>
      </c>
      <c r="AI42" s="24">
        <v>0.0</v>
      </c>
      <c r="AJ42" s="23">
        <f t="shared" si="4"/>
        <v>4</v>
      </c>
      <c r="AK42" s="23">
        <f t="shared" si="5"/>
        <v>4</v>
      </c>
      <c r="AL42" s="25">
        <f>'MASTER STOCK'!I39</f>
        <v>28000</v>
      </c>
      <c r="AM42" s="27">
        <f>'MASTER STOCK'!L39</f>
        <v>39200</v>
      </c>
      <c r="AN42" s="27">
        <f t="shared" si="6"/>
        <v>0</v>
      </c>
      <c r="AO42" s="26">
        <f t="shared" si="7"/>
        <v>0</v>
      </c>
      <c r="AP42" s="114">
        <f t="shared" si="8"/>
        <v>0</v>
      </c>
      <c r="AQ42" s="10"/>
    </row>
    <row r="43">
      <c r="A43" s="20" t="str">
        <f>'MASTER STOCK'!F40</f>
        <v>Lampu bohlam inlite 12w Putih</v>
      </c>
      <c r="B43" s="21">
        <f>'DES 25'!AJ:AJ</f>
        <v>3</v>
      </c>
      <c r="C43" s="22"/>
      <c r="D43" s="10"/>
      <c r="E43" s="10"/>
      <c r="F43" s="10"/>
      <c r="G43" s="10"/>
      <c r="H43" s="10"/>
      <c r="I43" s="22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22"/>
      <c r="AC43" s="10"/>
      <c r="AD43" s="10"/>
      <c r="AE43" s="22"/>
      <c r="AF43" s="10"/>
      <c r="AG43" s="22"/>
      <c r="AH43" s="23">
        <f t="shared" si="3"/>
        <v>0</v>
      </c>
      <c r="AI43" s="24">
        <v>0.0</v>
      </c>
      <c r="AJ43" s="23">
        <f t="shared" si="4"/>
        <v>3</v>
      </c>
      <c r="AK43" s="23">
        <f t="shared" si="5"/>
        <v>3</v>
      </c>
      <c r="AL43" s="25">
        <f>'MASTER STOCK'!I40</f>
        <v>25000</v>
      </c>
      <c r="AM43" s="27">
        <f>'MASTER STOCK'!L40</f>
        <v>30000</v>
      </c>
      <c r="AN43" s="27">
        <f t="shared" si="6"/>
        <v>0</v>
      </c>
      <c r="AO43" s="26">
        <f t="shared" si="7"/>
        <v>0</v>
      </c>
      <c r="AP43" s="114">
        <f t="shared" si="8"/>
        <v>0</v>
      </c>
      <c r="AQ43" s="10"/>
    </row>
    <row r="44">
      <c r="A44" s="20" t="str">
        <f>'MASTER STOCK'!F41</f>
        <v>Lampu tintin platinum LED 9w</v>
      </c>
      <c r="B44" s="21">
        <f>'DES 25'!AJ:AJ</f>
        <v>2</v>
      </c>
      <c r="C44" s="10"/>
      <c r="D44" s="10"/>
      <c r="E44" s="22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22">
        <v>1.0</v>
      </c>
      <c r="S44" s="10"/>
      <c r="T44" s="22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22"/>
      <c r="AF44" s="10"/>
      <c r="AG44" s="10"/>
      <c r="AH44" s="23">
        <f t="shared" si="3"/>
        <v>1</v>
      </c>
      <c r="AI44" s="24">
        <v>0.0</v>
      </c>
      <c r="AJ44" s="23">
        <f t="shared" si="4"/>
        <v>1</v>
      </c>
      <c r="AK44" s="23">
        <f t="shared" si="5"/>
        <v>1</v>
      </c>
      <c r="AL44" s="25">
        <f>'MASTER STOCK'!I41</f>
        <v>7000</v>
      </c>
      <c r="AM44" s="27">
        <f>'MASTER STOCK'!L41</f>
        <v>9800</v>
      </c>
      <c r="AN44" s="27">
        <f t="shared" si="6"/>
        <v>9800</v>
      </c>
      <c r="AO44" s="26">
        <f t="shared" si="7"/>
        <v>2800</v>
      </c>
      <c r="AP44" s="114">
        <f t="shared" si="8"/>
        <v>7000</v>
      </c>
      <c r="AQ44" s="10"/>
    </row>
    <row r="45">
      <c r="A45" s="20" t="str">
        <f>'MASTER STOCK'!F42</f>
        <v>Lampu tintin platinum LED 5w</v>
      </c>
      <c r="B45" s="21">
        <f>'DES 25'!AJ:AJ</f>
        <v>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22"/>
      <c r="S45" s="10"/>
      <c r="T45" s="22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23">
        <f t="shared" si="3"/>
        <v>0</v>
      </c>
      <c r="AI45" s="24">
        <v>0.0</v>
      </c>
      <c r="AJ45" s="23">
        <f t="shared" si="4"/>
        <v>3</v>
      </c>
      <c r="AK45" s="23">
        <f t="shared" si="5"/>
        <v>3</v>
      </c>
      <c r="AL45" s="25">
        <f>'MASTER STOCK'!I42</f>
        <v>5000</v>
      </c>
      <c r="AM45" s="27">
        <f>'MASTER STOCK'!L42</f>
        <v>7000</v>
      </c>
      <c r="AN45" s="27">
        <f t="shared" si="6"/>
        <v>0</v>
      </c>
      <c r="AO45" s="26">
        <f t="shared" si="7"/>
        <v>0</v>
      </c>
      <c r="AP45" s="114">
        <f t="shared" si="8"/>
        <v>0</v>
      </c>
      <c r="AQ45" s="10"/>
    </row>
    <row r="46">
      <c r="A46" s="20" t="str">
        <f>'MASTER STOCK'!F43</f>
        <v>Lampu tintin platinum LED 21w</v>
      </c>
      <c r="B46" s="21">
        <f>'DES 25'!AJ:AJ</f>
        <v>3</v>
      </c>
      <c r="C46" s="10"/>
      <c r="D46" s="10"/>
      <c r="E46" s="22">
        <v>1.0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23">
        <f t="shared" si="3"/>
        <v>1</v>
      </c>
      <c r="AI46" s="24">
        <v>0.0</v>
      </c>
      <c r="AJ46" s="23">
        <f t="shared" si="4"/>
        <v>2</v>
      </c>
      <c r="AK46" s="23">
        <f t="shared" si="5"/>
        <v>2</v>
      </c>
      <c r="AL46" s="25">
        <f>'MASTER STOCK'!I43</f>
        <v>15500</v>
      </c>
      <c r="AM46" s="27">
        <f>'MASTER STOCK'!L43</f>
        <v>21700</v>
      </c>
      <c r="AN46" s="27">
        <f t="shared" si="6"/>
        <v>21700</v>
      </c>
      <c r="AO46" s="26">
        <f t="shared" si="7"/>
        <v>6200</v>
      </c>
      <c r="AP46" s="114">
        <f t="shared" si="8"/>
        <v>15500</v>
      </c>
      <c r="AQ46" s="10"/>
    </row>
    <row r="47">
      <c r="A47" s="20" t="str">
        <f>'MASTER STOCK'!F44</f>
        <v>Lampu tintin platinum LED 15w</v>
      </c>
      <c r="B47" s="21">
        <f>'DES 25'!AJ:AJ</f>
        <v>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22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23">
        <f t="shared" si="3"/>
        <v>0</v>
      </c>
      <c r="AI47" s="24">
        <v>0.0</v>
      </c>
      <c r="AJ47" s="23">
        <f t="shared" si="4"/>
        <v>4</v>
      </c>
      <c r="AK47" s="23">
        <f t="shared" si="5"/>
        <v>4</v>
      </c>
      <c r="AL47" s="25">
        <f>'MASTER STOCK'!I44</f>
        <v>8800</v>
      </c>
      <c r="AM47" s="27">
        <f>'MASTER STOCK'!L44</f>
        <v>13000</v>
      </c>
      <c r="AN47" s="27">
        <f t="shared" si="6"/>
        <v>0</v>
      </c>
      <c r="AO47" s="26">
        <f t="shared" si="7"/>
        <v>0</v>
      </c>
      <c r="AP47" s="114">
        <f t="shared" si="8"/>
        <v>0</v>
      </c>
      <c r="AQ47" s="10"/>
    </row>
    <row r="48">
      <c r="A48" s="20" t="str">
        <f>'MASTER STOCK'!F45</f>
        <v>Lampu tintin platinum LED 12w</v>
      </c>
      <c r="B48" s="21">
        <f>'DES 25'!AJ:AJ</f>
        <v>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23">
        <f t="shared" si="3"/>
        <v>0</v>
      </c>
      <c r="AI48" s="24">
        <v>0.0</v>
      </c>
      <c r="AJ48" s="23">
        <f t="shared" si="4"/>
        <v>5</v>
      </c>
      <c r="AK48" s="23">
        <f t="shared" si="5"/>
        <v>5</v>
      </c>
      <c r="AL48" s="25">
        <f>'MASTER STOCK'!I45</f>
        <v>7800</v>
      </c>
      <c r="AM48" s="27">
        <f>'MASTER STOCK'!L45</f>
        <v>10920</v>
      </c>
      <c r="AN48" s="27">
        <f t="shared" si="6"/>
        <v>0</v>
      </c>
      <c r="AO48" s="26">
        <f t="shared" si="7"/>
        <v>0</v>
      </c>
      <c r="AP48" s="114">
        <f t="shared" si="8"/>
        <v>0</v>
      </c>
      <c r="AQ48" s="10"/>
    </row>
    <row r="49">
      <c r="A49" s="20" t="str">
        <f>'MASTER STOCK'!F46</f>
        <v>Lampu tintin platinum LED 7w</v>
      </c>
      <c r="B49" s="21">
        <f>'DES 25'!AJ:AJ</f>
        <v>2</v>
      </c>
      <c r="C49" s="10"/>
      <c r="D49" s="10"/>
      <c r="E49" s="22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22">
        <v>1.0</v>
      </c>
      <c r="S49" s="22"/>
      <c r="T49" s="10"/>
      <c r="U49" s="10"/>
      <c r="V49" s="22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23">
        <f t="shared" si="3"/>
        <v>1</v>
      </c>
      <c r="AI49" s="24">
        <v>0.0</v>
      </c>
      <c r="AJ49" s="23">
        <f t="shared" si="4"/>
        <v>1</v>
      </c>
      <c r="AK49" s="23">
        <f t="shared" si="5"/>
        <v>1</v>
      </c>
      <c r="AL49" s="25">
        <f>'MASTER STOCK'!I46</f>
        <v>5800</v>
      </c>
      <c r="AM49" s="27">
        <f>'MASTER STOCK'!L46</f>
        <v>8120</v>
      </c>
      <c r="AN49" s="27">
        <f t="shared" si="6"/>
        <v>8120</v>
      </c>
      <c r="AO49" s="26">
        <f t="shared" si="7"/>
        <v>2320</v>
      </c>
      <c r="AP49" s="114">
        <f t="shared" si="8"/>
        <v>5800</v>
      </c>
      <c r="AQ49" s="10"/>
    </row>
    <row r="50">
      <c r="A50" s="20" t="str">
        <f>'MASTER STOCK'!F47</f>
        <v>Gergaji kayu (POPEYE) 18 inch </v>
      </c>
      <c r="B50" s="21">
        <f>'DES 25'!AJ:AJ</f>
        <v>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23">
        <f t="shared" si="3"/>
        <v>0</v>
      </c>
      <c r="AI50" s="24">
        <v>0.0</v>
      </c>
      <c r="AJ50" s="23">
        <f t="shared" si="4"/>
        <v>4</v>
      </c>
      <c r="AK50" s="23">
        <f t="shared" si="5"/>
        <v>4</v>
      </c>
      <c r="AL50" s="25">
        <f>'MASTER STOCK'!I47</f>
        <v>15000</v>
      </c>
      <c r="AM50" s="27">
        <f>'MASTER STOCK'!L47</f>
        <v>19500</v>
      </c>
      <c r="AN50" s="27">
        <f t="shared" si="6"/>
        <v>0</v>
      </c>
      <c r="AO50" s="26">
        <f t="shared" si="7"/>
        <v>0</v>
      </c>
      <c r="AP50" s="114">
        <f t="shared" si="8"/>
        <v>0</v>
      </c>
      <c r="AQ50" s="10"/>
    </row>
    <row r="51">
      <c r="A51" s="20" t="str">
        <f>'MASTER STOCK'!F48</f>
        <v>Kapi plamir plastik PVC 9" (23cm)</v>
      </c>
      <c r="B51" s="21">
        <f>'DES 25'!AJ:AJ</f>
        <v>10</v>
      </c>
      <c r="C51" s="10"/>
      <c r="D51" s="10"/>
      <c r="E51" s="10"/>
      <c r="F51" s="10"/>
      <c r="G51" s="22">
        <v>1.0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23">
        <f t="shared" si="3"/>
        <v>1</v>
      </c>
      <c r="AI51" s="24">
        <v>0.0</v>
      </c>
      <c r="AJ51" s="23">
        <f t="shared" si="4"/>
        <v>9</v>
      </c>
      <c r="AK51" s="23">
        <f t="shared" si="5"/>
        <v>9</v>
      </c>
      <c r="AL51" s="25">
        <f>'MASTER STOCK'!I48</f>
        <v>2200</v>
      </c>
      <c r="AM51" s="27">
        <f>'MASTER STOCK'!L48</f>
        <v>3300</v>
      </c>
      <c r="AN51" s="27">
        <f t="shared" si="6"/>
        <v>3300</v>
      </c>
      <c r="AO51" s="26">
        <f t="shared" si="7"/>
        <v>1100</v>
      </c>
      <c r="AP51" s="114">
        <f t="shared" si="8"/>
        <v>2200</v>
      </c>
      <c r="AQ51" s="10"/>
    </row>
    <row r="52">
      <c r="A52" s="20" t="str">
        <f>'MASTER STOCK'!F49</f>
        <v>Kapi plamir plastik PVC 5" (12cm)</v>
      </c>
      <c r="B52" s="21">
        <f>'DES 25'!AJ:AJ</f>
        <v>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23">
        <f t="shared" si="3"/>
        <v>0</v>
      </c>
      <c r="AI52" s="24">
        <v>0.0</v>
      </c>
      <c r="AJ52" s="23">
        <f t="shared" si="4"/>
        <v>5</v>
      </c>
      <c r="AK52" s="23">
        <f t="shared" si="5"/>
        <v>5</v>
      </c>
      <c r="AL52" s="25">
        <f>'MASTER STOCK'!I49</f>
        <v>1100</v>
      </c>
      <c r="AM52" s="27">
        <f>'MASTER STOCK'!L49</f>
        <v>1650</v>
      </c>
      <c r="AN52" s="27">
        <f t="shared" si="6"/>
        <v>0</v>
      </c>
      <c r="AO52" s="26">
        <f t="shared" si="7"/>
        <v>0</v>
      </c>
      <c r="AP52" s="114">
        <f t="shared" si="8"/>
        <v>0</v>
      </c>
      <c r="AQ52" s="10"/>
    </row>
    <row r="53">
      <c r="A53" s="20" t="str">
        <f>'MASTER STOCK'!F50</f>
        <v>Kapi plamir plastik PVC 7" (18cm)</v>
      </c>
      <c r="B53" s="21">
        <f>'DES 25'!AJ:AJ</f>
        <v>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23">
        <f t="shared" si="3"/>
        <v>0</v>
      </c>
      <c r="AI53" s="24">
        <v>0.0</v>
      </c>
      <c r="AJ53" s="23">
        <f t="shared" si="4"/>
        <v>10</v>
      </c>
      <c r="AK53" s="23">
        <f t="shared" si="5"/>
        <v>10</v>
      </c>
      <c r="AL53" s="25">
        <f>'MASTER STOCK'!I50</f>
        <v>1500</v>
      </c>
      <c r="AM53" s="27">
        <f>'MASTER STOCK'!L50</f>
        <v>2250</v>
      </c>
      <c r="AN53" s="27">
        <f t="shared" si="6"/>
        <v>0</v>
      </c>
      <c r="AO53" s="26">
        <f t="shared" si="7"/>
        <v>0</v>
      </c>
      <c r="AP53" s="114">
        <f t="shared" si="8"/>
        <v>0</v>
      </c>
      <c r="AQ53" s="10"/>
    </row>
    <row r="54">
      <c r="A54" s="20" t="str">
        <f>'MASTER STOCK'!F51</f>
        <v>Tang Kombinasi karet 8"</v>
      </c>
      <c r="B54" s="21">
        <f>'DES 25'!AJ:AJ</f>
        <v>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23">
        <f t="shared" si="3"/>
        <v>0</v>
      </c>
      <c r="AI54" s="24">
        <v>0.0</v>
      </c>
      <c r="AJ54" s="23">
        <f t="shared" si="4"/>
        <v>5</v>
      </c>
      <c r="AK54" s="23">
        <f t="shared" si="5"/>
        <v>5</v>
      </c>
      <c r="AL54" s="25">
        <f>'MASTER STOCK'!I51</f>
        <v>12000</v>
      </c>
      <c r="AM54" s="27">
        <f>'MASTER STOCK'!L51</f>
        <v>15600</v>
      </c>
      <c r="AN54" s="27">
        <f t="shared" si="6"/>
        <v>0</v>
      </c>
      <c r="AO54" s="26">
        <f t="shared" si="7"/>
        <v>0</v>
      </c>
      <c r="AP54" s="114">
        <f t="shared" si="8"/>
        <v>0</v>
      </c>
      <c r="AQ54" s="10"/>
    </row>
    <row r="55">
      <c r="A55" s="20" t="str">
        <f>'MASTER STOCK'!F52</f>
        <v>Tang Kombinasi 8"</v>
      </c>
      <c r="B55" s="21">
        <f>'DES 25'!AJ:AJ</f>
        <v>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23">
        <f t="shared" si="3"/>
        <v>0</v>
      </c>
      <c r="AI55" s="24">
        <v>0.0</v>
      </c>
      <c r="AJ55" s="23">
        <f t="shared" si="4"/>
        <v>5</v>
      </c>
      <c r="AK55" s="23">
        <f t="shared" si="5"/>
        <v>5</v>
      </c>
      <c r="AL55" s="25">
        <f>'MASTER STOCK'!I52</f>
        <v>12500</v>
      </c>
      <c r="AM55" s="27">
        <f>'MASTER STOCK'!L52</f>
        <v>16250</v>
      </c>
      <c r="AN55" s="27">
        <f t="shared" si="6"/>
        <v>0</v>
      </c>
      <c r="AO55" s="26">
        <f t="shared" si="7"/>
        <v>0</v>
      </c>
      <c r="AP55" s="114">
        <f t="shared" si="8"/>
        <v>0</v>
      </c>
      <c r="AQ55" s="10"/>
    </row>
    <row r="56">
      <c r="A56" s="20" t="str">
        <f>'MASTER STOCK'!F53</f>
        <v>Stop Kontak Hitam 3L 5M </v>
      </c>
      <c r="B56" s="21">
        <f>'DES 25'!AJ:AJ</f>
        <v>2</v>
      </c>
      <c r="C56" s="22">
        <v>1.0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23">
        <f t="shared" si="3"/>
        <v>1</v>
      </c>
      <c r="AI56" s="24">
        <v>0.0</v>
      </c>
      <c r="AJ56" s="23">
        <f t="shared" si="4"/>
        <v>1</v>
      </c>
      <c r="AK56" s="23">
        <f t="shared" si="5"/>
        <v>1</v>
      </c>
      <c r="AL56" s="25">
        <f>'MASTER STOCK'!I53</f>
        <v>18400</v>
      </c>
      <c r="AM56" s="27">
        <f>'MASTER STOCK'!L53</f>
        <v>27600</v>
      </c>
      <c r="AN56" s="27">
        <f t="shared" si="6"/>
        <v>27600</v>
      </c>
      <c r="AO56" s="26">
        <f t="shared" si="7"/>
        <v>9200</v>
      </c>
      <c r="AP56" s="114">
        <f t="shared" si="8"/>
        <v>18400</v>
      </c>
      <c r="AQ56" s="10"/>
    </row>
    <row r="57">
      <c r="A57" s="20" t="str">
        <f>'MASTER STOCK'!F54</f>
        <v>Stop Kontak Hitam 4L 5M </v>
      </c>
      <c r="B57" s="21">
        <f>'DES 25'!AJ:AJ</f>
        <v>3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23">
        <f t="shared" si="3"/>
        <v>0</v>
      </c>
      <c r="AI57" s="24">
        <v>0.0</v>
      </c>
      <c r="AJ57" s="23">
        <f t="shared" si="4"/>
        <v>3</v>
      </c>
      <c r="AK57" s="23">
        <f t="shared" si="5"/>
        <v>3</v>
      </c>
      <c r="AL57" s="25">
        <f>'MASTER STOCK'!I54</f>
        <v>19600</v>
      </c>
      <c r="AM57" s="27">
        <f>'MASTER STOCK'!L54</f>
        <v>29400</v>
      </c>
      <c r="AN57" s="27">
        <f t="shared" si="6"/>
        <v>0</v>
      </c>
      <c r="AO57" s="26">
        <f t="shared" si="7"/>
        <v>0</v>
      </c>
      <c r="AP57" s="114">
        <f t="shared" si="8"/>
        <v>0</v>
      </c>
      <c r="AQ57" s="10"/>
    </row>
    <row r="58">
      <c r="A58" s="20" t="str">
        <f>'MASTER STOCK'!F55</f>
        <v>Stop Kontak Hitam 5L 5M </v>
      </c>
      <c r="B58" s="21">
        <f>'DES 25'!AJ:AJ</f>
        <v>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23">
        <f t="shared" si="3"/>
        <v>0</v>
      </c>
      <c r="AI58" s="24">
        <v>0.0</v>
      </c>
      <c r="AJ58" s="23">
        <f t="shared" si="4"/>
        <v>6</v>
      </c>
      <c r="AK58" s="23">
        <f t="shared" si="5"/>
        <v>6</v>
      </c>
      <c r="AL58" s="25">
        <f>'MASTER STOCK'!I55</f>
        <v>21000</v>
      </c>
      <c r="AM58" s="27">
        <f>'MASTER STOCK'!L55</f>
        <v>31500</v>
      </c>
      <c r="AN58" s="27">
        <f t="shared" si="6"/>
        <v>0</v>
      </c>
      <c r="AO58" s="26">
        <f t="shared" si="7"/>
        <v>0</v>
      </c>
      <c r="AP58" s="114">
        <f t="shared" si="8"/>
        <v>0</v>
      </c>
      <c r="AQ58" s="10"/>
    </row>
    <row r="59">
      <c r="A59" s="20" t="str">
        <f>'MASTER STOCK'!F56</f>
        <v>Stop Kontak Hitam 2L 5M </v>
      </c>
      <c r="B59" s="21">
        <f>'DES 25'!AJ:AJ</f>
        <v>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23">
        <f t="shared" si="3"/>
        <v>0</v>
      </c>
      <c r="AI59" s="24">
        <v>0.0</v>
      </c>
      <c r="AJ59" s="23">
        <f t="shared" si="4"/>
        <v>2</v>
      </c>
      <c r="AK59" s="23">
        <f t="shared" si="5"/>
        <v>2</v>
      </c>
      <c r="AL59" s="25">
        <f>'MASTER STOCK'!I56</f>
        <v>17000</v>
      </c>
      <c r="AM59" s="27">
        <f>'MASTER STOCK'!L56</f>
        <v>25500</v>
      </c>
      <c r="AN59" s="27">
        <f t="shared" si="6"/>
        <v>0</v>
      </c>
      <c r="AO59" s="26">
        <f t="shared" si="7"/>
        <v>0</v>
      </c>
      <c r="AP59" s="114">
        <f t="shared" si="8"/>
        <v>0</v>
      </c>
      <c r="AQ59" s="10"/>
    </row>
    <row r="60">
      <c r="A60" s="20" t="str">
        <f>'MASTER STOCK'!F57</f>
        <v>Palu Konde besi cor gagang kayu ukuran 1LB</v>
      </c>
      <c r="B60" s="21">
        <f>'DES 25'!AJ:AJ</f>
        <v>3</v>
      </c>
      <c r="C60" s="22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23">
        <f t="shared" si="3"/>
        <v>0</v>
      </c>
      <c r="AI60" s="24">
        <v>0.0</v>
      </c>
      <c r="AJ60" s="23">
        <f t="shared" si="4"/>
        <v>3</v>
      </c>
      <c r="AK60" s="23">
        <f t="shared" si="5"/>
        <v>3</v>
      </c>
      <c r="AL60" s="25">
        <f>'MASTER STOCK'!I57</f>
        <v>17000</v>
      </c>
      <c r="AM60" s="27">
        <f>'MASTER STOCK'!L57</f>
        <v>22100</v>
      </c>
      <c r="AN60" s="27">
        <f t="shared" si="6"/>
        <v>0</v>
      </c>
      <c r="AO60" s="26">
        <f t="shared" si="7"/>
        <v>0</v>
      </c>
      <c r="AP60" s="114">
        <f t="shared" si="8"/>
        <v>0</v>
      </c>
      <c r="AQ60" s="10"/>
    </row>
    <row r="61">
      <c r="A61" s="20" t="str">
        <f>'MASTER STOCK'!F58</f>
        <v>Lem kuning 100gr</v>
      </c>
      <c r="B61" s="21">
        <f>'DES 25'!AJ:AJ</f>
        <v>21</v>
      </c>
      <c r="C61" s="22"/>
      <c r="D61" s="22"/>
      <c r="E61" s="10"/>
      <c r="F61" s="10"/>
      <c r="G61" s="10"/>
      <c r="H61" s="10"/>
      <c r="I61" s="22"/>
      <c r="J61" s="10"/>
      <c r="K61" s="10"/>
      <c r="L61" s="10"/>
      <c r="M61" s="10"/>
      <c r="N61" s="10"/>
      <c r="O61" s="10"/>
      <c r="P61" s="10"/>
      <c r="Q61" s="22"/>
      <c r="R61" s="10"/>
      <c r="S61" s="10"/>
      <c r="T61" s="10"/>
      <c r="U61" s="10"/>
      <c r="V61" s="10"/>
      <c r="W61" s="10"/>
      <c r="X61" s="10"/>
      <c r="Y61" s="10"/>
      <c r="Z61" s="10"/>
      <c r="AA61" s="22"/>
      <c r="AB61" s="10"/>
      <c r="AC61" s="10"/>
      <c r="AD61" s="10"/>
      <c r="AE61" s="10"/>
      <c r="AF61" s="10"/>
      <c r="AG61" s="10"/>
      <c r="AH61" s="23">
        <f t="shared" si="3"/>
        <v>0</v>
      </c>
      <c r="AI61" s="24">
        <v>0.0</v>
      </c>
      <c r="AJ61" s="23">
        <f t="shared" si="4"/>
        <v>21</v>
      </c>
      <c r="AK61" s="23">
        <f t="shared" si="5"/>
        <v>21</v>
      </c>
      <c r="AL61" s="25">
        <f>'MASTER STOCK'!I58</f>
        <v>10000</v>
      </c>
      <c r="AM61" s="27">
        <f>'MASTER STOCK'!L58</f>
        <v>15000</v>
      </c>
      <c r="AN61" s="27">
        <f t="shared" si="6"/>
        <v>0</v>
      </c>
      <c r="AO61" s="26">
        <f t="shared" si="7"/>
        <v>0</v>
      </c>
      <c r="AP61" s="114">
        <f t="shared" si="8"/>
        <v>0</v>
      </c>
      <c r="AQ61" s="10"/>
    </row>
    <row r="62">
      <c r="A62" s="20" t="str">
        <f>'MASTER STOCK'!F59</f>
        <v>Lem aica aibon kuning 125gr</v>
      </c>
      <c r="B62" s="21">
        <f>'DES 25'!AJ:AJ</f>
        <v>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22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23">
        <f t="shared" si="3"/>
        <v>0</v>
      </c>
      <c r="AI62" s="24">
        <v>0.0</v>
      </c>
      <c r="AJ62" s="23">
        <f t="shared" si="4"/>
        <v>1</v>
      </c>
      <c r="AK62" s="23">
        <f t="shared" si="5"/>
        <v>1</v>
      </c>
      <c r="AL62" s="25">
        <f>'MASTER STOCK'!I59</f>
        <v>18200</v>
      </c>
      <c r="AM62" s="27">
        <f>'MASTER STOCK'!L59</f>
        <v>27300</v>
      </c>
      <c r="AN62" s="27">
        <f t="shared" si="6"/>
        <v>0</v>
      </c>
      <c r="AO62" s="26">
        <f t="shared" si="7"/>
        <v>0</v>
      </c>
      <c r="AP62" s="114">
        <f t="shared" si="8"/>
        <v>0</v>
      </c>
      <c r="AQ62" s="10"/>
    </row>
    <row r="63">
      <c r="A63" s="20" t="str">
        <f>'MASTER STOCK'!F60</f>
        <v>Kuas 4" incco</v>
      </c>
      <c r="B63" s="21">
        <f>'DES 25'!AJ:AJ</f>
        <v>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22"/>
      <c r="U63" s="10"/>
      <c r="V63" s="10"/>
      <c r="W63" s="10"/>
      <c r="X63" s="10"/>
      <c r="Y63" s="10"/>
      <c r="Z63" s="10"/>
      <c r="AA63" s="10"/>
      <c r="AB63" s="10"/>
      <c r="AC63" s="10"/>
      <c r="AD63" s="22"/>
      <c r="AE63" s="10"/>
      <c r="AF63" s="10"/>
      <c r="AG63" s="10"/>
      <c r="AH63" s="23">
        <f t="shared" si="3"/>
        <v>0</v>
      </c>
      <c r="AI63" s="24">
        <v>0.0</v>
      </c>
      <c r="AJ63" s="23">
        <f t="shared" si="4"/>
        <v>1</v>
      </c>
      <c r="AK63" s="23">
        <f t="shared" si="5"/>
        <v>1</v>
      </c>
      <c r="AL63" s="25">
        <f>'MASTER STOCK'!I60</f>
        <v>15000</v>
      </c>
      <c r="AM63" s="27">
        <f>'MASTER STOCK'!L60</f>
        <v>19500</v>
      </c>
      <c r="AN63" s="27">
        <f t="shared" si="6"/>
        <v>0</v>
      </c>
      <c r="AO63" s="26">
        <f t="shared" si="7"/>
        <v>0</v>
      </c>
      <c r="AP63" s="114">
        <f t="shared" si="8"/>
        <v>0</v>
      </c>
      <c r="AQ63" s="10"/>
    </row>
    <row r="64">
      <c r="A64" s="20" t="str">
        <f>'MASTER STOCK'!F61</f>
        <v>Meteran Autostop Wilmer 5m*19mm</v>
      </c>
      <c r="B64" s="21">
        <f>'DES 25'!AJ:AJ</f>
        <v>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22"/>
      <c r="AE64" s="10"/>
      <c r="AF64" s="10"/>
      <c r="AG64" s="10"/>
      <c r="AH64" s="23">
        <f t="shared" si="3"/>
        <v>0</v>
      </c>
      <c r="AI64" s="24">
        <v>0.0</v>
      </c>
      <c r="AJ64" s="23">
        <f t="shared" si="4"/>
        <v>1</v>
      </c>
      <c r="AK64" s="23">
        <f t="shared" si="5"/>
        <v>1</v>
      </c>
      <c r="AL64" s="25">
        <f>'MASTER STOCK'!I61</f>
        <v>25000</v>
      </c>
      <c r="AM64" s="27">
        <f>'MASTER STOCK'!L61</f>
        <v>30000</v>
      </c>
      <c r="AN64" s="27">
        <f t="shared" si="6"/>
        <v>0</v>
      </c>
      <c r="AO64" s="26">
        <f t="shared" si="7"/>
        <v>0</v>
      </c>
      <c r="AP64" s="114">
        <f t="shared" si="8"/>
        <v>0</v>
      </c>
      <c r="AQ64" s="10"/>
    </row>
    <row r="65">
      <c r="A65" s="20" t="str">
        <f>'MASTER STOCK'!F62</f>
        <v>Precision S/Driver Obeng 6S DIY</v>
      </c>
      <c r="B65" s="21">
        <f>'DES 25'!AJ:AJ</f>
        <v>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23">
        <f t="shared" si="3"/>
        <v>0</v>
      </c>
      <c r="AI65" s="24">
        <v>0.0</v>
      </c>
      <c r="AJ65" s="23">
        <f t="shared" si="4"/>
        <v>2</v>
      </c>
      <c r="AK65" s="23">
        <f t="shared" si="5"/>
        <v>2</v>
      </c>
      <c r="AL65" s="25">
        <f>'MASTER STOCK'!I62</f>
        <v>9500</v>
      </c>
      <c r="AM65" s="27">
        <f>'MASTER STOCK'!L62</f>
        <v>13300</v>
      </c>
      <c r="AN65" s="27">
        <f t="shared" si="6"/>
        <v>0</v>
      </c>
      <c r="AO65" s="26">
        <f t="shared" si="7"/>
        <v>0</v>
      </c>
      <c r="AP65" s="114">
        <f t="shared" si="8"/>
        <v>0</v>
      </c>
      <c r="AQ65" s="10"/>
    </row>
    <row r="66">
      <c r="A66" s="20" t="str">
        <f>'MASTER STOCK'!F63</f>
        <v>Blades / Isi Cutter Besar DIY</v>
      </c>
      <c r="B66" s="21">
        <f>'DES 25'!AJ:AJ</f>
        <v>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23">
        <f t="shared" si="3"/>
        <v>0</v>
      </c>
      <c r="AI66" s="24">
        <v>0.0</v>
      </c>
      <c r="AJ66" s="23">
        <f t="shared" si="4"/>
        <v>20</v>
      </c>
      <c r="AK66" s="23">
        <f t="shared" si="5"/>
        <v>20</v>
      </c>
      <c r="AL66" s="25">
        <f>'MASTER STOCK'!I63</f>
        <v>1150</v>
      </c>
      <c r="AM66" s="27">
        <f>'MASTER STOCK'!L63</f>
        <v>1495</v>
      </c>
      <c r="AN66" s="27">
        <f t="shared" si="6"/>
        <v>0</v>
      </c>
      <c r="AO66" s="26">
        <f t="shared" si="7"/>
        <v>0</v>
      </c>
      <c r="AP66" s="114">
        <f t="shared" si="8"/>
        <v>0</v>
      </c>
      <c r="AQ66" s="10"/>
    </row>
    <row r="67">
      <c r="A67" s="20" t="str">
        <f>'MASTER STOCK'!F64</f>
        <v>Blades / Isi Cutter Kecil DIY</v>
      </c>
      <c r="B67" s="21">
        <f>'DES 25'!AJ:AJ</f>
        <v>20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23">
        <f t="shared" si="3"/>
        <v>0</v>
      </c>
      <c r="AI67" s="24">
        <v>0.0</v>
      </c>
      <c r="AJ67" s="23">
        <f t="shared" si="4"/>
        <v>20</v>
      </c>
      <c r="AK67" s="23">
        <f t="shared" si="5"/>
        <v>20</v>
      </c>
      <c r="AL67" s="25">
        <f>'MASTER STOCK'!I64</f>
        <v>700</v>
      </c>
      <c r="AM67" s="27">
        <f>'MASTER STOCK'!L64</f>
        <v>1050</v>
      </c>
      <c r="AN67" s="27">
        <f t="shared" si="6"/>
        <v>0</v>
      </c>
      <c r="AO67" s="26">
        <f t="shared" si="7"/>
        <v>0</v>
      </c>
      <c r="AP67" s="114">
        <f t="shared" si="8"/>
        <v>0</v>
      </c>
      <c r="AQ67" s="10"/>
    </row>
    <row r="68">
      <c r="A68" s="20" t="str">
        <f>'MASTER STOCK'!F65</f>
        <v>Screwdriver  / Obeng 4" isi 2 DIY</v>
      </c>
      <c r="B68" s="21">
        <f>'DES 25'!AJ:AJ</f>
        <v>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23">
        <f t="shared" si="3"/>
        <v>0</v>
      </c>
      <c r="AI68" s="24">
        <v>0.0</v>
      </c>
      <c r="AJ68" s="23">
        <f t="shared" si="4"/>
        <v>2</v>
      </c>
      <c r="AK68" s="23">
        <f t="shared" si="5"/>
        <v>2</v>
      </c>
      <c r="AL68" s="25">
        <f>'MASTER STOCK'!I65</f>
        <v>12000</v>
      </c>
      <c r="AM68" s="27">
        <f>'MASTER STOCK'!L65</f>
        <v>15600</v>
      </c>
      <c r="AN68" s="27">
        <f t="shared" si="6"/>
        <v>0</v>
      </c>
      <c r="AO68" s="26">
        <f t="shared" si="7"/>
        <v>0</v>
      </c>
      <c r="AP68" s="114">
        <f t="shared" si="8"/>
        <v>0</v>
      </c>
      <c r="AQ68" s="10"/>
    </row>
    <row r="69">
      <c r="A69" s="20" t="str">
        <f>'MASTER STOCK'!F66</f>
        <v>Test Pen DIY</v>
      </c>
      <c r="B69" s="21">
        <f>'DES 25'!AJ:AJ</f>
        <v>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22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23">
        <f t="shared" si="3"/>
        <v>0</v>
      </c>
      <c r="AI69" s="24">
        <v>0.0</v>
      </c>
      <c r="AJ69" s="23">
        <f t="shared" si="4"/>
        <v>1</v>
      </c>
      <c r="AK69" s="23">
        <f t="shared" si="5"/>
        <v>1</v>
      </c>
      <c r="AL69" s="25">
        <f>'MASTER STOCK'!I66</f>
        <v>12000</v>
      </c>
      <c r="AM69" s="27">
        <f>'MASTER STOCK'!L66</f>
        <v>15600</v>
      </c>
      <c r="AN69" s="27">
        <f t="shared" si="6"/>
        <v>0</v>
      </c>
      <c r="AO69" s="26">
        <f t="shared" si="7"/>
        <v>0</v>
      </c>
      <c r="AP69" s="114">
        <f t="shared" si="8"/>
        <v>0</v>
      </c>
      <c r="AQ69" s="10"/>
    </row>
    <row r="70">
      <c r="A70" s="20" t="str">
        <f>'MASTER STOCK'!F67</f>
        <v>Door Bolt / Selot Pintu DIY 4"</v>
      </c>
      <c r="B70" s="21">
        <f>'DES 25'!AJ:AJ</f>
        <v>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23">
        <f t="shared" si="3"/>
        <v>0</v>
      </c>
      <c r="AI70" s="24">
        <v>0.0</v>
      </c>
      <c r="AJ70" s="23">
        <f t="shared" si="4"/>
        <v>3</v>
      </c>
      <c r="AK70" s="23">
        <f t="shared" si="5"/>
        <v>3</v>
      </c>
      <c r="AL70" s="25">
        <f>'MASTER STOCK'!I67</f>
        <v>7500</v>
      </c>
      <c r="AM70" s="27">
        <f>'MASTER STOCK'!L67</f>
        <v>9750</v>
      </c>
      <c r="AN70" s="27">
        <f t="shared" si="6"/>
        <v>0</v>
      </c>
      <c r="AO70" s="26">
        <f t="shared" si="7"/>
        <v>0</v>
      </c>
      <c r="AP70" s="114">
        <f t="shared" si="8"/>
        <v>0</v>
      </c>
      <c r="AQ70" s="10"/>
    </row>
    <row r="71">
      <c r="A71" s="20" t="str">
        <f>'MASTER STOCK'!F68</f>
        <v>Door Bolt / Selot Pintu DIY 3"</v>
      </c>
      <c r="B71" s="21">
        <f>'DES 25'!AJ:AJ</f>
        <v>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23">
        <f t="shared" si="3"/>
        <v>0</v>
      </c>
      <c r="AI71" s="24">
        <v>0.0</v>
      </c>
      <c r="AJ71" s="23">
        <f t="shared" si="4"/>
        <v>2</v>
      </c>
      <c r="AK71" s="23">
        <f t="shared" si="5"/>
        <v>2</v>
      </c>
      <c r="AL71" s="25">
        <f>'MASTER STOCK'!I68</f>
        <v>10500</v>
      </c>
      <c r="AM71" s="27">
        <f>'MASTER STOCK'!L68</f>
        <v>13650</v>
      </c>
      <c r="AN71" s="27">
        <f t="shared" si="6"/>
        <v>0</v>
      </c>
      <c r="AO71" s="26">
        <f t="shared" si="7"/>
        <v>0</v>
      </c>
      <c r="AP71" s="114">
        <f t="shared" si="8"/>
        <v>0</v>
      </c>
      <c r="AQ71" s="10"/>
    </row>
    <row r="72">
      <c r="A72" s="20" t="str">
        <f>'MASTER STOCK'!F69</f>
        <v>Kuas 2" incco</v>
      </c>
      <c r="B72" s="21">
        <f>'DES 25'!AJ:AJ</f>
        <v>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22"/>
      <c r="AF72" s="10"/>
      <c r="AG72" s="10"/>
      <c r="AH72" s="23">
        <f t="shared" si="3"/>
        <v>0</v>
      </c>
      <c r="AI72" s="24">
        <v>0.0</v>
      </c>
      <c r="AJ72" s="23">
        <f t="shared" si="4"/>
        <v>2</v>
      </c>
      <c r="AK72" s="23">
        <f t="shared" si="5"/>
        <v>2</v>
      </c>
      <c r="AL72" s="25">
        <f>'MASTER STOCK'!I69</f>
        <v>7000</v>
      </c>
      <c r="AM72" s="27">
        <f>'MASTER STOCK'!L69</f>
        <v>9100</v>
      </c>
      <c r="AN72" s="27">
        <f t="shared" si="6"/>
        <v>0</v>
      </c>
      <c r="AO72" s="26">
        <f t="shared" si="7"/>
        <v>0</v>
      </c>
      <c r="AP72" s="114">
        <f t="shared" si="8"/>
        <v>0</v>
      </c>
      <c r="AQ72" s="10"/>
    </row>
    <row r="73">
      <c r="A73" s="20" t="str">
        <f>'MASTER STOCK'!F70</f>
        <v>Kuas 1" incco </v>
      </c>
      <c r="B73" s="21">
        <f>'DES 25'!AJ:AJ</f>
        <v>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22"/>
      <c r="AC73" s="10"/>
      <c r="AD73" s="10"/>
      <c r="AE73" s="10"/>
      <c r="AF73" s="10"/>
      <c r="AG73" s="10"/>
      <c r="AH73" s="23">
        <f t="shared" si="3"/>
        <v>0</v>
      </c>
      <c r="AI73" s="24">
        <v>0.0</v>
      </c>
      <c r="AJ73" s="23">
        <f t="shared" si="4"/>
        <v>4</v>
      </c>
      <c r="AK73" s="23">
        <f t="shared" si="5"/>
        <v>4</v>
      </c>
      <c r="AL73" s="25">
        <f>'MASTER STOCK'!I70</f>
        <v>3500</v>
      </c>
      <c r="AM73" s="27">
        <f>'MASTER STOCK'!L70</f>
        <v>4550</v>
      </c>
      <c r="AN73" s="27">
        <f t="shared" si="6"/>
        <v>0</v>
      </c>
      <c r="AO73" s="26">
        <f t="shared" si="7"/>
        <v>0</v>
      </c>
      <c r="AP73" s="114">
        <f t="shared" si="8"/>
        <v>0</v>
      </c>
      <c r="AQ73" s="10"/>
    </row>
    <row r="74">
      <c r="A74" s="20" t="str">
        <f>'MASTER STOCK'!F71</f>
        <v>Kapi Plastik Kuning DIY</v>
      </c>
      <c r="B74" s="21">
        <f>'DES 25'!AJ:AJ</f>
        <v>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23">
        <f t="shared" si="3"/>
        <v>0</v>
      </c>
      <c r="AI74" s="24">
        <v>0.0</v>
      </c>
      <c r="AJ74" s="23">
        <f t="shared" si="4"/>
        <v>4</v>
      </c>
      <c r="AK74" s="23">
        <f t="shared" si="5"/>
        <v>4</v>
      </c>
      <c r="AL74" s="25">
        <f>'MASTER STOCK'!I71</f>
        <v>5500</v>
      </c>
      <c r="AM74" s="27">
        <f>'MASTER STOCK'!L71</f>
        <v>7150</v>
      </c>
      <c r="AN74" s="27">
        <f t="shared" si="6"/>
        <v>0</v>
      </c>
      <c r="AO74" s="26">
        <f t="shared" si="7"/>
        <v>0</v>
      </c>
      <c r="AP74" s="114">
        <f t="shared" si="8"/>
        <v>0</v>
      </c>
      <c r="AQ74" s="10"/>
    </row>
    <row r="75">
      <c r="A75" s="20" t="str">
        <f>'MASTER STOCK'!F72</f>
        <v>Kabel Ties 3.6x300mm (85 gram) isi 100 pcs</v>
      </c>
      <c r="B75" s="21">
        <f>'DES 25'!AJ:AJ</f>
        <v>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23">
        <f t="shared" si="3"/>
        <v>0</v>
      </c>
      <c r="AI75" s="24">
        <v>0.0</v>
      </c>
      <c r="AJ75" s="23">
        <f t="shared" si="4"/>
        <v>1</v>
      </c>
      <c r="AK75" s="23">
        <f t="shared" si="5"/>
        <v>1</v>
      </c>
      <c r="AL75" s="25">
        <f>'MASTER STOCK'!I72</f>
        <v>11000</v>
      </c>
      <c r="AM75" s="27">
        <f>'MASTER STOCK'!L72</f>
        <v>16500</v>
      </c>
      <c r="AN75" s="27">
        <f t="shared" si="6"/>
        <v>0</v>
      </c>
      <c r="AO75" s="26">
        <f t="shared" si="7"/>
        <v>0</v>
      </c>
      <c r="AP75" s="114">
        <f t="shared" si="8"/>
        <v>0</v>
      </c>
      <c r="AQ75" s="10"/>
    </row>
    <row r="76">
      <c r="A76" s="20" t="str">
        <f>'MASTER STOCK'!F73</f>
        <v>Kabel Ties 3.6x150mm (60 gram) isi 100 pcs</v>
      </c>
      <c r="B76" s="21">
        <f>'DES 25'!AJ:AJ</f>
        <v>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23">
        <f t="shared" si="3"/>
        <v>0</v>
      </c>
      <c r="AI76" s="24">
        <v>0.0</v>
      </c>
      <c r="AJ76" s="23">
        <f t="shared" si="4"/>
        <v>1</v>
      </c>
      <c r="AK76" s="23">
        <f t="shared" si="5"/>
        <v>1</v>
      </c>
      <c r="AL76" s="25">
        <f>'MASTER STOCK'!I73</f>
        <v>6500</v>
      </c>
      <c r="AM76" s="27">
        <f>'MASTER STOCK'!L73</f>
        <v>9750</v>
      </c>
      <c r="AN76" s="27">
        <f t="shared" si="6"/>
        <v>0</v>
      </c>
      <c r="AO76" s="26">
        <f t="shared" si="7"/>
        <v>0</v>
      </c>
      <c r="AP76" s="114">
        <f t="shared" si="8"/>
        <v>0</v>
      </c>
      <c r="AQ76" s="10"/>
    </row>
    <row r="77">
      <c r="A77" s="20" t="str">
        <f>'MASTER STOCK'!F74</f>
        <v>Kabel Ties 2.5x200mm (50 gram) isi 100 pcs</v>
      </c>
      <c r="B77" s="21">
        <f>'DES 25'!AJ:AJ</f>
        <v>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23">
        <f t="shared" si="3"/>
        <v>0</v>
      </c>
      <c r="AI77" s="24">
        <v>0.0</v>
      </c>
      <c r="AJ77" s="23">
        <f t="shared" si="4"/>
        <v>1</v>
      </c>
      <c r="AK77" s="23">
        <f t="shared" si="5"/>
        <v>1</v>
      </c>
      <c r="AL77" s="25">
        <f>'MASTER STOCK'!I74</f>
        <v>5300</v>
      </c>
      <c r="AM77" s="27">
        <f>'MASTER STOCK'!L74</f>
        <v>7950</v>
      </c>
      <c r="AN77" s="27">
        <f t="shared" si="6"/>
        <v>0</v>
      </c>
      <c r="AO77" s="26">
        <f t="shared" si="7"/>
        <v>0</v>
      </c>
      <c r="AP77" s="114">
        <f t="shared" si="8"/>
        <v>0</v>
      </c>
      <c r="AQ77" s="10"/>
    </row>
    <row r="78">
      <c r="A78" s="20" t="str">
        <f>'MASTER STOCK'!F75</f>
        <v>Kabel Ties 2.5x100mm (50 gram) isi 100 pcs</v>
      </c>
      <c r="B78" s="21">
        <f>'DES 25'!AJ:AJ</f>
        <v>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23">
        <f t="shared" si="3"/>
        <v>0</v>
      </c>
      <c r="AI78" s="24">
        <v>0.0</v>
      </c>
      <c r="AJ78" s="23">
        <f t="shared" si="4"/>
        <v>3</v>
      </c>
      <c r="AK78" s="23">
        <f t="shared" si="5"/>
        <v>3</v>
      </c>
      <c r="AL78" s="25">
        <f>'MASTER STOCK'!I75</f>
        <v>2850</v>
      </c>
      <c r="AM78" s="27">
        <f>'MASTER STOCK'!L75</f>
        <v>4275</v>
      </c>
      <c r="AN78" s="27">
        <f t="shared" si="6"/>
        <v>0</v>
      </c>
      <c r="AO78" s="26">
        <f t="shared" si="7"/>
        <v>0</v>
      </c>
      <c r="AP78" s="114">
        <f t="shared" si="8"/>
        <v>0</v>
      </c>
      <c r="AQ78" s="10"/>
    </row>
    <row r="79">
      <c r="A79" s="20" t="str">
        <f>'MASTER STOCK'!F76</f>
        <v>Kabel Ties 3.6x300mm (85 gram) isi 100 pcs</v>
      </c>
      <c r="B79" s="21">
        <f>'DES 25'!AJ:AJ</f>
        <v>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23">
        <f t="shared" si="3"/>
        <v>0</v>
      </c>
      <c r="AI79" s="24">
        <v>0.0</v>
      </c>
      <c r="AJ79" s="23">
        <f t="shared" si="4"/>
        <v>1</v>
      </c>
      <c r="AK79" s="23">
        <f t="shared" si="5"/>
        <v>1</v>
      </c>
      <c r="AL79" s="25">
        <f>'MASTER STOCK'!I76</f>
        <v>11000</v>
      </c>
      <c r="AM79" s="27">
        <f>'MASTER STOCK'!L76</f>
        <v>16500</v>
      </c>
      <c r="AN79" s="27">
        <f t="shared" si="6"/>
        <v>0</v>
      </c>
      <c r="AO79" s="26">
        <f t="shared" si="7"/>
        <v>0</v>
      </c>
      <c r="AP79" s="114">
        <f t="shared" si="8"/>
        <v>0</v>
      </c>
      <c r="AQ79" s="10"/>
    </row>
    <row r="80">
      <c r="A80" s="20" t="str">
        <f>'MASTER STOCK'!F77</f>
        <v>Kabel Ties 2.5x150mm (50 gram) isi 100 pcs</v>
      </c>
      <c r="B80" s="21">
        <f>'DES 25'!AJ:AJ</f>
        <v>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23">
        <f t="shared" si="3"/>
        <v>0</v>
      </c>
      <c r="AI80" s="24">
        <v>0.0</v>
      </c>
      <c r="AJ80" s="23">
        <f t="shared" si="4"/>
        <v>1</v>
      </c>
      <c r="AK80" s="23">
        <f t="shared" si="5"/>
        <v>1</v>
      </c>
      <c r="AL80" s="25">
        <f>'MASTER STOCK'!I77</f>
        <v>4100</v>
      </c>
      <c r="AM80" s="27">
        <f>'MASTER STOCK'!L77</f>
        <v>6150</v>
      </c>
      <c r="AN80" s="27">
        <f t="shared" si="6"/>
        <v>0</v>
      </c>
      <c r="AO80" s="26">
        <f t="shared" si="7"/>
        <v>0</v>
      </c>
      <c r="AP80" s="114">
        <f t="shared" si="8"/>
        <v>0</v>
      </c>
      <c r="AQ80" s="10"/>
    </row>
    <row r="81">
      <c r="A81" s="20" t="str">
        <f>'MASTER STOCK'!F78</f>
        <v>Kabel Ties 3.6x250mm (80 gram) isi 100 pcs</v>
      </c>
      <c r="B81" s="21">
        <f>'DES 25'!AJ:AJ</f>
        <v>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23">
        <f t="shared" si="3"/>
        <v>0</v>
      </c>
      <c r="AI81" s="24">
        <v>0.0</v>
      </c>
      <c r="AJ81" s="23">
        <f t="shared" si="4"/>
        <v>1</v>
      </c>
      <c r="AK81" s="23">
        <f t="shared" si="5"/>
        <v>1</v>
      </c>
      <c r="AL81" s="25">
        <f>'MASTER STOCK'!I78</f>
        <v>10300</v>
      </c>
      <c r="AM81" s="27">
        <f>'MASTER STOCK'!L78</f>
        <v>15450</v>
      </c>
      <c r="AN81" s="27">
        <f t="shared" si="6"/>
        <v>0</v>
      </c>
      <c r="AO81" s="26">
        <f t="shared" si="7"/>
        <v>0</v>
      </c>
      <c r="AP81" s="114">
        <f t="shared" si="8"/>
        <v>0</v>
      </c>
      <c r="AQ81" s="10"/>
    </row>
    <row r="82">
      <c r="A82" s="20" t="str">
        <f>'MASTER STOCK'!F79</f>
        <v>Kabel Ties 4.8x200mm (85 gram) isi 100 pcs</v>
      </c>
      <c r="B82" s="21">
        <f>'DES 25'!AJ:AJ</f>
        <v>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23">
        <f t="shared" si="3"/>
        <v>0</v>
      </c>
      <c r="AI82" s="24">
        <v>0.0</v>
      </c>
      <c r="AJ82" s="23">
        <f t="shared" si="4"/>
        <v>1</v>
      </c>
      <c r="AK82" s="23">
        <f t="shared" si="5"/>
        <v>1</v>
      </c>
      <c r="AL82" s="25">
        <f>'MASTER STOCK'!I79</f>
        <v>11000</v>
      </c>
      <c r="AM82" s="27">
        <f>'MASTER STOCK'!L79</f>
        <v>16500</v>
      </c>
      <c r="AN82" s="27">
        <f t="shared" si="6"/>
        <v>0</v>
      </c>
      <c r="AO82" s="26">
        <f t="shared" si="7"/>
        <v>0</v>
      </c>
      <c r="AP82" s="114">
        <f t="shared" si="8"/>
        <v>0</v>
      </c>
      <c r="AQ82" s="10"/>
    </row>
    <row r="83">
      <c r="A83" s="20" t="str">
        <f>'MASTER STOCK'!F80</f>
        <v>Kabel Ties 2.5x100mm (50 gram) isi 100 pcs</v>
      </c>
      <c r="B83" s="21">
        <f>'DES 25'!AJ:AJ</f>
        <v>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23">
        <f t="shared" si="3"/>
        <v>0</v>
      </c>
      <c r="AI83" s="24">
        <v>0.0</v>
      </c>
      <c r="AJ83" s="23">
        <f t="shared" si="4"/>
        <v>1</v>
      </c>
      <c r="AK83" s="23">
        <f t="shared" si="5"/>
        <v>1</v>
      </c>
      <c r="AL83" s="25">
        <f>'MASTER STOCK'!I80</f>
        <v>2850</v>
      </c>
      <c r="AM83" s="27">
        <f>'MASTER STOCK'!L80</f>
        <v>4275</v>
      </c>
      <c r="AN83" s="27">
        <f t="shared" si="6"/>
        <v>0</v>
      </c>
      <c r="AO83" s="26">
        <f t="shared" si="7"/>
        <v>0</v>
      </c>
      <c r="AP83" s="114">
        <f t="shared" si="8"/>
        <v>0</v>
      </c>
      <c r="AQ83" s="10"/>
    </row>
    <row r="84">
      <c r="A84" s="20" t="str">
        <f>'MASTER STOCK'!F81</f>
        <v>Kabel Ties 3.6x150mm (70 gram) isi 100 pcs</v>
      </c>
      <c r="B84" s="21">
        <f>'DES 25'!AJ:AJ</f>
        <v>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23">
        <f t="shared" si="3"/>
        <v>0</v>
      </c>
      <c r="AI84" s="24">
        <v>0.0</v>
      </c>
      <c r="AJ84" s="23">
        <f t="shared" si="4"/>
        <v>1</v>
      </c>
      <c r="AK84" s="23">
        <f t="shared" si="5"/>
        <v>1</v>
      </c>
      <c r="AL84" s="25">
        <f>'MASTER STOCK'!I81</f>
        <v>6500</v>
      </c>
      <c r="AM84" s="27">
        <f>'MASTER STOCK'!L81</f>
        <v>9750</v>
      </c>
      <c r="AN84" s="27">
        <f t="shared" si="6"/>
        <v>0</v>
      </c>
      <c r="AO84" s="26">
        <f t="shared" si="7"/>
        <v>0</v>
      </c>
      <c r="AP84" s="114">
        <f t="shared" si="8"/>
        <v>0</v>
      </c>
      <c r="AQ84" s="10"/>
    </row>
    <row r="85">
      <c r="A85" s="20" t="str">
        <f>'MASTER STOCK'!F82</f>
        <v>Kabel Ties 4.8x200mm (85 gram) isi 100 pcs</v>
      </c>
      <c r="B85" s="21">
        <f>'DES 25'!AJ:AJ</f>
        <v>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23">
        <f t="shared" si="3"/>
        <v>0</v>
      </c>
      <c r="AI85" s="24">
        <v>0.0</v>
      </c>
      <c r="AJ85" s="23">
        <f t="shared" si="4"/>
        <v>1</v>
      </c>
      <c r="AK85" s="23">
        <f t="shared" si="5"/>
        <v>1</v>
      </c>
      <c r="AL85" s="25">
        <f>'MASTER STOCK'!I82</f>
        <v>11000</v>
      </c>
      <c r="AM85" s="27">
        <f>'MASTER STOCK'!L82</f>
        <v>16500</v>
      </c>
      <c r="AN85" s="27">
        <f t="shared" si="6"/>
        <v>0</v>
      </c>
      <c r="AO85" s="26">
        <f t="shared" si="7"/>
        <v>0</v>
      </c>
      <c r="AP85" s="114">
        <f t="shared" si="8"/>
        <v>0</v>
      </c>
      <c r="AQ85" s="10"/>
    </row>
    <row r="86">
      <c r="A86" s="20" t="str">
        <f>'MASTER STOCK'!F83</f>
        <v>Kabel Ties 3.6x250mm (70 gram) isi 100 pcs</v>
      </c>
      <c r="B86" s="21">
        <f>'DES 25'!AJ:AJ</f>
        <v>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23">
        <f t="shared" si="3"/>
        <v>0</v>
      </c>
      <c r="AI86" s="24">
        <v>0.0</v>
      </c>
      <c r="AJ86" s="23">
        <f t="shared" si="4"/>
        <v>1</v>
      </c>
      <c r="AK86" s="23">
        <f t="shared" si="5"/>
        <v>1</v>
      </c>
      <c r="AL86" s="25">
        <f>'MASTER STOCK'!I83</f>
        <v>10300</v>
      </c>
      <c r="AM86" s="27">
        <f>'MASTER STOCK'!L83</f>
        <v>15450</v>
      </c>
      <c r="AN86" s="27">
        <f t="shared" si="6"/>
        <v>0</v>
      </c>
      <c r="AO86" s="26">
        <f t="shared" si="7"/>
        <v>0</v>
      </c>
      <c r="AP86" s="114">
        <f t="shared" si="8"/>
        <v>0</v>
      </c>
      <c r="AQ86" s="10"/>
    </row>
    <row r="87">
      <c r="A87" s="20" t="str">
        <f>'MASTER STOCK'!F84</f>
        <v>Kabel Transparan 2x30 90M full serabut per roll 2line</v>
      </c>
      <c r="B87" s="21">
        <f>'DES 25'!AJ:AJ</f>
        <v>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23">
        <f t="shared" si="3"/>
        <v>0</v>
      </c>
      <c r="AI87" s="24">
        <v>0.0</v>
      </c>
      <c r="AJ87" s="23">
        <f t="shared" si="4"/>
        <v>1</v>
      </c>
      <c r="AK87" s="23">
        <f t="shared" si="5"/>
        <v>1</v>
      </c>
      <c r="AL87" s="25">
        <f>'MASTER STOCK'!I84</f>
        <v>80000</v>
      </c>
      <c r="AM87" s="27">
        <f>'MASTER STOCK'!L84</f>
        <v>136000</v>
      </c>
      <c r="AN87" s="27">
        <f t="shared" si="6"/>
        <v>0</v>
      </c>
      <c r="AO87" s="26">
        <f t="shared" si="7"/>
        <v>0</v>
      </c>
      <c r="AP87" s="114">
        <f t="shared" si="8"/>
        <v>0</v>
      </c>
      <c r="AQ87" s="10"/>
    </row>
    <row r="88">
      <c r="A88" s="20" t="str">
        <f>'MASTER STOCK'!F85</f>
        <v>Kabel Transparan 2x80 90M full serabut per roll 2line</v>
      </c>
      <c r="B88" s="21">
        <f>'DES 25'!AJ:AJ</f>
        <v>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23">
        <f t="shared" si="3"/>
        <v>0</v>
      </c>
      <c r="AI88" s="24">
        <v>0.0</v>
      </c>
      <c r="AJ88" s="23">
        <f t="shared" si="4"/>
        <v>1</v>
      </c>
      <c r="AK88" s="23">
        <f t="shared" si="5"/>
        <v>1</v>
      </c>
      <c r="AL88" s="25">
        <f>'MASTER STOCK'!I85</f>
        <v>165000</v>
      </c>
      <c r="AM88" s="27">
        <f>'MASTER STOCK'!L85</f>
        <v>280500</v>
      </c>
      <c r="AN88" s="27">
        <f t="shared" si="6"/>
        <v>0</v>
      </c>
      <c r="AO88" s="26">
        <f t="shared" si="7"/>
        <v>0</v>
      </c>
      <c r="AP88" s="114">
        <f t="shared" si="8"/>
        <v>0</v>
      </c>
      <c r="AQ88" s="10"/>
    </row>
    <row r="89">
      <c r="A89" s="20" t="str">
        <f>'MASTER STOCK'!F86</f>
        <v>Kabel Transparan 2x50 90M full serabut per roll 2line</v>
      </c>
      <c r="B89" s="21">
        <f>'DES 25'!AJ:AJ</f>
        <v>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23">
        <f t="shared" si="3"/>
        <v>0</v>
      </c>
      <c r="AI89" s="24">
        <v>0.0</v>
      </c>
      <c r="AJ89" s="23">
        <f t="shared" si="4"/>
        <v>1</v>
      </c>
      <c r="AK89" s="23">
        <f t="shared" si="5"/>
        <v>1</v>
      </c>
      <c r="AL89" s="25">
        <f>'MASTER STOCK'!I86</f>
        <v>140000</v>
      </c>
      <c r="AM89" s="27">
        <f>'MASTER STOCK'!L86</f>
        <v>238000</v>
      </c>
      <c r="AN89" s="27">
        <f t="shared" si="6"/>
        <v>0</v>
      </c>
      <c r="AO89" s="26">
        <f t="shared" si="7"/>
        <v>0</v>
      </c>
      <c r="AP89" s="114">
        <f t="shared" si="8"/>
        <v>0</v>
      </c>
      <c r="AQ89" s="10"/>
    </row>
    <row r="90">
      <c r="A90" s="20" t="str">
        <f>'MASTER STOCK'!F87</f>
        <v>Solder listrik gagang kayu 60watt</v>
      </c>
      <c r="B90" s="21">
        <f>'DES 25'!AJ:AJ</f>
        <v>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22"/>
      <c r="AH90" s="23">
        <f t="shared" si="3"/>
        <v>0</v>
      </c>
      <c r="AI90" s="24">
        <v>0.0</v>
      </c>
      <c r="AJ90" s="23">
        <f t="shared" si="4"/>
        <v>4</v>
      </c>
      <c r="AK90" s="23">
        <f t="shared" si="5"/>
        <v>4</v>
      </c>
      <c r="AL90" s="25">
        <f>'MASTER STOCK'!I87</f>
        <v>13000</v>
      </c>
      <c r="AM90" s="27">
        <f>'MASTER STOCK'!L87</f>
        <v>16900</v>
      </c>
      <c r="AN90" s="27">
        <f t="shared" si="6"/>
        <v>0</v>
      </c>
      <c r="AO90" s="26">
        <f t="shared" si="7"/>
        <v>0</v>
      </c>
      <c r="AP90" s="114">
        <f t="shared" si="8"/>
        <v>0</v>
      </c>
      <c r="AQ90" s="10"/>
    </row>
    <row r="91">
      <c r="A91" s="20" t="str">
        <f>'MASTER STOCK'!F88</f>
        <v>Timah gulung solder tenol elektrik</v>
      </c>
      <c r="B91" s="21">
        <f>'DES 25'!AJ:AJ</f>
        <v>2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22"/>
      <c r="AH91" s="23">
        <f t="shared" si="3"/>
        <v>0</v>
      </c>
      <c r="AI91" s="24">
        <v>0.0</v>
      </c>
      <c r="AJ91" s="23">
        <f t="shared" si="4"/>
        <v>2</v>
      </c>
      <c r="AK91" s="23">
        <f t="shared" si="5"/>
        <v>2</v>
      </c>
      <c r="AL91" s="25">
        <f>'MASTER STOCK'!I88</f>
        <v>10500</v>
      </c>
      <c r="AM91" s="27">
        <f>'MASTER STOCK'!L88</f>
        <v>13650</v>
      </c>
      <c r="AN91" s="27">
        <f t="shared" si="6"/>
        <v>0</v>
      </c>
      <c r="AO91" s="26">
        <f t="shared" si="7"/>
        <v>0</v>
      </c>
      <c r="AP91" s="114">
        <f t="shared" si="8"/>
        <v>0</v>
      </c>
      <c r="AQ91" s="10"/>
    </row>
    <row r="92">
      <c r="A92" s="20" t="str">
        <f>'MASTER STOCK'!F89</f>
        <v>Solasi lakban coklat</v>
      </c>
      <c r="B92" s="21">
        <f>'DES 25'!AJ:AJ</f>
        <v>6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23">
        <f t="shared" si="3"/>
        <v>0</v>
      </c>
      <c r="AI92" s="24">
        <v>0.0</v>
      </c>
      <c r="AJ92" s="23">
        <f t="shared" si="4"/>
        <v>6</v>
      </c>
      <c r="AK92" s="23">
        <f t="shared" si="5"/>
        <v>6</v>
      </c>
      <c r="AL92" s="25">
        <f>'MASTER STOCK'!I89</f>
        <v>3600</v>
      </c>
      <c r="AM92" s="27">
        <f>'MASTER STOCK'!L89</f>
        <v>5400</v>
      </c>
      <c r="AN92" s="27">
        <f t="shared" si="6"/>
        <v>0</v>
      </c>
      <c r="AO92" s="26">
        <f t="shared" si="7"/>
        <v>0</v>
      </c>
      <c r="AP92" s="114">
        <f t="shared" si="8"/>
        <v>0</v>
      </c>
      <c r="AQ92" s="10"/>
    </row>
    <row r="93">
      <c r="A93" s="20" t="str">
        <f>'MASTER STOCK'!F90</f>
        <v>Spidol Kecil snowman Hitam</v>
      </c>
      <c r="B93" s="21">
        <f>'DES 25'!AJ:AJ</f>
        <v>12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23">
        <f t="shared" si="3"/>
        <v>0</v>
      </c>
      <c r="AI93" s="24">
        <v>0.0</v>
      </c>
      <c r="AJ93" s="23">
        <f t="shared" si="4"/>
        <v>12</v>
      </c>
      <c r="AK93" s="23">
        <f t="shared" si="5"/>
        <v>12</v>
      </c>
      <c r="AL93" s="25">
        <f>'MASTER STOCK'!I90</f>
        <v>1700</v>
      </c>
      <c r="AM93" s="27">
        <f>'MASTER STOCK'!L90</f>
        <v>2550</v>
      </c>
      <c r="AN93" s="27">
        <f t="shared" si="6"/>
        <v>0</v>
      </c>
      <c r="AO93" s="26">
        <f t="shared" si="7"/>
        <v>0</v>
      </c>
      <c r="AP93" s="114">
        <f t="shared" si="8"/>
        <v>0</v>
      </c>
      <c r="AQ93" s="10"/>
    </row>
    <row r="94">
      <c r="A94" s="20" t="str">
        <f>'MASTER STOCK'!F91</f>
        <v>Spidol Kecil snowman Merah</v>
      </c>
      <c r="B94" s="21">
        <f>'DES 25'!AJ:AJ</f>
        <v>12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23">
        <f t="shared" si="3"/>
        <v>0</v>
      </c>
      <c r="AI94" s="24">
        <v>0.0</v>
      </c>
      <c r="AJ94" s="23">
        <f t="shared" si="4"/>
        <v>12</v>
      </c>
      <c r="AK94" s="23">
        <f t="shared" si="5"/>
        <v>12</v>
      </c>
      <c r="AL94" s="25">
        <f>'MASTER STOCK'!I91</f>
        <v>1700</v>
      </c>
      <c r="AM94" s="27">
        <f>'MASTER STOCK'!L91</f>
        <v>2550</v>
      </c>
      <c r="AN94" s="27">
        <f t="shared" si="6"/>
        <v>0</v>
      </c>
      <c r="AO94" s="26">
        <f t="shared" si="7"/>
        <v>0</v>
      </c>
      <c r="AP94" s="114">
        <f t="shared" si="8"/>
        <v>0</v>
      </c>
      <c r="AQ94" s="10"/>
    </row>
    <row r="95">
      <c r="A95" s="20" t="str">
        <f>'MASTER STOCK'!F92</f>
        <v>isolasi Lakban Packing bening</v>
      </c>
      <c r="B95" s="21">
        <f>'DES 25'!AJ:AJ</f>
        <v>5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22"/>
      <c r="AF95" s="10"/>
      <c r="AG95" s="10"/>
      <c r="AH95" s="23">
        <f t="shared" si="3"/>
        <v>0</v>
      </c>
      <c r="AI95" s="24">
        <v>0.0</v>
      </c>
      <c r="AJ95" s="23">
        <f t="shared" si="4"/>
        <v>5</v>
      </c>
      <c r="AK95" s="23">
        <f t="shared" si="5"/>
        <v>5</v>
      </c>
      <c r="AL95" s="25">
        <f>'MASTER STOCK'!I92</f>
        <v>4500</v>
      </c>
      <c r="AM95" s="27">
        <f>'MASTER STOCK'!L92</f>
        <v>5850</v>
      </c>
      <c r="AN95" s="27">
        <f t="shared" si="6"/>
        <v>0</v>
      </c>
      <c r="AO95" s="26">
        <f t="shared" si="7"/>
        <v>0</v>
      </c>
      <c r="AP95" s="114">
        <f t="shared" si="8"/>
        <v>0</v>
      </c>
      <c r="AQ95" s="10"/>
    </row>
    <row r="96">
      <c r="A96" s="20" t="str">
        <f>'MASTER STOCK'!F93</f>
        <v>Tali tampar/ Tali tukang</v>
      </c>
      <c r="B96" s="21">
        <f>'DES 25'!AJ:AJ</f>
        <v>20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23">
        <f t="shared" si="3"/>
        <v>0</v>
      </c>
      <c r="AI96" s="24">
        <v>0.0</v>
      </c>
      <c r="AJ96" s="23">
        <f t="shared" si="4"/>
        <v>20</v>
      </c>
      <c r="AK96" s="23">
        <f t="shared" si="5"/>
        <v>20</v>
      </c>
      <c r="AL96" s="25">
        <f>'MASTER STOCK'!I93</f>
        <v>1750</v>
      </c>
      <c r="AM96" s="27">
        <f>'MASTER STOCK'!L93</f>
        <v>2275</v>
      </c>
      <c r="AN96" s="27">
        <f t="shared" si="6"/>
        <v>0</v>
      </c>
      <c r="AO96" s="26">
        <f t="shared" si="7"/>
        <v>0</v>
      </c>
      <c r="AP96" s="114">
        <f t="shared" si="8"/>
        <v>0</v>
      </c>
      <c r="AQ96" s="10"/>
    </row>
    <row r="97">
      <c r="A97" s="20" t="str">
        <f>'MASTER STOCK'!F94</f>
        <v>Keranjang serbaguna</v>
      </c>
      <c r="B97" s="21">
        <f>'DES 25'!AJ:AJ</f>
        <v>24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23">
        <f t="shared" si="3"/>
        <v>0</v>
      </c>
      <c r="AI97" s="24">
        <v>0.0</v>
      </c>
      <c r="AJ97" s="23">
        <f t="shared" si="4"/>
        <v>24</v>
      </c>
      <c r="AK97" s="23">
        <f t="shared" si="5"/>
        <v>24</v>
      </c>
      <c r="AL97" s="25">
        <f>'MASTER STOCK'!I94</f>
        <v>4700</v>
      </c>
      <c r="AM97" s="27" t="str">
        <f>'MASTER STOCK'!L94</f>
        <v/>
      </c>
      <c r="AN97" s="27">
        <f t="shared" si="6"/>
        <v>0</v>
      </c>
      <c r="AO97" s="26">
        <f t="shared" si="7"/>
        <v>0</v>
      </c>
      <c r="AP97" s="114">
        <f t="shared" si="8"/>
        <v>0</v>
      </c>
      <c r="AQ97" s="10"/>
    </row>
    <row r="98">
      <c r="A98" s="20" t="str">
        <f>'MASTER STOCK'!F95</f>
        <v>Paku (Nail 2000) 1 1/2"</v>
      </c>
      <c r="B98" s="21">
        <f>'DES 25'!AJ:AJ</f>
        <v>0.5</v>
      </c>
      <c r="C98" s="22">
        <v>0.25</v>
      </c>
      <c r="D98" s="22"/>
      <c r="E98" s="10"/>
      <c r="F98" s="22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22"/>
      <c r="R98" s="10"/>
      <c r="S98" s="10"/>
      <c r="T98" s="10"/>
      <c r="U98" s="22">
        <v>0.5</v>
      </c>
      <c r="V98" s="22">
        <v>0.3</v>
      </c>
      <c r="W98" s="10"/>
      <c r="X98" s="10"/>
      <c r="Y98" s="10"/>
      <c r="Z98" s="22"/>
      <c r="AA98" s="22"/>
      <c r="AB98" s="22"/>
      <c r="AC98" s="10"/>
      <c r="AD98" s="10"/>
      <c r="AE98" s="10"/>
      <c r="AF98" s="10"/>
      <c r="AG98" s="10"/>
      <c r="AH98" s="23">
        <f t="shared" si="3"/>
        <v>1.05</v>
      </c>
      <c r="AI98" s="24">
        <v>0.0</v>
      </c>
      <c r="AJ98" s="23">
        <f t="shared" si="4"/>
        <v>-0.55</v>
      </c>
      <c r="AK98" s="23">
        <f t="shared" si="5"/>
        <v>-0.55</v>
      </c>
      <c r="AL98" s="25">
        <f>'MASTER STOCK'!I95</f>
        <v>14400</v>
      </c>
      <c r="AM98" s="27">
        <f>'MASTER STOCK'!L95</f>
        <v>18720</v>
      </c>
      <c r="AN98" s="27">
        <f t="shared" si="6"/>
        <v>19656</v>
      </c>
      <c r="AO98" s="26">
        <f t="shared" si="7"/>
        <v>4536</v>
      </c>
      <c r="AP98" s="114">
        <f t="shared" si="8"/>
        <v>15120</v>
      </c>
      <c r="AQ98" s="10"/>
    </row>
    <row r="99">
      <c r="A99" s="20" t="str">
        <f>'MASTER STOCK'!F96</f>
        <v>Paku (Nail 2000) 2 1/2"</v>
      </c>
      <c r="B99" s="21">
        <f>'DES 25'!AJ:AJ</f>
        <v>17.3</v>
      </c>
      <c r="C99" s="22"/>
      <c r="D99" s="10"/>
      <c r="E99" s="10"/>
      <c r="F99" s="10"/>
      <c r="G99" s="10"/>
      <c r="H99" s="10"/>
      <c r="I99" s="10"/>
      <c r="J99" s="10"/>
      <c r="K99" s="22">
        <v>0.25</v>
      </c>
      <c r="L99" s="22"/>
      <c r="M99" s="10"/>
      <c r="N99" s="10"/>
      <c r="O99" s="10"/>
      <c r="P99" s="10"/>
      <c r="Q99" s="10"/>
      <c r="R99" s="10"/>
      <c r="S99" s="22"/>
      <c r="T99" s="22"/>
      <c r="U99" s="10"/>
      <c r="V99" s="10"/>
      <c r="W99" s="10"/>
      <c r="X99" s="22"/>
      <c r="Y99" s="10"/>
      <c r="Z99" s="10"/>
      <c r="AA99" s="10"/>
      <c r="AB99" s="22"/>
      <c r="AC99" s="10"/>
      <c r="AD99" s="10"/>
      <c r="AE99" s="22"/>
      <c r="AF99" s="10"/>
      <c r="AG99" s="10"/>
      <c r="AH99" s="23">
        <f t="shared" si="3"/>
        <v>0.25</v>
      </c>
      <c r="AI99" s="24">
        <v>0.0</v>
      </c>
      <c r="AJ99" s="23">
        <f t="shared" si="4"/>
        <v>17.05</v>
      </c>
      <c r="AK99" s="23">
        <f t="shared" si="5"/>
        <v>17.05</v>
      </c>
      <c r="AL99" s="25">
        <f>'MASTER STOCK'!I96</f>
        <v>13500</v>
      </c>
      <c r="AM99" s="27">
        <f>'MASTER STOCK'!L96</f>
        <v>17550</v>
      </c>
      <c r="AN99" s="27">
        <f t="shared" si="6"/>
        <v>4387.5</v>
      </c>
      <c r="AO99" s="26">
        <f t="shared" si="7"/>
        <v>1012.5</v>
      </c>
      <c r="AP99" s="114">
        <f t="shared" si="8"/>
        <v>3375</v>
      </c>
      <c r="AQ99" s="10"/>
    </row>
    <row r="100">
      <c r="A100" s="20" t="str">
        <f>'MASTER STOCK'!F97</f>
        <v>Paku (Nail 2000) 3"</v>
      </c>
      <c r="B100" s="21">
        <f>'DES 25'!AJ:AJ</f>
        <v>13.4</v>
      </c>
      <c r="C100" s="22"/>
      <c r="D100" s="10"/>
      <c r="E100" s="10"/>
      <c r="F100" s="22"/>
      <c r="G100" s="10"/>
      <c r="H100" s="22"/>
      <c r="I100" s="10"/>
      <c r="J100" s="22"/>
      <c r="K100" s="22"/>
      <c r="L100" s="22"/>
      <c r="M100" s="10"/>
      <c r="N100" s="10"/>
      <c r="O100" s="10"/>
      <c r="P100" s="10"/>
      <c r="Q100" s="22"/>
      <c r="R100" s="10"/>
      <c r="S100" s="22"/>
      <c r="T100" s="10"/>
      <c r="U100" s="22"/>
      <c r="V100" s="10"/>
      <c r="W100" s="22"/>
      <c r="X100" s="10"/>
      <c r="Y100" s="22"/>
      <c r="Z100" s="10"/>
      <c r="AA100" s="10"/>
      <c r="AB100" s="10"/>
      <c r="AC100" s="10"/>
      <c r="AD100" s="10"/>
      <c r="AE100" s="10"/>
      <c r="AF100" s="10"/>
      <c r="AG100" s="10"/>
      <c r="AH100" s="23">
        <f t="shared" si="3"/>
        <v>0</v>
      </c>
      <c r="AI100" s="24">
        <v>0.0</v>
      </c>
      <c r="AJ100" s="23">
        <f t="shared" si="4"/>
        <v>13.4</v>
      </c>
      <c r="AK100" s="23">
        <f t="shared" si="5"/>
        <v>13.4</v>
      </c>
      <c r="AL100" s="25">
        <f>'MASTER STOCK'!I97</f>
        <v>13500</v>
      </c>
      <c r="AM100" s="27">
        <f>'MASTER STOCK'!L97</f>
        <v>17550</v>
      </c>
      <c r="AN100" s="27">
        <f t="shared" si="6"/>
        <v>0</v>
      </c>
      <c r="AO100" s="26">
        <f t="shared" si="7"/>
        <v>0</v>
      </c>
      <c r="AP100" s="114">
        <f t="shared" si="8"/>
        <v>0</v>
      </c>
      <c r="AQ100" s="10"/>
    </row>
    <row r="101">
      <c r="A101" s="20" t="str">
        <f>'MASTER STOCK'!F98</f>
        <v>Paku (Nail 2000) 1"</v>
      </c>
      <c r="B101" s="21">
        <f>'DES 25'!AJ:AJ</f>
        <v>2.25</v>
      </c>
      <c r="C101" s="22"/>
      <c r="D101" s="10"/>
      <c r="E101" s="10"/>
      <c r="F101" s="10"/>
      <c r="G101" s="10"/>
      <c r="H101" s="22"/>
      <c r="I101" s="10"/>
      <c r="J101" s="10"/>
      <c r="K101" s="22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22"/>
      <c r="Z101" s="10"/>
      <c r="AA101" s="10"/>
      <c r="AB101" s="10"/>
      <c r="AC101" s="10"/>
      <c r="AD101" s="10"/>
      <c r="AE101" s="10"/>
      <c r="AF101" s="10"/>
      <c r="AG101" s="10"/>
      <c r="AH101" s="23">
        <f t="shared" si="3"/>
        <v>0</v>
      </c>
      <c r="AI101" s="24">
        <v>0.0</v>
      </c>
      <c r="AJ101" s="23">
        <f t="shared" si="4"/>
        <v>2.25</v>
      </c>
      <c r="AK101" s="23">
        <f t="shared" si="5"/>
        <v>2.25</v>
      </c>
      <c r="AL101" s="25">
        <f>'MASTER STOCK'!I98</f>
        <v>15200</v>
      </c>
      <c r="AM101" s="27">
        <f>'MASTER STOCK'!L98</f>
        <v>19760</v>
      </c>
      <c r="AN101" s="27">
        <f t="shared" si="6"/>
        <v>0</v>
      </c>
      <c r="AO101" s="26">
        <f t="shared" si="7"/>
        <v>0</v>
      </c>
      <c r="AP101" s="114">
        <f t="shared" si="8"/>
        <v>0</v>
      </c>
      <c r="AQ101" s="10"/>
    </row>
    <row r="102">
      <c r="A102" s="20" t="str">
        <f>'MASTER STOCK'!F99</f>
        <v>Paku (Nail 20000 1 3/4"</v>
      </c>
      <c r="B102" s="21">
        <f>'DES 25'!AJ:AJ</f>
        <v>2.05</v>
      </c>
      <c r="C102" s="22"/>
      <c r="D102" s="10"/>
      <c r="E102" s="10"/>
      <c r="F102" s="22"/>
      <c r="G102" s="10"/>
      <c r="H102" s="22"/>
      <c r="I102" s="22"/>
      <c r="J102" s="10"/>
      <c r="K102" s="10"/>
      <c r="L102" s="10"/>
      <c r="M102" s="10"/>
      <c r="N102" s="10"/>
      <c r="O102" s="10"/>
      <c r="P102" s="10"/>
      <c r="Q102" s="10"/>
      <c r="R102" s="10"/>
      <c r="S102" s="22"/>
      <c r="T102" s="10"/>
      <c r="U102" s="10"/>
      <c r="V102" s="10"/>
      <c r="W102" s="22">
        <v>0.5</v>
      </c>
      <c r="X102" s="22"/>
      <c r="Y102" s="22"/>
      <c r="Z102" s="10"/>
      <c r="AA102" s="10"/>
      <c r="AB102" s="22"/>
      <c r="AC102" s="10"/>
      <c r="AD102" s="10"/>
      <c r="AE102" s="22"/>
      <c r="AF102" s="10"/>
      <c r="AG102" s="10"/>
      <c r="AH102" s="23">
        <f t="shared" si="3"/>
        <v>0.5</v>
      </c>
      <c r="AI102" s="24">
        <v>0.0</v>
      </c>
      <c r="AJ102" s="23">
        <f t="shared" si="4"/>
        <v>1.55</v>
      </c>
      <c r="AK102" s="23">
        <f t="shared" si="5"/>
        <v>1.55</v>
      </c>
      <c r="AL102" s="25">
        <f>'MASTER STOCK'!I99</f>
        <v>14100</v>
      </c>
      <c r="AM102" s="27">
        <f>'MASTER STOCK'!L99</f>
        <v>18330</v>
      </c>
      <c r="AN102" s="27">
        <f t="shared" si="6"/>
        <v>9165</v>
      </c>
      <c r="AO102" s="26">
        <f t="shared" si="7"/>
        <v>2115</v>
      </c>
      <c r="AP102" s="114">
        <f t="shared" si="8"/>
        <v>7050</v>
      </c>
      <c r="AQ102" s="10"/>
    </row>
    <row r="103">
      <c r="A103" s="20" t="str">
        <f>'MASTER STOCK'!F100</f>
        <v>Paku (Nail 2000) 2"</v>
      </c>
      <c r="B103" s="21">
        <f>'DES 25'!AJ:AJ</f>
        <v>9.75</v>
      </c>
      <c r="C103" s="22"/>
      <c r="D103" s="22"/>
      <c r="E103" s="10"/>
      <c r="F103" s="10"/>
      <c r="G103" s="10"/>
      <c r="H103" s="22"/>
      <c r="I103" s="22"/>
      <c r="J103" s="10"/>
      <c r="K103" s="10"/>
      <c r="L103" s="22"/>
      <c r="M103" s="10"/>
      <c r="N103" s="10"/>
      <c r="O103" s="10"/>
      <c r="P103" s="10"/>
      <c r="Q103" s="22"/>
      <c r="R103" s="10"/>
      <c r="S103" s="22"/>
      <c r="T103" s="10"/>
      <c r="U103" s="22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23">
        <f t="shared" si="3"/>
        <v>0</v>
      </c>
      <c r="AI103" s="24">
        <v>0.0</v>
      </c>
      <c r="AJ103" s="23">
        <f t="shared" si="4"/>
        <v>9.75</v>
      </c>
      <c r="AK103" s="23">
        <f t="shared" si="5"/>
        <v>9.75</v>
      </c>
      <c r="AL103" s="25">
        <f>'MASTER STOCK'!I100</f>
        <v>13500</v>
      </c>
      <c r="AM103" s="27">
        <f>'MASTER STOCK'!L100</f>
        <v>17550</v>
      </c>
      <c r="AN103" s="27">
        <f t="shared" si="6"/>
        <v>0</v>
      </c>
      <c r="AO103" s="26">
        <f t="shared" si="7"/>
        <v>0</v>
      </c>
      <c r="AP103" s="114">
        <f t="shared" si="8"/>
        <v>0</v>
      </c>
      <c r="AQ103" s="10"/>
    </row>
    <row r="104">
      <c r="A104" s="20" t="str">
        <f>'MASTER STOCK'!F101</f>
        <v>Besi Beton 6mm SNI (U)</v>
      </c>
      <c r="B104" s="21">
        <f>'DES 25'!AJ:AJ</f>
        <v>10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23">
        <f t="shared" si="3"/>
        <v>0</v>
      </c>
      <c r="AI104" s="24">
        <v>0.0</v>
      </c>
      <c r="AJ104" s="23">
        <f t="shared" si="4"/>
        <v>10</v>
      </c>
      <c r="AK104" s="23">
        <f t="shared" si="5"/>
        <v>10</v>
      </c>
      <c r="AL104" s="25">
        <f>'MASTER STOCK'!I101</f>
        <v>22000</v>
      </c>
      <c r="AM104" s="27">
        <f>'MASTER STOCK'!L101</f>
        <v>26000</v>
      </c>
      <c r="AN104" s="27">
        <f t="shared" si="6"/>
        <v>0</v>
      </c>
      <c r="AO104" s="26">
        <f t="shared" si="7"/>
        <v>0</v>
      </c>
      <c r="AP104" s="114">
        <f t="shared" si="8"/>
        <v>0</v>
      </c>
      <c r="AQ104" s="10"/>
    </row>
    <row r="105">
      <c r="A105" s="20" t="str">
        <f>'MASTER STOCK'!F102</f>
        <v>Besi Beton 8mm SNI (U)</v>
      </c>
      <c r="B105" s="21">
        <f>'DES 25'!AJ:AJ</f>
        <v>8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22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23">
        <f t="shared" si="3"/>
        <v>0</v>
      </c>
      <c r="AI105" s="24">
        <v>0.0</v>
      </c>
      <c r="AJ105" s="23">
        <f t="shared" si="4"/>
        <v>8</v>
      </c>
      <c r="AK105" s="23">
        <f t="shared" si="5"/>
        <v>8</v>
      </c>
      <c r="AL105" s="25">
        <f>'MASTER STOCK'!I102</f>
        <v>37000</v>
      </c>
      <c r="AM105" s="27">
        <f>'MASTER STOCK'!L102</f>
        <v>43000</v>
      </c>
      <c r="AN105" s="27">
        <f t="shared" si="6"/>
        <v>0</v>
      </c>
      <c r="AO105" s="26">
        <f t="shared" si="7"/>
        <v>0</v>
      </c>
      <c r="AP105" s="114">
        <f t="shared" si="8"/>
        <v>0</v>
      </c>
      <c r="AQ105" s="10"/>
    </row>
    <row r="106">
      <c r="A106" s="20" t="str">
        <f>'MASTER STOCK'!F103</f>
        <v>Besi Beton 10mm SNI (U)</v>
      </c>
      <c r="B106" s="21">
        <f>'DES 25'!AJ:AJ</f>
        <v>5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23">
        <f t="shared" si="3"/>
        <v>0</v>
      </c>
      <c r="AI106" s="24">
        <v>0.0</v>
      </c>
      <c r="AJ106" s="23">
        <f t="shared" si="4"/>
        <v>5</v>
      </c>
      <c r="AK106" s="23">
        <f t="shared" si="5"/>
        <v>5</v>
      </c>
      <c r="AL106" s="25">
        <f>'MASTER STOCK'!I103</f>
        <v>58000</v>
      </c>
      <c r="AM106" s="27">
        <f>'MASTER STOCK'!L103</f>
        <v>73000</v>
      </c>
      <c r="AN106" s="27">
        <f t="shared" si="6"/>
        <v>0</v>
      </c>
      <c r="AO106" s="26">
        <f t="shared" si="7"/>
        <v>0</v>
      </c>
      <c r="AP106" s="114">
        <f t="shared" si="8"/>
        <v>0</v>
      </c>
      <c r="AQ106" s="10"/>
    </row>
    <row r="107">
      <c r="A107" s="20" t="str">
        <f>'MASTER STOCK'!F104</f>
        <v>Hollow G Tube 20x40x0.4</v>
      </c>
      <c r="B107" s="21">
        <f>'DES 25'!AJ:AJ</f>
        <v>18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23">
        <f t="shared" si="3"/>
        <v>0</v>
      </c>
      <c r="AI107" s="24">
        <v>0.0</v>
      </c>
      <c r="AJ107" s="23">
        <f t="shared" si="4"/>
        <v>18</v>
      </c>
      <c r="AK107" s="23">
        <f t="shared" si="5"/>
        <v>18</v>
      </c>
      <c r="AL107" s="25">
        <f>'MASTER STOCK'!I104</f>
        <v>21500</v>
      </c>
      <c r="AM107" s="27">
        <f>'MASTER STOCK'!L104</f>
        <v>25800</v>
      </c>
      <c r="AN107" s="27">
        <f t="shared" si="6"/>
        <v>0</v>
      </c>
      <c r="AO107" s="26">
        <f t="shared" si="7"/>
        <v>0</v>
      </c>
      <c r="AP107" s="114">
        <f t="shared" si="8"/>
        <v>0</v>
      </c>
      <c r="AQ107" s="10"/>
    </row>
    <row r="108">
      <c r="A108" s="20" t="str">
        <f>'MASTER STOCK'!F105</f>
        <v>Hollow G Tube 40x40x0.4</v>
      </c>
      <c r="B108" s="21">
        <f>'DES 25'!AJ:AJ</f>
        <v>10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23">
        <f t="shared" si="3"/>
        <v>0</v>
      </c>
      <c r="AI108" s="24">
        <v>0.0</v>
      </c>
      <c r="AJ108" s="23">
        <f t="shared" si="4"/>
        <v>10</v>
      </c>
      <c r="AK108" s="23">
        <f t="shared" si="5"/>
        <v>10</v>
      </c>
      <c r="AL108" s="25">
        <f>'MASTER STOCK'!I105</f>
        <v>28500</v>
      </c>
      <c r="AM108" s="27">
        <f>'MASTER STOCK'!L105</f>
        <v>34200</v>
      </c>
      <c r="AN108" s="27">
        <f t="shared" si="6"/>
        <v>0</v>
      </c>
      <c r="AO108" s="26">
        <f t="shared" si="7"/>
        <v>0</v>
      </c>
      <c r="AP108" s="114">
        <f t="shared" si="8"/>
        <v>0</v>
      </c>
      <c r="AQ108" s="10"/>
    </row>
    <row r="109">
      <c r="A109" s="20" t="str">
        <f>'MASTER STOCK'!F106</f>
        <v>Reng Galvalum Kenana 0.45 (M)</v>
      </c>
      <c r="B109" s="21">
        <f>'DES 25'!AJ:AJ</f>
        <v>10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23">
        <f t="shared" si="3"/>
        <v>0</v>
      </c>
      <c r="AI109" s="24">
        <v>0.0</v>
      </c>
      <c r="AJ109" s="23">
        <f t="shared" si="4"/>
        <v>10</v>
      </c>
      <c r="AK109" s="23">
        <f t="shared" si="5"/>
        <v>10</v>
      </c>
      <c r="AL109" s="25">
        <f>'MASTER STOCK'!I106</f>
        <v>39000</v>
      </c>
      <c r="AM109" s="27">
        <f>'MASTER STOCK'!L106</f>
        <v>42900</v>
      </c>
      <c r="AN109" s="27">
        <f t="shared" si="6"/>
        <v>0</v>
      </c>
      <c r="AO109" s="26">
        <f t="shared" si="7"/>
        <v>0</v>
      </c>
      <c r="AP109" s="114">
        <f t="shared" si="8"/>
        <v>0</v>
      </c>
      <c r="AQ109" s="10"/>
    </row>
    <row r="110">
      <c r="A110" s="20" t="str">
        <f>'MASTER STOCK'!F107</f>
        <v>C Truss Kencana 75x0.85 (0.75) MM</v>
      </c>
      <c r="B110" s="21">
        <f>'DES 25'!AJ:AJ</f>
        <v>10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23">
        <f t="shared" si="3"/>
        <v>0</v>
      </c>
      <c r="AI110" s="24">
        <v>0.0</v>
      </c>
      <c r="AJ110" s="23">
        <f t="shared" si="4"/>
        <v>10</v>
      </c>
      <c r="AK110" s="23">
        <f t="shared" si="5"/>
        <v>10</v>
      </c>
      <c r="AL110" s="25">
        <f>'MASTER STOCK'!I107</f>
        <v>85000</v>
      </c>
      <c r="AM110" s="27">
        <f>'MASTER STOCK'!L107</f>
        <v>93500</v>
      </c>
      <c r="AN110" s="27">
        <f t="shared" si="6"/>
        <v>0</v>
      </c>
      <c r="AO110" s="26">
        <f t="shared" si="7"/>
        <v>0</v>
      </c>
      <c r="AP110" s="114">
        <f t="shared" si="8"/>
        <v>0</v>
      </c>
      <c r="AQ110" s="10"/>
    </row>
    <row r="111">
      <c r="A111" s="20" t="str">
        <f>'MASTER STOCK'!F108</f>
        <v>KAYU BALOK 4X6X4</v>
      </c>
      <c r="B111" s="21">
        <f>'DES 25'!AJ:AJ</f>
        <v>12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22"/>
      <c r="AC111" s="10"/>
      <c r="AD111" s="10"/>
      <c r="AE111" s="10"/>
      <c r="AF111" s="10"/>
      <c r="AG111" s="10"/>
      <c r="AH111" s="23">
        <f t="shared" si="3"/>
        <v>0</v>
      </c>
      <c r="AI111" s="24">
        <v>0.0</v>
      </c>
      <c r="AJ111" s="23">
        <f t="shared" si="4"/>
        <v>12</v>
      </c>
      <c r="AK111" s="23">
        <f t="shared" si="5"/>
        <v>12</v>
      </c>
      <c r="AL111" s="25">
        <f>'MASTER STOCK'!I108</f>
        <v>39000</v>
      </c>
      <c r="AM111" s="27">
        <f>'MASTER STOCK'!L108</f>
        <v>42900</v>
      </c>
      <c r="AN111" s="27">
        <f t="shared" si="6"/>
        <v>0</v>
      </c>
      <c r="AO111" s="26">
        <f t="shared" si="7"/>
        <v>0</v>
      </c>
      <c r="AP111" s="114">
        <f t="shared" si="8"/>
        <v>0</v>
      </c>
      <c r="AQ111" s="10"/>
    </row>
    <row r="112">
      <c r="A112" s="20" t="str">
        <f>'MASTER STOCK'!F109</f>
        <v>KAYU BALOK 3X5X4</v>
      </c>
      <c r="B112" s="21">
        <f>'DES 25'!AJ:AJ</f>
        <v>10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22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23">
        <f t="shared" si="3"/>
        <v>0</v>
      </c>
      <c r="AI112" s="24">
        <v>0.0</v>
      </c>
      <c r="AJ112" s="23">
        <f t="shared" si="4"/>
        <v>10</v>
      </c>
      <c r="AK112" s="23">
        <f t="shared" si="5"/>
        <v>10</v>
      </c>
      <c r="AL112" s="25">
        <f>'MASTER STOCK'!I109</f>
        <v>24000</v>
      </c>
      <c r="AM112" s="27">
        <f>'MASTER STOCK'!L109</f>
        <v>26400</v>
      </c>
      <c r="AN112" s="27">
        <f t="shared" si="6"/>
        <v>0</v>
      </c>
      <c r="AO112" s="26">
        <f t="shared" si="7"/>
        <v>0</v>
      </c>
      <c r="AP112" s="114">
        <f t="shared" si="8"/>
        <v>0</v>
      </c>
      <c r="AQ112" s="10"/>
    </row>
    <row r="113">
      <c r="A113" s="20" t="str">
        <f>'MASTER STOCK'!F110</f>
        <v>KAYU BALOK 2X3X4</v>
      </c>
      <c r="B113" s="21">
        <f>'DES 25'!AJ:AJ</f>
        <v>17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22"/>
      <c r="O113" s="10"/>
      <c r="P113" s="22"/>
      <c r="Q113" s="10"/>
      <c r="R113" s="10"/>
      <c r="S113" s="22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23">
        <f t="shared" si="3"/>
        <v>0</v>
      </c>
      <c r="AI113" s="24">
        <v>0.0</v>
      </c>
      <c r="AJ113" s="23">
        <f t="shared" si="4"/>
        <v>17</v>
      </c>
      <c r="AK113" s="23">
        <f t="shared" si="5"/>
        <v>17</v>
      </c>
      <c r="AL113" s="25">
        <f>'MASTER STOCK'!I110</f>
        <v>9600</v>
      </c>
      <c r="AM113" s="27">
        <f>'MASTER STOCK'!L110</f>
        <v>10560</v>
      </c>
      <c r="AN113" s="27">
        <f t="shared" si="6"/>
        <v>0</v>
      </c>
      <c r="AO113" s="26">
        <f t="shared" si="7"/>
        <v>0</v>
      </c>
      <c r="AP113" s="114">
        <f t="shared" si="8"/>
        <v>0</v>
      </c>
      <c r="AQ113" s="10"/>
    </row>
    <row r="114">
      <c r="A114" s="20" t="str">
        <f>'MASTER STOCK'!F111</f>
        <v>CANGKUL </v>
      </c>
      <c r="B114" s="21">
        <f>'DES 25'!AJ:AJ</f>
        <v>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23">
        <f t="shared" si="3"/>
        <v>0</v>
      </c>
      <c r="AI114" s="24">
        <v>0.0</v>
      </c>
      <c r="AJ114" s="23">
        <f t="shared" si="4"/>
        <v>1</v>
      </c>
      <c r="AK114" s="23">
        <f t="shared" si="5"/>
        <v>1</v>
      </c>
      <c r="AL114" s="25">
        <f>'MASTER STOCK'!I111</f>
        <v>33580</v>
      </c>
      <c r="AM114" s="27">
        <f>'MASTER STOCK'!L111</f>
        <v>57086</v>
      </c>
      <c r="AN114" s="27">
        <f t="shared" si="6"/>
        <v>0</v>
      </c>
      <c r="AO114" s="26">
        <f t="shared" si="7"/>
        <v>0</v>
      </c>
      <c r="AP114" s="114">
        <f t="shared" si="8"/>
        <v>0</v>
      </c>
      <c r="AQ114" s="10"/>
    </row>
    <row r="115">
      <c r="A115" s="20" t="str">
        <f>'MASTER STOCK'!F112</f>
        <v>SEKOP PASIR</v>
      </c>
      <c r="B115" s="21">
        <f>'DES 25'!AJ:AJ</f>
        <v>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23">
        <f t="shared" si="3"/>
        <v>0</v>
      </c>
      <c r="AI115" s="24">
        <v>0.0</v>
      </c>
      <c r="AJ115" s="23">
        <f t="shared" si="4"/>
        <v>2</v>
      </c>
      <c r="AK115" s="23">
        <f t="shared" si="5"/>
        <v>2</v>
      </c>
      <c r="AL115" s="25">
        <f>'MASTER STOCK'!I112</f>
        <v>20000</v>
      </c>
      <c r="AM115" s="27">
        <f>'MASTER STOCK'!L112</f>
        <v>34000</v>
      </c>
      <c r="AN115" s="27">
        <f t="shared" si="6"/>
        <v>0</v>
      </c>
      <c r="AO115" s="26">
        <f t="shared" si="7"/>
        <v>0</v>
      </c>
      <c r="AP115" s="114">
        <f t="shared" si="8"/>
        <v>0</v>
      </c>
      <c r="AQ115" s="10"/>
    </row>
    <row r="116">
      <c r="A116" s="20" t="str">
        <f>'MASTER STOCK'!F113</f>
        <v>Baut Drilling Galvalum Baja Ringan 100
Pcs Per Plastik - WL 12x50 100Pcs</v>
      </c>
      <c r="B116" s="21">
        <f>'DES 25'!AJ:AJ</f>
        <v>100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23">
        <f t="shared" si="3"/>
        <v>0</v>
      </c>
      <c r="AI116" s="24">
        <v>0.0</v>
      </c>
      <c r="AJ116" s="23">
        <f t="shared" si="4"/>
        <v>100</v>
      </c>
      <c r="AK116" s="23">
        <f t="shared" si="5"/>
        <v>100</v>
      </c>
      <c r="AL116" s="25">
        <f>'MASTER STOCK'!I113</f>
        <v>250</v>
      </c>
      <c r="AM116" s="27">
        <f>'MASTER STOCK'!L113</f>
        <v>500</v>
      </c>
      <c r="AN116" s="27">
        <f t="shared" si="6"/>
        <v>0</v>
      </c>
      <c r="AO116" s="26">
        <f t="shared" si="7"/>
        <v>0</v>
      </c>
      <c r="AP116" s="114">
        <f t="shared" si="8"/>
        <v>0</v>
      </c>
      <c r="AQ116" s="10"/>
    </row>
    <row r="117">
      <c r="A117" s="20" t="str">
        <f>'MASTER STOCK'!F114</f>
        <v>Baut Drilling Galvalum Baja Ringan 100
Pcs Per Plastik - WL 12x60 100Pcs</v>
      </c>
      <c r="B117" s="21">
        <f>'DES 25'!AJ:AJ</f>
        <v>100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23">
        <f t="shared" si="3"/>
        <v>0</v>
      </c>
      <c r="AI117" s="24">
        <v>0.0</v>
      </c>
      <c r="AJ117" s="23">
        <f t="shared" si="4"/>
        <v>100</v>
      </c>
      <c r="AK117" s="23">
        <f t="shared" si="5"/>
        <v>100</v>
      </c>
      <c r="AL117" s="25">
        <f>'MASTER STOCK'!I114</f>
        <v>300</v>
      </c>
      <c r="AM117" s="27">
        <f>'MASTER STOCK'!L114</f>
        <v>600</v>
      </c>
      <c r="AN117" s="27">
        <f t="shared" si="6"/>
        <v>0</v>
      </c>
      <c r="AO117" s="26">
        <f t="shared" si="7"/>
        <v>0</v>
      </c>
      <c r="AP117" s="114">
        <f t="shared" si="8"/>
        <v>0</v>
      </c>
      <c r="AQ117" s="10"/>
    </row>
    <row r="118">
      <c r="A118" s="20" t="str">
        <f>'MASTER STOCK'!F115</f>
        <v>Baut Drilling Galvalum Baja Ringan 100
Pcs Per Plastik - WL 12x30 100Pcs</v>
      </c>
      <c r="B118" s="21">
        <f>'DES 25'!AJ:AJ</f>
        <v>100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23">
        <f t="shared" si="3"/>
        <v>0</v>
      </c>
      <c r="AI118" s="24">
        <v>0.0</v>
      </c>
      <c r="AJ118" s="23">
        <f t="shared" si="4"/>
        <v>100</v>
      </c>
      <c r="AK118" s="23">
        <f t="shared" si="5"/>
        <v>100</v>
      </c>
      <c r="AL118" s="25">
        <f>'MASTER STOCK'!I115</f>
        <v>170</v>
      </c>
      <c r="AM118" s="27">
        <f>'MASTER STOCK'!L115</f>
        <v>340</v>
      </c>
      <c r="AN118" s="27">
        <f t="shared" si="6"/>
        <v>0</v>
      </c>
      <c r="AO118" s="26">
        <f t="shared" si="7"/>
        <v>0</v>
      </c>
      <c r="AP118" s="114">
        <f t="shared" si="8"/>
        <v>0</v>
      </c>
      <c r="AQ118" s="10"/>
    </row>
    <row r="119">
      <c r="A119" s="20" t="str">
        <f>'MASTER STOCK'!F116</f>
        <v>Baut Drilling Galvalum Baja Ringan 100
Pcs Per Plastik - WL 12x40 100Pcs</v>
      </c>
      <c r="B119" s="21">
        <f>'DES 25'!AJ:AJ</f>
        <v>100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23">
        <f t="shared" si="3"/>
        <v>0</v>
      </c>
      <c r="AI119" s="24">
        <v>0.0</v>
      </c>
      <c r="AJ119" s="23">
        <f t="shared" si="4"/>
        <v>100</v>
      </c>
      <c r="AK119" s="23">
        <f t="shared" si="5"/>
        <v>100</v>
      </c>
      <c r="AL119" s="25">
        <f>'MASTER STOCK'!I116</f>
        <v>220</v>
      </c>
      <c r="AM119" s="27">
        <f>'MASTER STOCK'!L116</f>
        <v>440</v>
      </c>
      <c r="AN119" s="27">
        <f t="shared" si="6"/>
        <v>0</v>
      </c>
      <c r="AO119" s="26">
        <f t="shared" si="7"/>
        <v>0</v>
      </c>
      <c r="AP119" s="114">
        <f t="shared" si="8"/>
        <v>0</v>
      </c>
      <c r="AQ119" s="10"/>
    </row>
    <row r="120">
      <c r="A120" s="20" t="str">
        <f>'MASTER STOCK'!F117</f>
        <v>Baut Drilling Galvalum Baja Ringan 100
Pcs Per Plastik - WL 12x20 100Pcs</v>
      </c>
      <c r="B120" s="21">
        <f>'DES 25'!AJ:AJ</f>
        <v>100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23">
        <f t="shared" si="3"/>
        <v>0</v>
      </c>
      <c r="AI120" s="24">
        <v>0.0</v>
      </c>
      <c r="AJ120" s="23">
        <f t="shared" si="4"/>
        <v>100</v>
      </c>
      <c r="AK120" s="23">
        <f t="shared" si="5"/>
        <v>100</v>
      </c>
      <c r="AL120" s="25">
        <f>'MASTER STOCK'!I117</f>
        <v>150</v>
      </c>
      <c r="AM120" s="27">
        <f>'MASTER STOCK'!L117</f>
        <v>300</v>
      </c>
      <c r="AN120" s="27">
        <f t="shared" si="6"/>
        <v>0</v>
      </c>
      <c r="AO120" s="26">
        <f t="shared" si="7"/>
        <v>0</v>
      </c>
      <c r="AP120" s="114">
        <f t="shared" si="8"/>
        <v>0</v>
      </c>
      <c r="AQ120" s="10"/>
    </row>
    <row r="121">
      <c r="A121" s="20" t="str">
        <f>'MASTER STOCK'!F118</f>
        <v>Batu Kumbung</v>
      </c>
      <c r="B121" s="21">
        <f>'DES 25'!AJ:AJ</f>
        <v>498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22">
        <v>50.0</v>
      </c>
      <c r="T121" s="10"/>
      <c r="U121" s="10"/>
      <c r="V121" s="10"/>
      <c r="W121" s="10"/>
      <c r="X121" s="10"/>
      <c r="Y121" s="22"/>
      <c r="Z121" s="10"/>
      <c r="AA121" s="10"/>
      <c r="AB121" s="10"/>
      <c r="AC121" s="10"/>
      <c r="AD121" s="10"/>
      <c r="AE121" s="10"/>
      <c r="AF121" s="10"/>
      <c r="AG121" s="10"/>
      <c r="AH121" s="23">
        <f t="shared" si="3"/>
        <v>50</v>
      </c>
      <c r="AI121" s="24">
        <v>0.0</v>
      </c>
      <c r="AJ121" s="23">
        <f t="shared" si="4"/>
        <v>448</v>
      </c>
      <c r="AK121" s="23">
        <f t="shared" si="5"/>
        <v>448</v>
      </c>
      <c r="AL121" s="25">
        <f>'MASTER STOCK'!I118</f>
        <v>8000</v>
      </c>
      <c r="AM121" s="27">
        <f>'MASTER STOCK'!L118</f>
        <v>12000</v>
      </c>
      <c r="AN121" s="27">
        <f t="shared" si="6"/>
        <v>600000</v>
      </c>
      <c r="AO121" s="26">
        <f t="shared" si="7"/>
        <v>200000</v>
      </c>
      <c r="AP121" s="114">
        <f t="shared" si="8"/>
        <v>400000</v>
      </c>
      <c r="AQ121" s="10"/>
    </row>
    <row r="122">
      <c r="A122" s="20" t="str">
        <f>'MASTER STOCK'!F119</f>
        <v>Triplek 8m sengon</v>
      </c>
      <c r="B122" s="21">
        <f>'DES 25'!AJ:AJ</f>
        <v>5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23">
        <f t="shared" si="3"/>
        <v>0</v>
      </c>
      <c r="AI122" s="24">
        <v>0.0</v>
      </c>
      <c r="AJ122" s="23">
        <f t="shared" si="4"/>
        <v>5</v>
      </c>
      <c r="AK122" s="23">
        <f t="shared" si="5"/>
        <v>5</v>
      </c>
      <c r="AL122" s="25">
        <f>'MASTER STOCK'!I119</f>
        <v>67000</v>
      </c>
      <c r="AM122" s="27">
        <f>'MASTER STOCK'!L119</f>
        <v>70350</v>
      </c>
      <c r="AN122" s="27">
        <f t="shared" si="6"/>
        <v>0</v>
      </c>
      <c r="AO122" s="26">
        <f t="shared" si="7"/>
        <v>0</v>
      </c>
      <c r="AP122" s="114">
        <f t="shared" si="8"/>
        <v>0</v>
      </c>
      <c r="AQ122" s="10"/>
    </row>
    <row r="123">
      <c r="A123" s="20" t="str">
        <f>'MASTER STOCK'!F120</f>
        <v>Triplek 6m sengon</v>
      </c>
      <c r="B123" s="21">
        <f>'DES 25'!AJ:AJ</f>
        <v>10</v>
      </c>
      <c r="C123" s="10"/>
      <c r="D123" s="10"/>
      <c r="E123" s="10"/>
      <c r="F123" s="10"/>
      <c r="G123" s="10"/>
      <c r="H123" s="22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23">
        <f t="shared" si="3"/>
        <v>0</v>
      </c>
      <c r="AI123" s="24">
        <v>0.0</v>
      </c>
      <c r="AJ123" s="23">
        <f t="shared" si="4"/>
        <v>10</v>
      </c>
      <c r="AK123" s="23">
        <f t="shared" si="5"/>
        <v>10</v>
      </c>
      <c r="AL123" s="25">
        <f>'MASTER STOCK'!I120</f>
        <v>56500</v>
      </c>
      <c r="AM123" s="27">
        <f>'MASTER STOCK'!L120</f>
        <v>59325</v>
      </c>
      <c r="AN123" s="27">
        <f t="shared" si="6"/>
        <v>0</v>
      </c>
      <c r="AO123" s="26">
        <f t="shared" si="7"/>
        <v>0</v>
      </c>
      <c r="AP123" s="114">
        <f t="shared" si="8"/>
        <v>0</v>
      </c>
      <c r="AQ123" s="10"/>
    </row>
    <row r="124">
      <c r="A124" s="20" t="str">
        <f>'MASTER STOCK'!F121</f>
        <v>Triplek 3m sengon</v>
      </c>
      <c r="B124" s="21">
        <f>'DES 25'!AJ:AJ</f>
        <v>9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22"/>
      <c r="AF124" s="10"/>
      <c r="AG124" s="10"/>
      <c r="AH124" s="23">
        <f t="shared" si="3"/>
        <v>0</v>
      </c>
      <c r="AI124" s="24">
        <v>0.0</v>
      </c>
      <c r="AJ124" s="23">
        <f t="shared" si="4"/>
        <v>9</v>
      </c>
      <c r="AK124" s="23">
        <f t="shared" si="5"/>
        <v>9</v>
      </c>
      <c r="AL124" s="25">
        <f>'MASTER STOCK'!I121</f>
        <v>38500</v>
      </c>
      <c r="AM124" s="27">
        <f>'MASTER STOCK'!L121</f>
        <v>40425</v>
      </c>
      <c r="AN124" s="27">
        <f t="shared" si="6"/>
        <v>0</v>
      </c>
      <c r="AO124" s="26">
        <f t="shared" si="7"/>
        <v>0</v>
      </c>
      <c r="AP124" s="114">
        <f t="shared" si="8"/>
        <v>0</v>
      </c>
      <c r="AQ124" s="10"/>
    </row>
    <row r="125">
      <c r="A125" s="20" t="str">
        <f>'MASTER STOCK'!F122</f>
        <v>Semen Gresik</v>
      </c>
      <c r="B125" s="21">
        <f>'DES 25'!AJ:AJ</f>
        <v>53</v>
      </c>
      <c r="C125" s="22"/>
      <c r="D125" s="22"/>
      <c r="E125" s="22"/>
      <c r="F125" s="10"/>
      <c r="G125" s="10"/>
      <c r="H125" s="10"/>
      <c r="I125" s="10"/>
      <c r="J125" s="10"/>
      <c r="K125" s="10"/>
      <c r="L125" s="10"/>
      <c r="M125" s="22"/>
      <c r="N125" s="22"/>
      <c r="O125" s="22"/>
      <c r="P125" s="10"/>
      <c r="Q125" s="22"/>
      <c r="R125" s="22"/>
      <c r="S125" s="22"/>
      <c r="T125" s="22"/>
      <c r="U125" s="22"/>
      <c r="V125" s="22"/>
      <c r="W125" s="22"/>
      <c r="X125" s="22"/>
      <c r="Y125" s="22">
        <v>5.0</v>
      </c>
      <c r="Z125" s="10"/>
      <c r="AA125" s="10"/>
      <c r="AB125" s="10"/>
      <c r="AC125" s="10"/>
      <c r="AD125" s="22"/>
      <c r="AE125" s="10"/>
      <c r="AF125" s="22"/>
      <c r="AG125" s="22"/>
      <c r="AH125" s="23">
        <f t="shared" si="3"/>
        <v>5</v>
      </c>
      <c r="AI125" s="24">
        <v>0.0</v>
      </c>
      <c r="AJ125" s="23">
        <f t="shared" si="4"/>
        <v>48</v>
      </c>
      <c r="AK125" s="23">
        <f t="shared" si="5"/>
        <v>48</v>
      </c>
      <c r="AL125" s="25">
        <f>'MASTER STOCK'!I122</f>
        <v>55000</v>
      </c>
      <c r="AM125" s="27">
        <f>'MASTER STOCK'!L122</f>
        <v>56485</v>
      </c>
      <c r="AN125" s="27">
        <f t="shared" si="6"/>
        <v>282425</v>
      </c>
      <c r="AO125" s="26">
        <f t="shared" si="7"/>
        <v>7425</v>
      </c>
      <c r="AP125" s="114">
        <f t="shared" si="8"/>
        <v>275000</v>
      </c>
      <c r="AQ125" s="10"/>
    </row>
    <row r="126">
      <c r="A126" s="20" t="str">
        <f>'MASTER STOCK'!F123</f>
        <v>Kapur</v>
      </c>
      <c r="B126" s="21">
        <f>'DES 25'!AJ:AJ</f>
        <v>98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22"/>
      <c r="Q126" s="10"/>
      <c r="R126" s="10"/>
      <c r="S126" s="10"/>
      <c r="T126" s="10"/>
      <c r="U126" s="10"/>
      <c r="V126" s="22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23">
        <f t="shared" si="3"/>
        <v>0</v>
      </c>
      <c r="AI126" s="24">
        <v>0.0</v>
      </c>
      <c r="AJ126" s="23">
        <f t="shared" si="4"/>
        <v>98</v>
      </c>
      <c r="AK126" s="23">
        <f t="shared" si="5"/>
        <v>98</v>
      </c>
      <c r="AL126" s="25">
        <f>'MASTER STOCK'!I123</f>
        <v>17000</v>
      </c>
      <c r="AM126" s="27">
        <f>'MASTER STOCK'!L123</f>
        <v>18700</v>
      </c>
      <c r="AN126" s="27">
        <f t="shared" si="6"/>
        <v>0</v>
      </c>
      <c r="AO126" s="26">
        <f t="shared" si="7"/>
        <v>0</v>
      </c>
      <c r="AP126" s="114">
        <f t="shared" si="8"/>
        <v>0</v>
      </c>
      <c r="AQ126" s="10"/>
    </row>
    <row r="127">
      <c r="A127" s="20" t="str">
        <f>'MASTER STOCK'!F124</f>
        <v>Pasir</v>
      </c>
      <c r="B127" s="21">
        <f>'DES 25'!AJ:AJ</f>
        <v>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23">
        <f t="shared" si="3"/>
        <v>0</v>
      </c>
      <c r="AI127" s="24">
        <v>0.0</v>
      </c>
      <c r="AJ127" s="23">
        <f t="shared" si="4"/>
        <v>1</v>
      </c>
      <c r="AK127" s="23">
        <f t="shared" si="5"/>
        <v>1</v>
      </c>
      <c r="AL127" s="25">
        <f>'MASTER STOCK'!I124</f>
        <v>1000000</v>
      </c>
      <c r="AM127" s="27">
        <f>'MASTER STOCK'!L124</f>
        <v>1100000</v>
      </c>
      <c r="AN127" s="27">
        <f t="shared" si="6"/>
        <v>0</v>
      </c>
      <c r="AO127" s="26">
        <f t="shared" si="7"/>
        <v>0</v>
      </c>
      <c r="AP127" s="114">
        <f t="shared" si="8"/>
        <v>0</v>
      </c>
      <c r="AQ127" s="10"/>
    </row>
    <row r="128">
      <c r="A128" s="20" t="str">
        <f>'MASTER STOCK'!F125</f>
        <v>Stop kontak 1 lubang</v>
      </c>
      <c r="B128" s="21">
        <f>'DES 25'!AJ:AJ</f>
        <v>5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23">
        <f t="shared" si="3"/>
        <v>0</v>
      </c>
      <c r="AI128" s="24">
        <v>0.0</v>
      </c>
      <c r="AJ128" s="23">
        <f t="shared" si="4"/>
        <v>5</v>
      </c>
      <c r="AK128" s="23">
        <f t="shared" si="5"/>
        <v>5</v>
      </c>
      <c r="AL128" s="25">
        <f>'MASTER STOCK'!I125</f>
        <v>4125</v>
      </c>
      <c r="AM128" s="27">
        <f>'MASTER STOCK'!L125</f>
        <v>416625</v>
      </c>
      <c r="AN128" s="27">
        <f t="shared" si="6"/>
        <v>0</v>
      </c>
      <c r="AO128" s="26">
        <f t="shared" si="7"/>
        <v>0</v>
      </c>
      <c r="AP128" s="114">
        <f t="shared" si="8"/>
        <v>0</v>
      </c>
      <c r="AQ128" s="10"/>
    </row>
    <row r="129">
      <c r="A129" s="20" t="str">
        <f>'MASTER STOCK'!F126</f>
        <v>Stop kontak 2 lubang</v>
      </c>
      <c r="B129" s="21">
        <f>'DES 25'!AJ:AJ</f>
        <v>4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22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23">
        <f t="shared" si="3"/>
        <v>0</v>
      </c>
      <c r="AI129" s="24">
        <v>0.0</v>
      </c>
      <c r="AJ129" s="23">
        <f t="shared" si="4"/>
        <v>4</v>
      </c>
      <c r="AK129" s="23">
        <f t="shared" si="5"/>
        <v>4</v>
      </c>
      <c r="AL129" s="25">
        <f>'MASTER STOCK'!I126</f>
        <v>5250</v>
      </c>
      <c r="AM129" s="27">
        <f>'MASTER STOCK'!L126</f>
        <v>8925</v>
      </c>
      <c r="AN129" s="27">
        <f t="shared" si="6"/>
        <v>0</v>
      </c>
      <c r="AO129" s="26">
        <f t="shared" si="7"/>
        <v>0</v>
      </c>
      <c r="AP129" s="114">
        <f t="shared" si="8"/>
        <v>0</v>
      </c>
      <c r="AQ129" s="10"/>
    </row>
    <row r="130">
      <c r="A130" s="20" t="str">
        <f>'MASTER STOCK'!F127</f>
        <v>Stop kontak 3 lubang</v>
      </c>
      <c r="B130" s="21">
        <f>'DES 25'!AJ:AJ</f>
        <v>4</v>
      </c>
      <c r="C130" s="10"/>
      <c r="D130" s="10"/>
      <c r="E130" s="10"/>
      <c r="F130" s="10"/>
      <c r="G130" s="10"/>
      <c r="H130" s="10"/>
      <c r="I130" s="10"/>
      <c r="J130" s="10"/>
      <c r="K130" s="22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23">
        <f t="shared" si="3"/>
        <v>0</v>
      </c>
      <c r="AI130" s="24">
        <v>0.0</v>
      </c>
      <c r="AJ130" s="23">
        <f t="shared" si="4"/>
        <v>4</v>
      </c>
      <c r="AK130" s="23">
        <f t="shared" si="5"/>
        <v>4</v>
      </c>
      <c r="AL130" s="25">
        <f>'MASTER STOCK'!I127</f>
        <v>6750</v>
      </c>
      <c r="AM130" s="27">
        <f>'MASTER STOCK'!L127</f>
        <v>14000</v>
      </c>
      <c r="AN130" s="27">
        <f t="shared" si="6"/>
        <v>0</v>
      </c>
      <c r="AO130" s="26">
        <f t="shared" si="7"/>
        <v>0</v>
      </c>
      <c r="AP130" s="114">
        <f t="shared" si="8"/>
        <v>0</v>
      </c>
      <c r="AQ130" s="10"/>
    </row>
    <row r="131">
      <c r="A131" s="20" t="str">
        <f>'MASTER STOCK'!F128</f>
        <v>Stop kontak 4 lubang</v>
      </c>
      <c r="B131" s="21">
        <f>'DES 25'!AJ:AJ</f>
        <v>3</v>
      </c>
      <c r="C131" s="10"/>
      <c r="D131" s="10"/>
      <c r="E131" s="10"/>
      <c r="F131" s="22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22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23">
        <f t="shared" si="3"/>
        <v>0</v>
      </c>
      <c r="AI131" s="24">
        <v>0.0</v>
      </c>
      <c r="AJ131" s="23">
        <f t="shared" si="4"/>
        <v>3</v>
      </c>
      <c r="AK131" s="23">
        <f t="shared" si="5"/>
        <v>3</v>
      </c>
      <c r="AL131" s="25">
        <f>'MASTER STOCK'!I128</f>
        <v>8100</v>
      </c>
      <c r="AM131" s="27">
        <f>'MASTER STOCK'!L128</f>
        <v>16000</v>
      </c>
      <c r="AN131" s="27">
        <f t="shared" si="6"/>
        <v>0</v>
      </c>
      <c r="AO131" s="26">
        <f t="shared" si="7"/>
        <v>0</v>
      </c>
      <c r="AP131" s="114">
        <f t="shared" si="8"/>
        <v>0</v>
      </c>
      <c r="AQ131" s="10"/>
    </row>
    <row r="132">
      <c r="A132" s="20" t="str">
        <f>'MASTER STOCK'!F129</f>
        <v>Stop kontak 5 lubang</v>
      </c>
      <c r="B132" s="21">
        <f>'DES 25'!AJ:AJ</f>
        <v>5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23">
        <f t="shared" si="3"/>
        <v>0</v>
      </c>
      <c r="AI132" s="24">
        <v>0.0</v>
      </c>
      <c r="AJ132" s="23">
        <f t="shared" si="4"/>
        <v>5</v>
      </c>
      <c r="AK132" s="23">
        <f t="shared" si="5"/>
        <v>5</v>
      </c>
      <c r="AL132" s="25">
        <f>'MASTER STOCK'!I129</f>
        <v>9750</v>
      </c>
      <c r="AM132" s="27">
        <f>'MASTER STOCK'!L129</f>
        <v>16575</v>
      </c>
      <c r="AN132" s="27">
        <f t="shared" si="6"/>
        <v>0</v>
      </c>
      <c r="AO132" s="26">
        <f t="shared" si="7"/>
        <v>0</v>
      </c>
      <c r="AP132" s="114">
        <f t="shared" si="8"/>
        <v>0</v>
      </c>
      <c r="AQ132" s="10"/>
    </row>
    <row r="133">
      <c r="A133" s="20" t="str">
        <f>'MASTER STOCK'!F130</f>
        <v>Baterai ABC</v>
      </c>
      <c r="B133" s="21">
        <f>'DES 25'!AJ:AJ</f>
        <v>24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23">
        <f t="shared" si="3"/>
        <v>0</v>
      </c>
      <c r="AI133" s="24">
        <v>0.0</v>
      </c>
      <c r="AJ133" s="23">
        <f t="shared" si="4"/>
        <v>24</v>
      </c>
      <c r="AK133" s="23">
        <f t="shared" si="5"/>
        <v>24</v>
      </c>
      <c r="AL133" s="25">
        <f>'MASTER STOCK'!I130</f>
        <v>2600</v>
      </c>
      <c r="AM133" s="27">
        <f>'MASTER STOCK'!L130</f>
        <v>3900</v>
      </c>
      <c r="AN133" s="27">
        <f t="shared" si="6"/>
        <v>0</v>
      </c>
      <c r="AO133" s="26">
        <f t="shared" si="7"/>
        <v>0</v>
      </c>
      <c r="AP133" s="114">
        <f t="shared" si="8"/>
        <v>0</v>
      </c>
      <c r="AQ133" s="10"/>
    </row>
    <row r="134">
      <c r="A134" s="20" t="str">
        <f>'MASTER STOCK'!F131</f>
        <v>NAIL  PAKU PAYUNG 2"</v>
      </c>
      <c r="B134" s="21">
        <f>'DES 25'!AJ:AJ</f>
        <v>5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23">
        <f t="shared" si="3"/>
        <v>0</v>
      </c>
      <c r="AI134" s="24">
        <v>0.0</v>
      </c>
      <c r="AJ134" s="23">
        <f t="shared" si="4"/>
        <v>5</v>
      </c>
      <c r="AK134" s="23">
        <f t="shared" si="5"/>
        <v>5</v>
      </c>
      <c r="AL134" s="25">
        <f>'MASTER STOCK'!I131</f>
        <v>17500</v>
      </c>
      <c r="AM134" s="27">
        <f>'MASTER STOCK'!L131</f>
        <v>26250</v>
      </c>
      <c r="AN134" s="27">
        <f t="shared" si="6"/>
        <v>0</v>
      </c>
      <c r="AO134" s="26">
        <f t="shared" si="7"/>
        <v>0</v>
      </c>
      <c r="AP134" s="114">
        <f t="shared" si="8"/>
        <v>0</v>
      </c>
      <c r="AQ134" s="10"/>
    </row>
    <row r="135">
      <c r="A135" s="20" t="str">
        <f>'MASTER STOCK'!F132</f>
        <v>NAIL PAKU PAYUNG ULIR 3"</v>
      </c>
      <c r="B135" s="21">
        <f>'DES 25'!AJ:AJ</f>
        <v>5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23">
        <f t="shared" si="3"/>
        <v>0</v>
      </c>
      <c r="AI135" s="24">
        <v>0.0</v>
      </c>
      <c r="AJ135" s="23">
        <f t="shared" si="4"/>
        <v>5</v>
      </c>
      <c r="AK135" s="23">
        <f t="shared" si="5"/>
        <v>5</v>
      </c>
      <c r="AL135" s="25">
        <f>'MASTER STOCK'!I132</f>
        <v>18500</v>
      </c>
      <c r="AM135" s="27">
        <f>'MASTER STOCK'!L132</f>
        <v>27750</v>
      </c>
      <c r="AN135" s="27">
        <f t="shared" si="6"/>
        <v>0</v>
      </c>
      <c r="AO135" s="26">
        <f t="shared" si="7"/>
        <v>0</v>
      </c>
      <c r="AP135" s="114">
        <f t="shared" si="8"/>
        <v>0</v>
      </c>
      <c r="AQ135" s="10"/>
    </row>
    <row r="136">
      <c r="A136" s="20" t="str">
        <f>'MASTER STOCK'!F133</f>
        <v>NAIL PAKU PAYUNG ULIR 4"</v>
      </c>
      <c r="B136" s="21">
        <f>'DES 25'!AJ:AJ</f>
        <v>5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23">
        <f t="shared" si="3"/>
        <v>0</v>
      </c>
      <c r="AI136" s="24">
        <v>0.0</v>
      </c>
      <c r="AJ136" s="23">
        <f t="shared" si="4"/>
        <v>5</v>
      </c>
      <c r="AK136" s="23">
        <f t="shared" si="5"/>
        <v>5</v>
      </c>
      <c r="AL136" s="25">
        <f>'MASTER STOCK'!I133</f>
        <v>16500</v>
      </c>
      <c r="AM136" s="27">
        <f>'MASTER STOCK'!L133</f>
        <v>24750</v>
      </c>
      <c r="AN136" s="27">
        <f t="shared" si="6"/>
        <v>0</v>
      </c>
      <c r="AO136" s="26">
        <f t="shared" si="7"/>
        <v>0</v>
      </c>
      <c r="AP136" s="114">
        <f t="shared" si="8"/>
        <v>0</v>
      </c>
      <c r="AQ136" s="10"/>
    </row>
    <row r="137">
      <c r="A137" s="20" t="str">
        <f>'MASTER STOCK'!F134</f>
        <v>PAKU PINES </v>
      </c>
      <c r="B137" s="21">
        <f>'DES 25'!AJ:AJ</f>
        <v>7</v>
      </c>
      <c r="C137" s="10"/>
      <c r="D137" s="10"/>
      <c r="E137" s="22"/>
      <c r="F137" s="22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23">
        <f t="shared" si="3"/>
        <v>0</v>
      </c>
      <c r="AI137" s="24">
        <v>0.0</v>
      </c>
      <c r="AJ137" s="23">
        <f t="shared" si="4"/>
        <v>7</v>
      </c>
      <c r="AK137" s="23">
        <f t="shared" si="5"/>
        <v>7</v>
      </c>
      <c r="AL137" s="25">
        <f>'MASTER STOCK'!I134</f>
        <v>1200</v>
      </c>
      <c r="AM137" s="27">
        <f>'MASTER STOCK'!L134</f>
        <v>2040</v>
      </c>
      <c r="AN137" s="27">
        <f t="shared" si="6"/>
        <v>0</v>
      </c>
      <c r="AO137" s="26">
        <f t="shared" si="7"/>
        <v>0</v>
      </c>
      <c r="AP137" s="114">
        <f t="shared" si="8"/>
        <v>0</v>
      </c>
      <c r="AQ137" s="10"/>
    </row>
    <row r="138">
      <c r="A138" s="20" t="str">
        <f>'MASTER STOCK'!F135</f>
        <v>KIKIR 3 INC</v>
      </c>
      <c r="B138" s="21">
        <f>'DES 25'!AJ:AJ</f>
        <v>5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23">
        <f t="shared" si="3"/>
        <v>0</v>
      </c>
      <c r="AI138" s="24">
        <v>0.0</v>
      </c>
      <c r="AJ138" s="23">
        <f t="shared" si="4"/>
        <v>5</v>
      </c>
      <c r="AK138" s="23">
        <f t="shared" si="5"/>
        <v>5</v>
      </c>
      <c r="AL138" s="25">
        <f>'MASTER STOCK'!I135</f>
        <v>8000</v>
      </c>
      <c r="AM138" s="27">
        <f>'MASTER STOCK'!L135</f>
        <v>17200</v>
      </c>
      <c r="AN138" s="27">
        <f t="shared" si="6"/>
        <v>0</v>
      </c>
      <c r="AO138" s="26">
        <f t="shared" si="7"/>
        <v>0</v>
      </c>
      <c r="AP138" s="114">
        <f t="shared" si="8"/>
        <v>0</v>
      </c>
      <c r="AQ138" s="10"/>
    </row>
    <row r="139">
      <c r="A139" s="20" t="str">
        <f>'MASTER STOCK'!F136</f>
        <v>KIKIR 3.5 INC</v>
      </c>
      <c r="B139" s="21">
        <f>'DES 25'!AJ:AJ</f>
        <v>2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23">
        <f t="shared" si="3"/>
        <v>0</v>
      </c>
      <c r="AI139" s="24">
        <v>0.0</v>
      </c>
      <c r="AJ139" s="23">
        <f t="shared" si="4"/>
        <v>2</v>
      </c>
      <c r="AK139" s="23">
        <f t="shared" si="5"/>
        <v>2</v>
      </c>
      <c r="AL139" s="25">
        <f>'MASTER STOCK'!I136</f>
        <v>7500</v>
      </c>
      <c r="AM139" s="27">
        <f>'MASTER STOCK'!L136</f>
        <v>19125</v>
      </c>
      <c r="AN139" s="27">
        <f t="shared" si="6"/>
        <v>0</v>
      </c>
      <c r="AO139" s="26">
        <f t="shared" si="7"/>
        <v>0</v>
      </c>
      <c r="AP139" s="114">
        <f t="shared" si="8"/>
        <v>0</v>
      </c>
      <c r="AQ139" s="10"/>
    </row>
    <row r="140">
      <c r="A140" s="20" t="str">
        <f>'MASTER STOCK'!F137</f>
        <v>KIKIR 4 INC</v>
      </c>
      <c r="B140" s="21">
        <f>'DES 25'!AJ:AJ</f>
        <v>2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23">
        <f t="shared" si="3"/>
        <v>0</v>
      </c>
      <c r="AI140" s="24">
        <v>0.0</v>
      </c>
      <c r="AJ140" s="23">
        <f t="shared" si="4"/>
        <v>2</v>
      </c>
      <c r="AK140" s="23">
        <f t="shared" si="5"/>
        <v>2</v>
      </c>
      <c r="AL140" s="25">
        <f>'MASTER STOCK'!I137</f>
        <v>9000</v>
      </c>
      <c r="AM140" s="27">
        <f>'MASTER STOCK'!L137</f>
        <v>20700</v>
      </c>
      <c r="AN140" s="27">
        <f t="shared" si="6"/>
        <v>0</v>
      </c>
      <c r="AO140" s="26">
        <f t="shared" si="7"/>
        <v>0</v>
      </c>
      <c r="AP140" s="114">
        <f t="shared" si="8"/>
        <v>0</v>
      </c>
      <c r="AQ140" s="10"/>
    </row>
    <row r="141">
      <c r="A141" s="20" t="str">
        <f>'MASTER STOCK'!F138</f>
        <v>AVIAN 192 VERMILLION 25CC</v>
      </c>
      <c r="B141" s="21">
        <f>'DES 25'!AJ:AJ</f>
        <v>3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22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23">
        <f t="shared" si="3"/>
        <v>0</v>
      </c>
      <c r="AI141" s="24">
        <v>0.0</v>
      </c>
      <c r="AJ141" s="23">
        <f t="shared" si="4"/>
        <v>3</v>
      </c>
      <c r="AK141" s="23">
        <f t="shared" si="5"/>
        <v>3</v>
      </c>
      <c r="AL141" s="25">
        <f>'MASTER STOCK'!I138</f>
        <v>4500</v>
      </c>
      <c r="AM141" s="27">
        <f>'MASTER STOCK'!L138</f>
        <v>5580</v>
      </c>
      <c r="AN141" s="27">
        <f t="shared" si="6"/>
        <v>0</v>
      </c>
      <c r="AO141" s="26">
        <f t="shared" si="7"/>
        <v>0</v>
      </c>
      <c r="AP141" s="114">
        <f t="shared" si="8"/>
        <v>0</v>
      </c>
      <c r="AQ141" s="10"/>
    </row>
    <row r="142">
      <c r="A142" s="20" t="str">
        <f>'MASTER STOCK'!F139</f>
        <v>AVIAN SB 25CC</v>
      </c>
      <c r="B142" s="21">
        <f>'DES 25'!AJ:AJ</f>
        <v>5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23">
        <f t="shared" si="3"/>
        <v>0</v>
      </c>
      <c r="AI142" s="24">
        <v>0.0</v>
      </c>
      <c r="AJ142" s="23">
        <f t="shared" si="4"/>
        <v>5</v>
      </c>
      <c r="AK142" s="23">
        <f t="shared" si="5"/>
        <v>5</v>
      </c>
      <c r="AL142" s="25">
        <f>'MASTER STOCK'!I139</f>
        <v>4500</v>
      </c>
      <c r="AM142" s="27">
        <f>'MASTER STOCK'!L139</f>
        <v>5580</v>
      </c>
      <c r="AN142" s="27">
        <f t="shared" si="6"/>
        <v>0</v>
      </c>
      <c r="AO142" s="26">
        <f t="shared" si="7"/>
        <v>0</v>
      </c>
      <c r="AP142" s="114">
        <f t="shared" si="8"/>
        <v>0</v>
      </c>
      <c r="AQ142" s="10"/>
    </row>
    <row r="143">
      <c r="A143" s="20" t="str">
        <f>'MASTER STOCK'!F140</f>
        <v>AVIAN 465 MEDIUM YELLOW 25CC</v>
      </c>
      <c r="B143" s="21">
        <f>'DES 25'!AJ:AJ</f>
        <v>5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23">
        <f t="shared" si="3"/>
        <v>0</v>
      </c>
      <c r="AI143" s="24">
        <v>0.0</v>
      </c>
      <c r="AJ143" s="23">
        <f t="shared" si="4"/>
        <v>5</v>
      </c>
      <c r="AK143" s="23">
        <f t="shared" si="5"/>
        <v>5</v>
      </c>
      <c r="AL143" s="25">
        <f>'MASTER STOCK'!I140</f>
        <v>4500</v>
      </c>
      <c r="AM143" s="27">
        <f>'MASTER STOCK'!L140</f>
        <v>5580</v>
      </c>
      <c r="AN143" s="27">
        <f t="shared" si="6"/>
        <v>0</v>
      </c>
      <c r="AO143" s="26">
        <f t="shared" si="7"/>
        <v>0</v>
      </c>
      <c r="AP143" s="114">
        <f t="shared" si="8"/>
        <v>0</v>
      </c>
      <c r="AQ143" s="10"/>
    </row>
    <row r="144">
      <c r="A144" s="20" t="str">
        <f>'MASTER STOCK'!F141</f>
        <v>AVIAN 733 OCEAN BLUE 25CC</v>
      </c>
      <c r="B144" s="21">
        <f>'DES 25'!AJ:AJ</f>
        <v>5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23">
        <f t="shared" si="3"/>
        <v>0</v>
      </c>
      <c r="AI144" s="24">
        <v>0.0</v>
      </c>
      <c r="AJ144" s="23">
        <f t="shared" si="4"/>
        <v>5</v>
      </c>
      <c r="AK144" s="23">
        <f t="shared" si="5"/>
        <v>5</v>
      </c>
      <c r="AL144" s="25">
        <f>'MASTER STOCK'!I141</f>
        <v>4500</v>
      </c>
      <c r="AM144" s="27">
        <f>'MASTER STOCK'!L141</f>
        <v>5580</v>
      </c>
      <c r="AN144" s="27">
        <f t="shared" si="6"/>
        <v>0</v>
      </c>
      <c r="AO144" s="26">
        <f t="shared" si="7"/>
        <v>0</v>
      </c>
      <c r="AP144" s="114">
        <f t="shared" si="8"/>
        <v>0</v>
      </c>
      <c r="AQ144" s="10"/>
    </row>
    <row r="145">
      <c r="A145" s="20" t="str">
        <f>'MASTER STOCK'!F142</f>
        <v>AVIAN SW 25CC</v>
      </c>
      <c r="B145" s="21">
        <f>'DES 25'!AJ:AJ</f>
        <v>5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23">
        <f t="shared" si="3"/>
        <v>0</v>
      </c>
      <c r="AI145" s="24">
        <v>0.0</v>
      </c>
      <c r="AJ145" s="23">
        <f t="shared" si="4"/>
        <v>5</v>
      </c>
      <c r="AK145" s="23">
        <f t="shared" si="5"/>
        <v>5</v>
      </c>
      <c r="AL145" s="25">
        <f>'MASTER STOCK'!I142</f>
        <v>4500</v>
      </c>
      <c r="AM145" s="27">
        <f>'MASTER STOCK'!L142</f>
        <v>5580</v>
      </c>
      <c r="AN145" s="27">
        <f t="shared" si="6"/>
        <v>0</v>
      </c>
      <c r="AO145" s="26">
        <f t="shared" si="7"/>
        <v>0</v>
      </c>
      <c r="AP145" s="114">
        <f t="shared" si="8"/>
        <v>0</v>
      </c>
      <c r="AQ145" s="10"/>
    </row>
    <row r="146">
      <c r="A146" s="20" t="str">
        <f>'MASTER STOCK'!F143</f>
        <v>AVIAN KAYU BESI SB</v>
      </c>
      <c r="B146" s="21">
        <f>'DES 25'!AJ:AJ</f>
        <v>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23">
        <f t="shared" si="3"/>
        <v>0</v>
      </c>
      <c r="AI146" s="24">
        <v>0.0</v>
      </c>
      <c r="AJ146" s="23">
        <f t="shared" si="4"/>
        <v>1</v>
      </c>
      <c r="AK146" s="23">
        <f t="shared" si="5"/>
        <v>1</v>
      </c>
      <c r="AL146" s="25">
        <f>'MASTER STOCK'!I143</f>
        <v>73000</v>
      </c>
      <c r="AM146" s="27">
        <f>'MASTER STOCK'!L143</f>
        <v>76650</v>
      </c>
      <c r="AN146" s="27">
        <f t="shared" si="6"/>
        <v>0</v>
      </c>
      <c r="AO146" s="26">
        <f t="shared" si="7"/>
        <v>0</v>
      </c>
      <c r="AP146" s="114">
        <f t="shared" si="8"/>
        <v>0</v>
      </c>
      <c r="AQ146" s="10"/>
    </row>
    <row r="147">
      <c r="A147" s="20" t="str">
        <f>'MASTER STOCK'!F144</f>
        <v>AVIAN KAYU BESI 192</v>
      </c>
      <c r="B147" s="21">
        <f>'DES 25'!AJ:AJ</f>
        <v>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23">
        <f t="shared" si="3"/>
        <v>0</v>
      </c>
      <c r="AI147" s="24">
        <v>0.0</v>
      </c>
      <c r="AJ147" s="23">
        <f t="shared" si="4"/>
        <v>1</v>
      </c>
      <c r="AK147" s="23">
        <f t="shared" si="5"/>
        <v>1</v>
      </c>
      <c r="AL147" s="25">
        <f>'MASTER STOCK'!I144</f>
        <v>73000</v>
      </c>
      <c r="AM147" s="27">
        <f>'MASTER STOCK'!L144</f>
        <v>76650</v>
      </c>
      <c r="AN147" s="27">
        <f t="shared" si="6"/>
        <v>0</v>
      </c>
      <c r="AO147" s="26">
        <f t="shared" si="7"/>
        <v>0</v>
      </c>
      <c r="AP147" s="114">
        <f t="shared" si="8"/>
        <v>0</v>
      </c>
      <c r="AQ147" s="10"/>
    </row>
    <row r="148">
      <c r="A148" s="20" t="str">
        <f>'MASTER STOCK'!F145</f>
        <v>AVIAN KAYU BESI 480</v>
      </c>
      <c r="B148" s="21">
        <f>'DES 25'!AJ:AJ</f>
        <v>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23">
        <f t="shared" si="3"/>
        <v>0</v>
      </c>
      <c r="AI148" s="24">
        <v>0.0</v>
      </c>
      <c r="AJ148" s="23">
        <f t="shared" si="4"/>
        <v>1</v>
      </c>
      <c r="AK148" s="23">
        <f t="shared" si="5"/>
        <v>1</v>
      </c>
      <c r="AL148" s="25">
        <f>'MASTER STOCK'!I145</f>
        <v>73000</v>
      </c>
      <c r="AM148" s="27">
        <f>'MASTER STOCK'!L145</f>
        <v>76650</v>
      </c>
      <c r="AN148" s="27">
        <f t="shared" si="6"/>
        <v>0</v>
      </c>
      <c r="AO148" s="26">
        <f t="shared" si="7"/>
        <v>0</v>
      </c>
      <c r="AP148" s="114">
        <f t="shared" si="8"/>
        <v>0</v>
      </c>
      <c r="AQ148" s="10"/>
    </row>
    <row r="149">
      <c r="A149" s="20" t="str">
        <f>'MASTER STOCK'!F146</f>
        <v>AVIAN KAYU BESI SW</v>
      </c>
      <c r="B149" s="21">
        <f>'DES 25'!AJ:AJ</f>
        <v>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23">
        <f t="shared" si="3"/>
        <v>0</v>
      </c>
      <c r="AI149" s="24">
        <v>0.0</v>
      </c>
      <c r="AJ149" s="23">
        <f t="shared" si="4"/>
        <v>1</v>
      </c>
      <c r="AK149" s="23">
        <f t="shared" si="5"/>
        <v>1</v>
      </c>
      <c r="AL149" s="25">
        <f>'MASTER STOCK'!I146</f>
        <v>73000</v>
      </c>
      <c r="AM149" s="27">
        <f>'MASTER STOCK'!L146</f>
        <v>76650</v>
      </c>
      <c r="AN149" s="27">
        <f t="shared" si="6"/>
        <v>0</v>
      </c>
      <c r="AO149" s="26">
        <f t="shared" si="7"/>
        <v>0</v>
      </c>
      <c r="AP149" s="114">
        <f t="shared" si="8"/>
        <v>0</v>
      </c>
      <c r="AQ149" s="10"/>
    </row>
    <row r="150">
      <c r="A150" s="20" t="str">
        <f>'MASTER STOCK'!F147</f>
        <v>BEE BRAND KAYU BESI 126 GREEN</v>
      </c>
      <c r="B150" s="21">
        <f>'DES 25'!AJ:AJ</f>
        <v>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23">
        <f t="shared" si="3"/>
        <v>0</v>
      </c>
      <c r="AI150" s="24">
        <v>0.0</v>
      </c>
      <c r="AJ150" s="23">
        <f t="shared" si="4"/>
        <v>1</v>
      </c>
      <c r="AK150" s="23">
        <f t="shared" si="5"/>
        <v>1</v>
      </c>
      <c r="AL150" s="25">
        <f>'MASTER STOCK'!I147</f>
        <v>68000</v>
      </c>
      <c r="AM150" s="27">
        <f>'MASTER STOCK'!L147</f>
        <v>72760</v>
      </c>
      <c r="AN150" s="27">
        <f t="shared" si="6"/>
        <v>0</v>
      </c>
      <c r="AO150" s="26">
        <f t="shared" si="7"/>
        <v>0</v>
      </c>
      <c r="AP150" s="114">
        <f t="shared" si="8"/>
        <v>0</v>
      </c>
      <c r="AQ150" s="10"/>
    </row>
    <row r="151">
      <c r="A151" s="20" t="str">
        <f>'MASTER STOCK'!F148</f>
        <v>BEE BRAND KAYU BESI 1019 DEL FOGLIO</v>
      </c>
      <c r="B151" s="21">
        <f>'DES 25'!AJ:AJ</f>
        <v>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23">
        <f t="shared" si="3"/>
        <v>0</v>
      </c>
      <c r="AI151" s="24">
        <v>0.0</v>
      </c>
      <c r="AJ151" s="23">
        <f t="shared" si="4"/>
        <v>1</v>
      </c>
      <c r="AK151" s="23">
        <f t="shared" si="5"/>
        <v>1</v>
      </c>
      <c r="AL151" s="25">
        <f>'MASTER STOCK'!I148</f>
        <v>68000</v>
      </c>
      <c r="AM151" s="27">
        <f>'MASTER STOCK'!L148</f>
        <v>72760</v>
      </c>
      <c r="AN151" s="27">
        <f t="shared" si="6"/>
        <v>0</v>
      </c>
      <c r="AO151" s="26">
        <f t="shared" si="7"/>
        <v>0</v>
      </c>
      <c r="AP151" s="114">
        <f t="shared" si="8"/>
        <v>0</v>
      </c>
      <c r="AQ151" s="10"/>
    </row>
    <row r="152">
      <c r="A152" s="20" t="str">
        <f>'MASTER STOCK'!F149</f>
        <v>BEE BRAND KAYU BESI 115 SILVER</v>
      </c>
      <c r="B152" s="21">
        <f>'DES 25'!AJ:AJ</f>
        <v>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23">
        <f t="shared" si="3"/>
        <v>0</v>
      </c>
      <c r="AI152" s="24">
        <v>0.0</v>
      </c>
      <c r="AJ152" s="23">
        <f t="shared" si="4"/>
        <v>1</v>
      </c>
      <c r="AK152" s="23">
        <f t="shared" si="5"/>
        <v>1</v>
      </c>
      <c r="AL152" s="25">
        <f>'MASTER STOCK'!I149</f>
        <v>68000</v>
      </c>
      <c r="AM152" s="27">
        <f>'MASTER STOCK'!L149</f>
        <v>72760</v>
      </c>
      <c r="AN152" s="27">
        <f t="shared" si="6"/>
        <v>0</v>
      </c>
      <c r="AO152" s="26">
        <f t="shared" si="7"/>
        <v>0</v>
      </c>
      <c r="AP152" s="114">
        <f t="shared" si="8"/>
        <v>0</v>
      </c>
      <c r="AQ152" s="10"/>
    </row>
    <row r="153">
      <c r="A153" s="20" t="str">
        <f>'MASTER STOCK'!F150</f>
        <v>PARAGON TEMBOK SW 5KG</v>
      </c>
      <c r="B153" s="21">
        <f>'DES 25'!AJ:AJ</f>
        <v>2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23">
        <f t="shared" si="3"/>
        <v>0</v>
      </c>
      <c r="AI153" s="24">
        <v>0.0</v>
      </c>
      <c r="AJ153" s="23">
        <f t="shared" si="4"/>
        <v>2</v>
      </c>
      <c r="AK153" s="23">
        <f t="shared" si="5"/>
        <v>2</v>
      </c>
      <c r="AL153" s="25">
        <f>'MASTER STOCK'!I150</f>
        <v>122500</v>
      </c>
      <c r="AM153" s="27">
        <f>'MASTER STOCK'!L150</f>
        <v>134750</v>
      </c>
      <c r="AN153" s="27">
        <f t="shared" si="6"/>
        <v>0</v>
      </c>
      <c r="AO153" s="26">
        <f t="shared" si="7"/>
        <v>0</v>
      </c>
      <c r="AP153" s="114">
        <f t="shared" si="8"/>
        <v>0</v>
      </c>
      <c r="AQ153" s="10"/>
    </row>
    <row r="154">
      <c r="A154" s="20" t="str">
        <f>'MASTER STOCK'!F151</f>
        <v>PARAGON TEMBOK SW 1KG</v>
      </c>
      <c r="B154" s="21">
        <f>'DES 25'!AJ:AJ</f>
        <v>4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23">
        <f t="shared" si="3"/>
        <v>0</v>
      </c>
      <c r="AI154" s="24">
        <v>0.0</v>
      </c>
      <c r="AJ154" s="23">
        <f t="shared" si="4"/>
        <v>4</v>
      </c>
      <c r="AK154" s="23">
        <f t="shared" si="5"/>
        <v>4</v>
      </c>
      <c r="AL154" s="25">
        <f>'MASTER STOCK'!I151</f>
        <v>32500</v>
      </c>
      <c r="AM154" s="27">
        <f>'MASTER STOCK'!L151</f>
        <v>35750</v>
      </c>
      <c r="AN154" s="27">
        <f t="shared" si="6"/>
        <v>0</v>
      </c>
      <c r="AO154" s="26">
        <f t="shared" si="7"/>
        <v>0</v>
      </c>
      <c r="AP154" s="114">
        <f t="shared" si="8"/>
        <v>0</v>
      </c>
      <c r="AQ154" s="10"/>
    </row>
    <row r="155">
      <c r="A155" s="20" t="str">
        <f>'MASTER STOCK'!F152</f>
        <v>NODROP TEMBOK ABU-ABU 602 1KG</v>
      </c>
      <c r="B155" s="21">
        <f>'DES 25'!AJ:AJ</f>
        <v>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23">
        <f t="shared" si="3"/>
        <v>0</v>
      </c>
      <c r="AI155" s="24">
        <v>0.0</v>
      </c>
      <c r="AJ155" s="23">
        <f t="shared" si="4"/>
        <v>4</v>
      </c>
      <c r="AK155" s="23">
        <f t="shared" si="5"/>
        <v>4</v>
      </c>
      <c r="AL155" s="25">
        <f>'MASTER STOCK'!I152</f>
        <v>53500</v>
      </c>
      <c r="AM155" s="27">
        <f>'MASTER STOCK'!L152</f>
        <v>58850</v>
      </c>
      <c r="AN155" s="27">
        <f t="shared" si="6"/>
        <v>0</v>
      </c>
      <c r="AO155" s="26">
        <f t="shared" si="7"/>
        <v>0</v>
      </c>
      <c r="AP155" s="114">
        <f t="shared" si="8"/>
        <v>0</v>
      </c>
      <c r="AQ155" s="10"/>
    </row>
    <row r="156">
      <c r="A156" s="20" t="str">
        <f>'MASTER STOCK'!F153</f>
        <v>AVITEX TEMBOK 710 BLUE</v>
      </c>
      <c r="B156" s="21">
        <f>'DES 25'!AJ:AJ</f>
        <v>2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23">
        <f t="shared" si="3"/>
        <v>0</v>
      </c>
      <c r="AI156" s="24">
        <v>0.0</v>
      </c>
      <c r="AJ156" s="23">
        <f t="shared" si="4"/>
        <v>2</v>
      </c>
      <c r="AK156" s="23">
        <f t="shared" si="5"/>
        <v>2</v>
      </c>
      <c r="AL156" s="25">
        <f>'MASTER STOCK'!I153</f>
        <v>35500</v>
      </c>
      <c r="AM156" s="27">
        <f>'MASTER STOCK'!L153</f>
        <v>39050</v>
      </c>
      <c r="AN156" s="27">
        <f t="shared" si="6"/>
        <v>0</v>
      </c>
      <c r="AO156" s="26">
        <f t="shared" si="7"/>
        <v>0</v>
      </c>
      <c r="AP156" s="114">
        <f t="shared" si="8"/>
        <v>0</v>
      </c>
      <c r="AQ156" s="10"/>
    </row>
    <row r="157">
      <c r="A157" s="20" t="str">
        <f>'MASTER STOCK'!F154</f>
        <v>AVITEX TEMBOK 770 GREEN</v>
      </c>
      <c r="B157" s="21">
        <f>'DES 25'!AJ:AJ</f>
        <v>2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23">
        <f t="shared" si="3"/>
        <v>0</v>
      </c>
      <c r="AI157" s="24">
        <v>0.0</v>
      </c>
      <c r="AJ157" s="23">
        <f t="shared" si="4"/>
        <v>2</v>
      </c>
      <c r="AK157" s="23">
        <f t="shared" si="5"/>
        <v>2</v>
      </c>
      <c r="AL157" s="25">
        <f>'MASTER STOCK'!I154</f>
        <v>35500</v>
      </c>
      <c r="AM157" s="27">
        <f>'MASTER STOCK'!L154</f>
        <v>39050</v>
      </c>
      <c r="AN157" s="27">
        <f t="shared" si="6"/>
        <v>0</v>
      </c>
      <c r="AO157" s="26">
        <f t="shared" si="7"/>
        <v>0</v>
      </c>
      <c r="AP157" s="114">
        <f t="shared" si="8"/>
        <v>0</v>
      </c>
      <c r="AQ157" s="10"/>
    </row>
    <row r="158">
      <c r="A158" s="20" t="str">
        <f>'MASTER STOCK'!F155</f>
        <v>AVITEX TEMBOK 750 YELLOW</v>
      </c>
      <c r="B158" s="21">
        <f>'DES 25'!AJ:AJ</f>
        <v>2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23">
        <f t="shared" si="3"/>
        <v>0</v>
      </c>
      <c r="AI158" s="24">
        <v>0.0</v>
      </c>
      <c r="AJ158" s="23">
        <f t="shared" si="4"/>
        <v>2</v>
      </c>
      <c r="AK158" s="23">
        <f t="shared" si="5"/>
        <v>2</v>
      </c>
      <c r="AL158" s="25">
        <f>'MASTER STOCK'!I155</f>
        <v>35500</v>
      </c>
      <c r="AM158" s="27">
        <f>'MASTER STOCK'!L155</f>
        <v>39050</v>
      </c>
      <c r="AN158" s="27">
        <f t="shared" si="6"/>
        <v>0</v>
      </c>
      <c r="AO158" s="26">
        <f t="shared" si="7"/>
        <v>0</v>
      </c>
      <c r="AP158" s="114">
        <f t="shared" si="8"/>
        <v>0</v>
      </c>
      <c r="AQ158" s="10"/>
    </row>
    <row r="159">
      <c r="A159" s="20" t="str">
        <f>'MASTER STOCK'!F156</f>
        <v>AVITEX TEMBOK 831 CREAM</v>
      </c>
      <c r="B159" s="21">
        <f>'DES 25'!AJ:AJ</f>
        <v>2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23">
        <f t="shared" si="3"/>
        <v>0</v>
      </c>
      <c r="AI159" s="24">
        <v>0.0</v>
      </c>
      <c r="AJ159" s="23">
        <f t="shared" si="4"/>
        <v>2</v>
      </c>
      <c r="AK159" s="23">
        <f t="shared" si="5"/>
        <v>2</v>
      </c>
      <c r="AL159" s="25">
        <f>'MASTER STOCK'!I156</f>
        <v>35500</v>
      </c>
      <c r="AM159" s="27">
        <f>'MASTER STOCK'!L156</f>
        <v>39050</v>
      </c>
      <c r="AN159" s="27">
        <f t="shared" si="6"/>
        <v>0</v>
      </c>
      <c r="AO159" s="26">
        <f t="shared" si="7"/>
        <v>0</v>
      </c>
      <c r="AP159" s="114">
        <f t="shared" si="8"/>
        <v>0</v>
      </c>
      <c r="AQ159" s="10"/>
    </row>
    <row r="160">
      <c r="A160" s="20" t="str">
        <f>'MASTER STOCK'!F157</f>
        <v>AVITEX TEMBOK SB</v>
      </c>
      <c r="B160" s="21">
        <f>'DES 25'!AJ:AJ</f>
        <v>2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23">
        <f t="shared" si="3"/>
        <v>0</v>
      </c>
      <c r="AI160" s="24">
        <v>0.0</v>
      </c>
      <c r="AJ160" s="23">
        <f t="shared" si="4"/>
        <v>2</v>
      </c>
      <c r="AK160" s="23">
        <f t="shared" si="5"/>
        <v>2</v>
      </c>
      <c r="AL160" s="25">
        <f>'MASTER STOCK'!I157</f>
        <v>35500</v>
      </c>
      <c r="AM160" s="27">
        <f>'MASTER STOCK'!L157</f>
        <v>39050</v>
      </c>
      <c r="AN160" s="27">
        <f t="shared" si="6"/>
        <v>0</v>
      </c>
      <c r="AO160" s="26">
        <f t="shared" si="7"/>
        <v>0</v>
      </c>
      <c r="AP160" s="114">
        <f t="shared" si="8"/>
        <v>0</v>
      </c>
      <c r="AQ160" s="10"/>
    </row>
    <row r="161">
      <c r="A161" s="29" t="str">
        <f>'MASTER STOCK'!F158</f>
        <v>knee 1/2 dim</v>
      </c>
      <c r="B161" s="30">
        <f>'DES 25'!AJ:AJ</f>
        <v>45</v>
      </c>
      <c r="C161" s="10"/>
      <c r="D161" s="10"/>
      <c r="E161" s="10"/>
      <c r="F161" s="10"/>
      <c r="G161" s="10"/>
      <c r="H161" s="10"/>
      <c r="I161" s="10"/>
      <c r="J161" s="10"/>
      <c r="K161" s="22">
        <v>6.0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22"/>
      <c r="AE161" s="10"/>
      <c r="AF161" s="10"/>
      <c r="AG161" s="10"/>
      <c r="AH161" s="23">
        <f t="shared" si="3"/>
        <v>6</v>
      </c>
      <c r="AI161" s="24">
        <v>0.0</v>
      </c>
      <c r="AJ161" s="32">
        <f t="shared" si="4"/>
        <v>39</v>
      </c>
      <c r="AK161" s="32">
        <f t="shared" si="5"/>
        <v>39</v>
      </c>
      <c r="AL161" s="25">
        <f>'MASTER STOCK'!I158</f>
        <v>2500</v>
      </c>
      <c r="AM161" s="27">
        <f>'MASTER STOCK'!L158</f>
        <v>2500</v>
      </c>
      <c r="AN161" s="27">
        <f t="shared" si="6"/>
        <v>15000</v>
      </c>
      <c r="AO161" s="26">
        <f t="shared" si="7"/>
        <v>0</v>
      </c>
      <c r="AP161" s="114">
        <f t="shared" si="8"/>
        <v>15000</v>
      </c>
      <c r="AQ161" s="10"/>
    </row>
    <row r="162">
      <c r="A162" s="29" t="str">
        <f>'MASTER STOCK'!F159</f>
        <v>knee 3/4 dim</v>
      </c>
      <c r="B162" s="30">
        <f>'DES 25'!AJ:AJ</f>
        <v>33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22"/>
      <c r="M162" s="10"/>
      <c r="N162" s="22"/>
      <c r="O162" s="10"/>
      <c r="P162" s="10"/>
      <c r="Q162" s="10"/>
      <c r="R162" s="10"/>
      <c r="S162" s="10"/>
      <c r="T162" s="10"/>
      <c r="U162" s="22">
        <v>1.0</v>
      </c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23">
        <f t="shared" si="3"/>
        <v>1</v>
      </c>
      <c r="AI162" s="24">
        <v>0.0</v>
      </c>
      <c r="AJ162" s="32">
        <f t="shared" si="4"/>
        <v>32</v>
      </c>
      <c r="AK162" s="32">
        <f t="shared" si="5"/>
        <v>32</v>
      </c>
      <c r="AL162" s="25">
        <f>'MASTER STOCK'!I159</f>
        <v>3500</v>
      </c>
      <c r="AM162" s="27">
        <f>'MASTER STOCK'!L159</f>
        <v>3500</v>
      </c>
      <c r="AN162" s="27">
        <f t="shared" si="6"/>
        <v>3500</v>
      </c>
      <c r="AO162" s="26">
        <f t="shared" si="7"/>
        <v>0</v>
      </c>
      <c r="AP162" s="114">
        <f t="shared" si="8"/>
        <v>3500</v>
      </c>
      <c r="AQ162" s="10"/>
    </row>
    <row r="163">
      <c r="A163" s="29" t="str">
        <f>'MASTER STOCK'!F160</f>
        <v>knee drat dalam 3/4 dim</v>
      </c>
      <c r="B163" s="30">
        <f>'DES 25'!AJ:AJ</f>
        <v>8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23">
        <f t="shared" si="3"/>
        <v>0</v>
      </c>
      <c r="AI163" s="24">
        <v>0.0</v>
      </c>
      <c r="AJ163" s="32">
        <f t="shared" si="4"/>
        <v>8</v>
      </c>
      <c r="AK163" s="32">
        <f t="shared" si="5"/>
        <v>8</v>
      </c>
      <c r="AL163" s="25">
        <f>'MASTER STOCK'!I160</f>
        <v>4500</v>
      </c>
      <c r="AM163" s="27">
        <f>'MASTER STOCK'!L160</f>
        <v>4500</v>
      </c>
      <c r="AN163" s="27">
        <f t="shared" si="6"/>
        <v>0</v>
      </c>
      <c r="AO163" s="26">
        <f t="shared" si="7"/>
        <v>0</v>
      </c>
      <c r="AP163" s="114">
        <f t="shared" si="8"/>
        <v>0</v>
      </c>
      <c r="AQ163" s="10"/>
    </row>
    <row r="164">
      <c r="A164" s="29" t="str">
        <f>'MASTER STOCK'!F161</f>
        <v>paku 1 1/2</v>
      </c>
      <c r="B164" s="30">
        <f>'DES 25'!AJ:AJ</f>
        <v>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23">
        <f t="shared" si="3"/>
        <v>0</v>
      </c>
      <c r="AI164" s="24">
        <v>0.0</v>
      </c>
      <c r="AJ164" s="32">
        <f t="shared" si="4"/>
        <v>1</v>
      </c>
      <c r="AK164" s="32">
        <f t="shared" si="5"/>
        <v>1</v>
      </c>
      <c r="AL164" s="25">
        <f>'MASTER STOCK'!I161</f>
        <v>25000</v>
      </c>
      <c r="AM164" s="27">
        <f>'MASTER STOCK'!L161</f>
        <v>25000</v>
      </c>
      <c r="AN164" s="27">
        <f t="shared" si="6"/>
        <v>0</v>
      </c>
      <c r="AO164" s="26">
        <f t="shared" si="7"/>
        <v>0</v>
      </c>
      <c r="AP164" s="114">
        <f t="shared" si="8"/>
        <v>0</v>
      </c>
      <c r="AQ164" s="10"/>
    </row>
    <row r="165">
      <c r="A165" s="29" t="str">
        <f>'MASTER STOCK'!F162</f>
        <v>paku 3/4</v>
      </c>
      <c r="B165" s="30">
        <f>'DES 25'!AJ:AJ</f>
        <v>1</v>
      </c>
      <c r="C165" s="10"/>
      <c r="D165" s="22"/>
      <c r="E165" s="10"/>
      <c r="F165" s="10"/>
      <c r="G165" s="10"/>
      <c r="H165" s="22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23">
        <f t="shared" si="3"/>
        <v>0</v>
      </c>
      <c r="AI165" s="24">
        <v>0.0</v>
      </c>
      <c r="AJ165" s="32">
        <f t="shared" si="4"/>
        <v>1</v>
      </c>
      <c r="AK165" s="32">
        <f t="shared" si="5"/>
        <v>1</v>
      </c>
      <c r="AL165" s="25">
        <f>'MASTER STOCK'!I162</f>
        <v>25000</v>
      </c>
      <c r="AM165" s="27">
        <f>'MASTER STOCK'!L162</f>
        <v>25000</v>
      </c>
      <c r="AN165" s="27">
        <f t="shared" si="6"/>
        <v>0</v>
      </c>
      <c r="AO165" s="26">
        <f t="shared" si="7"/>
        <v>0</v>
      </c>
      <c r="AP165" s="114">
        <f t="shared" si="8"/>
        <v>0</v>
      </c>
      <c r="AQ165" s="10"/>
    </row>
    <row r="166">
      <c r="A166" s="29" t="str">
        <f>'MASTER STOCK'!F163</f>
        <v>t  1/2 dim</v>
      </c>
      <c r="B166" s="30">
        <f>'DES 25'!AJ:AJ</f>
        <v>9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23">
        <f t="shared" si="3"/>
        <v>0</v>
      </c>
      <c r="AI166" s="24">
        <v>0.0</v>
      </c>
      <c r="AJ166" s="32">
        <f t="shared" si="4"/>
        <v>9</v>
      </c>
      <c r="AK166" s="32">
        <f t="shared" si="5"/>
        <v>9</v>
      </c>
      <c r="AL166" s="25">
        <f>'MASTER STOCK'!I163</f>
        <v>2500</v>
      </c>
      <c r="AM166" s="27">
        <f>'MASTER STOCK'!L163</f>
        <v>2500</v>
      </c>
      <c r="AN166" s="27">
        <f t="shared" si="6"/>
        <v>0</v>
      </c>
      <c r="AO166" s="26">
        <f t="shared" si="7"/>
        <v>0</v>
      </c>
      <c r="AP166" s="114">
        <f t="shared" si="8"/>
        <v>0</v>
      </c>
      <c r="AQ166" s="10"/>
    </row>
    <row r="167">
      <c r="A167" s="29" t="str">
        <f>'MASTER STOCK'!F164</f>
        <v>knee 1 dim</v>
      </c>
      <c r="B167" s="30">
        <f>'DES 25'!AJ:AJ</f>
        <v>18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23">
        <f t="shared" si="3"/>
        <v>0</v>
      </c>
      <c r="AI167" s="24">
        <v>0.0</v>
      </c>
      <c r="AJ167" s="32">
        <f t="shared" si="4"/>
        <v>18</v>
      </c>
      <c r="AK167" s="32">
        <f t="shared" si="5"/>
        <v>18</v>
      </c>
      <c r="AL167" s="25">
        <f>'MASTER STOCK'!I164</f>
        <v>4000</v>
      </c>
      <c r="AM167" s="27">
        <f>'MASTER STOCK'!L164</f>
        <v>4000</v>
      </c>
      <c r="AN167" s="27">
        <f t="shared" si="6"/>
        <v>0</v>
      </c>
      <c r="AO167" s="26">
        <f t="shared" si="7"/>
        <v>0</v>
      </c>
      <c r="AP167" s="114">
        <f t="shared" si="8"/>
        <v>0</v>
      </c>
      <c r="AQ167" s="10"/>
    </row>
    <row r="168">
      <c r="A168" s="29" t="str">
        <f>'MASTER STOCK'!F165</f>
        <v>t 1/2 dim</v>
      </c>
      <c r="B168" s="30">
        <f>'DES 25'!AJ:AJ</f>
        <v>15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23">
        <f t="shared" si="3"/>
        <v>0</v>
      </c>
      <c r="AI168" s="24">
        <v>0.0</v>
      </c>
      <c r="AJ168" s="32">
        <f t="shared" si="4"/>
        <v>15</v>
      </c>
      <c r="AK168" s="32">
        <f t="shared" si="5"/>
        <v>15</v>
      </c>
      <c r="AL168" s="25">
        <f>'MASTER STOCK'!I165</f>
        <v>2500</v>
      </c>
      <c r="AM168" s="27">
        <f>'MASTER STOCK'!L165</f>
        <v>2500</v>
      </c>
      <c r="AN168" s="27">
        <f t="shared" si="6"/>
        <v>0</v>
      </c>
      <c r="AO168" s="26">
        <f t="shared" si="7"/>
        <v>0</v>
      </c>
      <c r="AP168" s="114">
        <f t="shared" si="8"/>
        <v>0</v>
      </c>
      <c r="AQ168" s="10"/>
    </row>
    <row r="169">
      <c r="A169" s="29" t="str">
        <f>'MASTER STOCK'!F166</f>
        <v>t 1/4 dim</v>
      </c>
      <c r="B169" s="30">
        <f>'DES 25'!AJ:AJ</f>
        <v>5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23">
        <f t="shared" si="3"/>
        <v>0</v>
      </c>
      <c r="AI169" s="24">
        <v>0.0</v>
      </c>
      <c r="AJ169" s="32">
        <f t="shared" si="4"/>
        <v>5</v>
      </c>
      <c r="AK169" s="32">
        <f t="shared" si="5"/>
        <v>5</v>
      </c>
      <c r="AL169" s="25">
        <f>'MASTER STOCK'!I166</f>
        <v>2500</v>
      </c>
      <c r="AM169" s="27">
        <f>'MASTER STOCK'!L166</f>
        <v>2500</v>
      </c>
      <c r="AN169" s="27">
        <f t="shared" si="6"/>
        <v>0</v>
      </c>
      <c r="AO169" s="26">
        <f t="shared" si="7"/>
        <v>0</v>
      </c>
      <c r="AP169" s="114">
        <f t="shared" si="8"/>
        <v>0</v>
      </c>
      <c r="AQ169" s="10"/>
    </row>
    <row r="170">
      <c r="A170" s="29" t="str">
        <f>'MASTER STOCK'!F167</f>
        <v>t 2 dim</v>
      </c>
      <c r="B170" s="30">
        <f>'DES 25'!AJ:AJ</f>
        <v>24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23">
        <f t="shared" si="3"/>
        <v>0</v>
      </c>
      <c r="AI170" s="24">
        <v>0.0</v>
      </c>
      <c r="AJ170" s="32">
        <f t="shared" si="4"/>
        <v>24</v>
      </c>
      <c r="AK170" s="32">
        <f t="shared" si="5"/>
        <v>24</v>
      </c>
      <c r="AL170" s="25">
        <f>'MASTER STOCK'!I167</f>
        <v>5000</v>
      </c>
      <c r="AM170" s="27">
        <f>'MASTER STOCK'!L167</f>
        <v>5000</v>
      </c>
      <c r="AN170" s="27">
        <f t="shared" si="6"/>
        <v>0</v>
      </c>
      <c r="AO170" s="26">
        <f t="shared" si="7"/>
        <v>0</v>
      </c>
      <c r="AP170" s="114">
        <f t="shared" si="8"/>
        <v>0</v>
      </c>
      <c r="AQ170" s="10"/>
    </row>
    <row r="171">
      <c r="A171" s="29" t="str">
        <f>'MASTER STOCK'!F168</f>
        <v>t 3/4 dim</v>
      </c>
      <c r="B171" s="30">
        <f>'DES 25'!AJ:AJ</f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23">
        <f t="shared" si="3"/>
        <v>0</v>
      </c>
      <c r="AI171" s="24">
        <v>0.0</v>
      </c>
      <c r="AJ171" s="32">
        <f t="shared" si="4"/>
        <v>11</v>
      </c>
      <c r="AK171" s="32">
        <f t="shared" si="5"/>
        <v>11</v>
      </c>
      <c r="AL171" s="25">
        <f>'MASTER STOCK'!I168</f>
        <v>3500</v>
      </c>
      <c r="AM171" s="27">
        <f>'MASTER STOCK'!L168</f>
        <v>3500</v>
      </c>
      <c r="AN171" s="27">
        <f t="shared" si="6"/>
        <v>0</v>
      </c>
      <c r="AO171" s="26">
        <f t="shared" si="7"/>
        <v>0</v>
      </c>
      <c r="AP171" s="114">
        <f t="shared" si="8"/>
        <v>0</v>
      </c>
      <c r="AQ171" s="10"/>
    </row>
    <row r="172">
      <c r="A172" s="29" t="str">
        <f>'MASTER STOCK'!F169</f>
        <v>knee 1 1/2</v>
      </c>
      <c r="B172" s="30">
        <f>'DES 25'!AJ:AJ</f>
        <v>10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23">
        <f t="shared" si="3"/>
        <v>0</v>
      </c>
      <c r="AI172" s="24">
        <v>0.0</v>
      </c>
      <c r="AJ172" s="32">
        <f t="shared" si="4"/>
        <v>10</v>
      </c>
      <c r="AK172" s="32">
        <f t="shared" si="5"/>
        <v>10</v>
      </c>
      <c r="AL172" s="25">
        <f>'MASTER STOCK'!I169</f>
        <v>4500</v>
      </c>
      <c r="AM172" s="27">
        <f>'MASTER STOCK'!L169</f>
        <v>4500</v>
      </c>
      <c r="AN172" s="27">
        <f t="shared" si="6"/>
        <v>0</v>
      </c>
      <c r="AO172" s="26">
        <f t="shared" si="7"/>
        <v>0</v>
      </c>
      <c r="AP172" s="114">
        <f t="shared" si="8"/>
        <v>0</v>
      </c>
      <c r="AQ172" s="10"/>
    </row>
    <row r="173">
      <c r="A173" s="29" t="str">
        <f>'MASTER STOCK'!F170</f>
        <v>t drat dalam 1/2 dim</v>
      </c>
      <c r="B173" s="30">
        <f>'DES 25'!AJ:AJ</f>
        <v>10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23">
        <f t="shared" si="3"/>
        <v>0</v>
      </c>
      <c r="AI173" s="24">
        <v>0.0</v>
      </c>
      <c r="AJ173" s="32">
        <f t="shared" si="4"/>
        <v>10</v>
      </c>
      <c r="AK173" s="32">
        <f t="shared" si="5"/>
        <v>10</v>
      </c>
      <c r="AL173" s="25">
        <f>'MASTER STOCK'!I170</f>
        <v>3000</v>
      </c>
      <c r="AM173" s="27">
        <f>'MASTER STOCK'!L170</f>
        <v>3000</v>
      </c>
      <c r="AN173" s="27">
        <f t="shared" si="6"/>
        <v>0</v>
      </c>
      <c r="AO173" s="26">
        <f t="shared" si="7"/>
        <v>0</v>
      </c>
      <c r="AP173" s="114">
        <f t="shared" si="8"/>
        <v>0</v>
      </c>
      <c r="AQ173" s="10"/>
    </row>
    <row r="174">
      <c r="A174" s="29" t="str">
        <f>'MASTER STOCK'!F171</f>
        <v>t drat dalam 3/4</v>
      </c>
      <c r="B174" s="30">
        <f>'DES 25'!AJ:AJ</f>
        <v>7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23">
        <f t="shared" si="3"/>
        <v>0</v>
      </c>
      <c r="AI174" s="24">
        <v>0.0</v>
      </c>
      <c r="AJ174" s="32">
        <f t="shared" si="4"/>
        <v>7</v>
      </c>
      <c r="AK174" s="32">
        <f t="shared" si="5"/>
        <v>7</v>
      </c>
      <c r="AL174" s="25">
        <f>'MASTER STOCK'!I171</f>
        <v>4000</v>
      </c>
      <c r="AM174" s="27">
        <f>'MASTER STOCK'!L171</f>
        <v>4000</v>
      </c>
      <c r="AN174" s="27">
        <f t="shared" si="6"/>
        <v>0</v>
      </c>
      <c r="AO174" s="26">
        <f t="shared" si="7"/>
        <v>0</v>
      </c>
      <c r="AP174" s="114">
        <f t="shared" si="8"/>
        <v>0</v>
      </c>
      <c r="AQ174" s="10"/>
    </row>
    <row r="175">
      <c r="A175" s="29" t="str">
        <f>'MASTER STOCK'!F172</f>
        <v>sok darat luar 1/2</v>
      </c>
      <c r="B175" s="30">
        <f>'DES 25'!AJ:AJ</f>
        <v>11</v>
      </c>
      <c r="C175" s="22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22">
        <v>1.0</v>
      </c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23">
        <f t="shared" si="3"/>
        <v>1</v>
      </c>
      <c r="AI175" s="24">
        <v>0.0</v>
      </c>
      <c r="AJ175" s="32">
        <f t="shared" si="4"/>
        <v>10</v>
      </c>
      <c r="AK175" s="32">
        <f t="shared" si="5"/>
        <v>10</v>
      </c>
      <c r="AL175" s="25">
        <f>'MASTER STOCK'!I172</f>
        <v>2500</v>
      </c>
      <c r="AM175" s="27">
        <f>'MASTER STOCK'!L172</f>
        <v>2500</v>
      </c>
      <c r="AN175" s="27">
        <f t="shared" si="6"/>
        <v>2500</v>
      </c>
      <c r="AO175" s="26">
        <f t="shared" si="7"/>
        <v>0</v>
      </c>
      <c r="AP175" s="114">
        <f t="shared" si="8"/>
        <v>2500</v>
      </c>
      <c r="AQ175" s="10"/>
    </row>
    <row r="176">
      <c r="A176" s="29" t="str">
        <f>'MASTER STOCK'!F173</f>
        <v>knee 1 1/4</v>
      </c>
      <c r="B176" s="30">
        <f>'DES 25'!AJ:AJ</f>
        <v>13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23">
        <f t="shared" si="3"/>
        <v>0</v>
      </c>
      <c r="AI176" s="24">
        <v>0.0</v>
      </c>
      <c r="AJ176" s="32">
        <f t="shared" si="4"/>
        <v>13</v>
      </c>
      <c r="AK176" s="32">
        <f t="shared" si="5"/>
        <v>13</v>
      </c>
      <c r="AL176" s="25">
        <f>'MASTER STOCK'!I173</f>
        <v>3500</v>
      </c>
      <c r="AM176" s="27">
        <f>'MASTER STOCK'!L173</f>
        <v>3500</v>
      </c>
      <c r="AN176" s="27">
        <f t="shared" si="6"/>
        <v>0</v>
      </c>
      <c r="AO176" s="26">
        <f t="shared" si="7"/>
        <v>0</v>
      </c>
      <c r="AP176" s="114">
        <f t="shared" si="8"/>
        <v>0</v>
      </c>
      <c r="AQ176" s="10"/>
    </row>
    <row r="177">
      <c r="A177" s="29" t="str">
        <f>'MASTER STOCK'!F174</f>
        <v>sok drat dalam 1/2</v>
      </c>
      <c r="B177" s="30">
        <f>'DES 25'!AJ:AJ</f>
        <v>319</v>
      </c>
      <c r="C177" s="22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23">
        <f t="shared" si="3"/>
        <v>0</v>
      </c>
      <c r="AI177" s="24">
        <v>0.0</v>
      </c>
      <c r="AJ177" s="32">
        <f t="shared" si="4"/>
        <v>319</v>
      </c>
      <c r="AK177" s="32">
        <f t="shared" si="5"/>
        <v>319</v>
      </c>
      <c r="AL177" s="25">
        <f>'MASTER STOCK'!I174</f>
        <v>930</v>
      </c>
      <c r="AM177" s="27">
        <f>'MASTER STOCK'!L174</f>
        <v>2500</v>
      </c>
      <c r="AN177" s="27">
        <f t="shared" si="6"/>
        <v>0</v>
      </c>
      <c r="AO177" s="26">
        <f t="shared" si="7"/>
        <v>0</v>
      </c>
      <c r="AP177" s="114">
        <f t="shared" si="8"/>
        <v>0</v>
      </c>
      <c r="AQ177" s="10"/>
    </row>
    <row r="178">
      <c r="A178" s="29" t="str">
        <f>'MASTER STOCK'!F175</f>
        <v>sok 1/2</v>
      </c>
      <c r="B178" s="30">
        <f>'DES 25'!AJ:AJ</f>
        <v>350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23">
        <f t="shared" si="3"/>
        <v>0</v>
      </c>
      <c r="AI178" s="24">
        <v>0.0</v>
      </c>
      <c r="AJ178" s="32">
        <f t="shared" si="4"/>
        <v>350</v>
      </c>
      <c r="AK178" s="32">
        <f t="shared" si="5"/>
        <v>350</v>
      </c>
      <c r="AL178" s="25">
        <f>'MASTER STOCK'!I175</f>
        <v>622</v>
      </c>
      <c r="AM178" s="27">
        <f>'MASTER STOCK'!L175</f>
        <v>2000</v>
      </c>
      <c r="AN178" s="27">
        <f t="shared" si="6"/>
        <v>0</v>
      </c>
      <c r="AO178" s="26">
        <f t="shared" si="7"/>
        <v>0</v>
      </c>
      <c r="AP178" s="114">
        <f t="shared" si="8"/>
        <v>0</v>
      </c>
      <c r="AQ178" s="10"/>
    </row>
    <row r="179">
      <c r="A179" s="29" t="str">
        <f>'MASTER STOCK'!F176</f>
        <v>sok 3/4</v>
      </c>
      <c r="B179" s="30">
        <f>'DES 25'!AJ:AJ</f>
        <v>336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22"/>
      <c r="M179" s="10"/>
      <c r="N179" s="22"/>
      <c r="O179" s="10"/>
      <c r="P179" s="10"/>
      <c r="Q179" s="10"/>
      <c r="R179" s="10"/>
      <c r="S179" s="10"/>
      <c r="T179" s="10"/>
      <c r="U179" s="22">
        <v>1.0</v>
      </c>
      <c r="V179" s="22">
        <v>1.0</v>
      </c>
      <c r="W179" s="10"/>
      <c r="X179" s="10"/>
      <c r="Y179" s="10"/>
      <c r="Z179" s="22"/>
      <c r="AA179" s="10"/>
      <c r="AB179" s="10"/>
      <c r="AC179" s="10"/>
      <c r="AD179" s="10"/>
      <c r="AE179" s="10"/>
      <c r="AF179" s="22"/>
      <c r="AG179" s="22"/>
      <c r="AH179" s="23">
        <f t="shared" si="3"/>
        <v>2</v>
      </c>
      <c r="AI179" s="24">
        <v>0.0</v>
      </c>
      <c r="AJ179" s="32">
        <f t="shared" si="4"/>
        <v>334</v>
      </c>
      <c r="AK179" s="32">
        <f t="shared" si="5"/>
        <v>334</v>
      </c>
      <c r="AL179" s="25">
        <f>'MASTER STOCK'!I176</f>
        <v>835</v>
      </c>
      <c r="AM179" s="27">
        <f>'MASTER STOCK'!L176</f>
        <v>3000</v>
      </c>
      <c r="AN179" s="27">
        <f t="shared" si="6"/>
        <v>6000</v>
      </c>
      <c r="AO179" s="26">
        <f t="shared" si="7"/>
        <v>4330</v>
      </c>
      <c r="AP179" s="114">
        <f t="shared" si="8"/>
        <v>1670</v>
      </c>
      <c r="AQ179" s="10"/>
    </row>
    <row r="180">
      <c r="A180" s="29" t="str">
        <f>'MASTER STOCK'!F177</f>
        <v>sok 1 1/2</v>
      </c>
      <c r="B180" s="30">
        <f>'DES 25'!AJ:AJ</f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23">
        <f t="shared" si="3"/>
        <v>0</v>
      </c>
      <c r="AI180" s="24">
        <v>0.0</v>
      </c>
      <c r="AJ180" s="32">
        <f t="shared" si="4"/>
        <v>11</v>
      </c>
      <c r="AK180" s="32">
        <f t="shared" si="5"/>
        <v>11</v>
      </c>
      <c r="AL180" s="25">
        <f>'MASTER STOCK'!I177</f>
        <v>3500</v>
      </c>
      <c r="AM180" s="27">
        <f>'MASTER STOCK'!L177</f>
        <v>3500</v>
      </c>
      <c r="AN180" s="27">
        <f t="shared" si="6"/>
        <v>0</v>
      </c>
      <c r="AO180" s="26">
        <f t="shared" si="7"/>
        <v>0</v>
      </c>
      <c r="AP180" s="114">
        <f t="shared" si="8"/>
        <v>0</v>
      </c>
      <c r="AQ180" s="10"/>
    </row>
    <row r="181">
      <c r="A181" s="29" t="str">
        <f>'MASTER STOCK'!F178</f>
        <v>sok 2</v>
      </c>
      <c r="B181" s="30">
        <f>'DES 25'!AJ:AJ</f>
        <v>6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22"/>
      <c r="AE181" s="10"/>
      <c r="AF181" s="10"/>
      <c r="AG181" s="10"/>
      <c r="AH181" s="23">
        <f t="shared" si="3"/>
        <v>0</v>
      </c>
      <c r="AI181" s="24">
        <v>0.0</v>
      </c>
      <c r="AJ181" s="32">
        <f t="shared" si="4"/>
        <v>6</v>
      </c>
      <c r="AK181" s="32">
        <f t="shared" si="5"/>
        <v>6</v>
      </c>
      <c r="AL181" s="25">
        <f>'MASTER STOCK'!I178</f>
        <v>2000</v>
      </c>
      <c r="AM181" s="27">
        <f>'MASTER STOCK'!L178</f>
        <v>2000</v>
      </c>
      <c r="AN181" s="27">
        <f t="shared" si="6"/>
        <v>0</v>
      </c>
      <c r="AO181" s="26">
        <f t="shared" si="7"/>
        <v>0</v>
      </c>
      <c r="AP181" s="114">
        <f t="shared" si="8"/>
        <v>0</v>
      </c>
      <c r="AQ181" s="10"/>
    </row>
    <row r="182">
      <c r="A182" s="29" t="str">
        <f>'MASTER STOCK'!F179</f>
        <v>sok 1 1/4</v>
      </c>
      <c r="B182" s="30">
        <f>'DES 25'!AJ:AJ</f>
        <v>17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23">
        <f t="shared" si="3"/>
        <v>0</v>
      </c>
      <c r="AI182" s="24">
        <v>0.0</v>
      </c>
      <c r="AJ182" s="32">
        <f t="shared" si="4"/>
        <v>17</v>
      </c>
      <c r="AK182" s="32">
        <f t="shared" si="5"/>
        <v>17</v>
      </c>
      <c r="AL182" s="25">
        <f>'MASTER STOCK'!I179</f>
        <v>3500</v>
      </c>
      <c r="AM182" s="27">
        <f>'MASTER STOCK'!L179</f>
        <v>3500</v>
      </c>
      <c r="AN182" s="27">
        <f t="shared" si="6"/>
        <v>0</v>
      </c>
      <c r="AO182" s="26">
        <f t="shared" si="7"/>
        <v>0</v>
      </c>
      <c r="AP182" s="114">
        <f t="shared" si="8"/>
        <v>0</v>
      </c>
      <c r="AQ182" s="10"/>
    </row>
    <row r="183">
      <c r="A183" s="29" t="str">
        <f>'MASTER STOCK'!F180</f>
        <v>sok 3</v>
      </c>
      <c r="B183" s="30">
        <f>'DES 25'!AJ:AJ</f>
        <v>8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23">
        <f t="shared" si="3"/>
        <v>0</v>
      </c>
      <c r="AI183" s="24">
        <v>0.0</v>
      </c>
      <c r="AJ183" s="32">
        <f t="shared" si="4"/>
        <v>8</v>
      </c>
      <c r="AK183" s="32">
        <f t="shared" si="5"/>
        <v>8</v>
      </c>
      <c r="AL183" s="25">
        <f>'MASTER STOCK'!I180</f>
        <v>7500</v>
      </c>
      <c r="AM183" s="27">
        <f>'MASTER STOCK'!L180</f>
        <v>7500</v>
      </c>
      <c r="AN183" s="27">
        <f t="shared" si="6"/>
        <v>0</v>
      </c>
      <c r="AO183" s="26">
        <f t="shared" si="7"/>
        <v>0</v>
      </c>
      <c r="AP183" s="114">
        <f t="shared" si="8"/>
        <v>0</v>
      </c>
      <c r="AQ183" s="10"/>
    </row>
    <row r="184">
      <c r="A184" s="29" t="str">
        <f>'MASTER STOCK'!F181</f>
        <v>sok drat dalam 1</v>
      </c>
      <c r="B184" s="30">
        <f>'DES 25'!AJ:AJ</f>
        <v>9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22">
        <v>1.0</v>
      </c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23">
        <f t="shared" si="3"/>
        <v>1</v>
      </c>
      <c r="AI184" s="24">
        <v>0.0</v>
      </c>
      <c r="AJ184" s="32">
        <f t="shared" si="4"/>
        <v>8</v>
      </c>
      <c r="AK184" s="32">
        <f t="shared" si="5"/>
        <v>8</v>
      </c>
      <c r="AL184" s="25">
        <f>'MASTER STOCK'!I181</f>
        <v>3500</v>
      </c>
      <c r="AM184" s="27">
        <f>'MASTER STOCK'!L181</f>
        <v>3500</v>
      </c>
      <c r="AN184" s="27">
        <f t="shared" si="6"/>
        <v>3500</v>
      </c>
      <c r="AO184" s="26">
        <f t="shared" si="7"/>
        <v>0</v>
      </c>
      <c r="AP184" s="114">
        <f t="shared" si="8"/>
        <v>3500</v>
      </c>
      <c r="AQ184" s="10"/>
    </row>
    <row r="185">
      <c r="A185" s="29" t="str">
        <f>'MASTER STOCK'!F182</f>
        <v>sok drat dalam 3/4</v>
      </c>
      <c r="B185" s="30">
        <f>'DES 25'!AJ:AJ</f>
        <v>5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23">
        <f t="shared" si="3"/>
        <v>0</v>
      </c>
      <c r="AI185" s="24">
        <v>0.0</v>
      </c>
      <c r="AJ185" s="32">
        <f t="shared" si="4"/>
        <v>5</v>
      </c>
      <c r="AK185" s="32">
        <f t="shared" si="5"/>
        <v>5</v>
      </c>
      <c r="AL185" s="25">
        <f>'MASTER STOCK'!I182</f>
        <v>4000</v>
      </c>
      <c r="AM185" s="27">
        <f>'MASTER STOCK'!L182</f>
        <v>4000</v>
      </c>
      <c r="AN185" s="27">
        <f t="shared" si="6"/>
        <v>0</v>
      </c>
      <c r="AO185" s="26">
        <f t="shared" si="7"/>
        <v>0</v>
      </c>
      <c r="AP185" s="114">
        <f t="shared" si="8"/>
        <v>0</v>
      </c>
      <c r="AQ185" s="10"/>
    </row>
    <row r="186">
      <c r="A186" s="29" t="str">
        <f>'MASTER STOCK'!F183</f>
        <v>sok drat luar 3/4</v>
      </c>
      <c r="B186" s="30">
        <f>'DES 25'!AJ:AJ</f>
        <v>6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22"/>
      <c r="AA186" s="10"/>
      <c r="AB186" s="10"/>
      <c r="AC186" s="10"/>
      <c r="AD186" s="10"/>
      <c r="AE186" s="10"/>
      <c r="AF186" s="10"/>
      <c r="AG186" s="10"/>
      <c r="AH186" s="23">
        <f t="shared" si="3"/>
        <v>0</v>
      </c>
      <c r="AI186" s="24">
        <v>0.0</v>
      </c>
      <c r="AJ186" s="32">
        <f t="shared" si="4"/>
        <v>6</v>
      </c>
      <c r="AK186" s="32">
        <f t="shared" si="5"/>
        <v>6</v>
      </c>
      <c r="AL186" s="25">
        <f>'MASTER STOCK'!I183</f>
        <v>3000</v>
      </c>
      <c r="AM186" s="27">
        <f>'MASTER STOCK'!L183</f>
        <v>3000</v>
      </c>
      <c r="AN186" s="27">
        <f t="shared" si="6"/>
        <v>0</v>
      </c>
      <c r="AO186" s="26">
        <f t="shared" si="7"/>
        <v>0</v>
      </c>
      <c r="AP186" s="114">
        <f t="shared" si="8"/>
        <v>0</v>
      </c>
      <c r="AQ186" s="10"/>
    </row>
    <row r="187">
      <c r="A187" s="29" t="str">
        <f>'MASTER STOCK'!F184</f>
        <v>overlup 1 x 3/4</v>
      </c>
      <c r="B187" s="30">
        <f>'DES 25'!AJ:AJ</f>
        <v>26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22">
        <v>1.0</v>
      </c>
      <c r="V187" s="22">
        <v>1.0</v>
      </c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23">
        <f t="shared" si="3"/>
        <v>2</v>
      </c>
      <c r="AI187" s="24">
        <v>0.0</v>
      </c>
      <c r="AJ187" s="32">
        <f t="shared" si="4"/>
        <v>24</v>
      </c>
      <c r="AK187" s="32">
        <f t="shared" si="5"/>
        <v>24</v>
      </c>
      <c r="AL187" s="25">
        <f>'MASTER STOCK'!I184</f>
        <v>2500</v>
      </c>
      <c r="AM187" s="27">
        <f>'MASTER STOCK'!L184</f>
        <v>2500</v>
      </c>
      <c r="AN187" s="27">
        <f t="shared" si="6"/>
        <v>5000</v>
      </c>
      <c r="AO187" s="26">
        <f t="shared" si="7"/>
        <v>0</v>
      </c>
      <c r="AP187" s="114">
        <f t="shared" si="8"/>
        <v>5000</v>
      </c>
      <c r="AQ187" s="10"/>
    </row>
    <row r="188">
      <c r="A188" s="29" t="str">
        <f>'MASTER STOCK'!F185</f>
        <v>sok drat dalam 3/4 x 1/2</v>
      </c>
      <c r="B188" s="30">
        <f>'DES 25'!AJ:AJ</f>
        <v>6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23">
        <f t="shared" si="3"/>
        <v>0</v>
      </c>
      <c r="AI188" s="24">
        <v>0.0</v>
      </c>
      <c r="AJ188" s="32">
        <f t="shared" si="4"/>
        <v>6</v>
      </c>
      <c r="AK188" s="32">
        <f t="shared" si="5"/>
        <v>6</v>
      </c>
      <c r="AL188" s="25">
        <f>'MASTER STOCK'!I185</f>
        <v>3000</v>
      </c>
      <c r="AM188" s="27">
        <f>'MASTER STOCK'!L185</f>
        <v>3000</v>
      </c>
      <c r="AN188" s="27">
        <f t="shared" si="6"/>
        <v>0</v>
      </c>
      <c r="AO188" s="26">
        <f t="shared" si="7"/>
        <v>0</v>
      </c>
      <c r="AP188" s="114">
        <f t="shared" si="8"/>
        <v>0</v>
      </c>
      <c r="AQ188" s="10"/>
    </row>
    <row r="189">
      <c r="A189" s="29" t="str">
        <f>'MASTER STOCK'!F186</f>
        <v>overlup 2 x 1</v>
      </c>
      <c r="B189" s="30">
        <f>'DES 25'!AJ:AJ</f>
        <v>13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23">
        <f t="shared" si="3"/>
        <v>0</v>
      </c>
      <c r="AI189" s="24">
        <v>0.0</v>
      </c>
      <c r="AJ189" s="32">
        <f t="shared" si="4"/>
        <v>13</v>
      </c>
      <c r="AK189" s="32">
        <f t="shared" si="5"/>
        <v>13</v>
      </c>
      <c r="AL189" s="25">
        <f>'MASTER STOCK'!I186</f>
        <v>7500</v>
      </c>
      <c r="AM189" s="27">
        <f>'MASTER STOCK'!L186</f>
        <v>7500</v>
      </c>
      <c r="AN189" s="27">
        <f t="shared" si="6"/>
        <v>0</v>
      </c>
      <c r="AO189" s="26">
        <f t="shared" si="7"/>
        <v>0</v>
      </c>
      <c r="AP189" s="114">
        <f t="shared" si="8"/>
        <v>0</v>
      </c>
      <c r="AQ189" s="10"/>
    </row>
    <row r="190">
      <c r="A190" s="29" t="str">
        <f>'MASTER STOCK'!F187</f>
        <v>overlup 2 x 1 1/2</v>
      </c>
      <c r="B190" s="30">
        <f>'DES 25'!AJ:AJ</f>
        <v>5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23">
        <f t="shared" si="3"/>
        <v>0</v>
      </c>
      <c r="AI190" s="24">
        <v>0.0</v>
      </c>
      <c r="AJ190" s="32">
        <f t="shared" si="4"/>
        <v>5</v>
      </c>
      <c r="AK190" s="32">
        <f t="shared" si="5"/>
        <v>5</v>
      </c>
      <c r="AL190" s="25">
        <f>'MASTER STOCK'!I187</f>
        <v>5500</v>
      </c>
      <c r="AM190" s="27">
        <f>'MASTER STOCK'!L187</f>
        <v>5500</v>
      </c>
      <c r="AN190" s="27">
        <f t="shared" si="6"/>
        <v>0</v>
      </c>
      <c r="AO190" s="26">
        <f t="shared" si="7"/>
        <v>0</v>
      </c>
      <c r="AP190" s="114">
        <f t="shared" si="8"/>
        <v>0</v>
      </c>
      <c r="AQ190" s="10"/>
    </row>
    <row r="191">
      <c r="A191" s="29" t="str">
        <f>'MASTER STOCK'!F188</f>
        <v>overlup 1 x 1 1/2</v>
      </c>
      <c r="B191" s="30">
        <f>'DES 25'!AJ:AJ</f>
        <v>5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23">
        <f t="shared" si="3"/>
        <v>0</v>
      </c>
      <c r="AI191" s="24">
        <v>0.0</v>
      </c>
      <c r="AJ191" s="32">
        <f t="shared" si="4"/>
        <v>5</v>
      </c>
      <c r="AK191" s="32">
        <f t="shared" si="5"/>
        <v>5</v>
      </c>
      <c r="AL191" s="25">
        <f>'MASTER STOCK'!I188</f>
        <v>6500</v>
      </c>
      <c r="AM191" s="27">
        <f>'MASTER STOCK'!L188</f>
        <v>6500</v>
      </c>
      <c r="AN191" s="27">
        <f t="shared" si="6"/>
        <v>0</v>
      </c>
      <c r="AO191" s="26">
        <f t="shared" si="7"/>
        <v>0</v>
      </c>
      <c r="AP191" s="114">
        <f t="shared" si="8"/>
        <v>0</v>
      </c>
      <c r="AQ191" s="10"/>
    </row>
    <row r="192">
      <c r="A192" s="29" t="str">
        <f>'MASTER STOCK'!F189</f>
        <v>overlup 2 x 2 1/2</v>
      </c>
      <c r="B192" s="30">
        <f>'DES 25'!AJ:AJ</f>
        <v>3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23">
        <f t="shared" si="3"/>
        <v>0</v>
      </c>
      <c r="AI192" s="24">
        <v>0.0</v>
      </c>
      <c r="AJ192" s="32">
        <f t="shared" si="4"/>
        <v>3</v>
      </c>
      <c r="AK192" s="32">
        <f t="shared" si="5"/>
        <v>3</v>
      </c>
      <c r="AL192" s="25">
        <f>'MASTER STOCK'!I189</f>
        <v>8000</v>
      </c>
      <c r="AM192" s="27">
        <f>'MASTER STOCK'!L189</f>
        <v>8000</v>
      </c>
      <c r="AN192" s="27">
        <f t="shared" si="6"/>
        <v>0</v>
      </c>
      <c r="AO192" s="26">
        <f t="shared" si="7"/>
        <v>0</v>
      </c>
      <c r="AP192" s="114">
        <f t="shared" si="8"/>
        <v>0</v>
      </c>
      <c r="AQ192" s="10"/>
    </row>
    <row r="193">
      <c r="A193" s="29" t="str">
        <f>'MASTER STOCK'!F190</f>
        <v>t  3/4 x 1</v>
      </c>
      <c r="B193" s="30">
        <f>'DES 25'!AJ:AJ</f>
        <v>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23">
        <f t="shared" si="3"/>
        <v>0</v>
      </c>
      <c r="AI193" s="24">
        <v>0.0</v>
      </c>
      <c r="AJ193" s="32">
        <f t="shared" si="4"/>
        <v>1</v>
      </c>
      <c r="AK193" s="32">
        <f t="shared" si="5"/>
        <v>1</v>
      </c>
      <c r="AL193" s="25">
        <f>'MASTER STOCK'!I190</f>
        <v>3500</v>
      </c>
      <c r="AM193" s="27">
        <f>'MASTER STOCK'!L190</f>
        <v>3500</v>
      </c>
      <c r="AN193" s="27">
        <f t="shared" si="6"/>
        <v>0</v>
      </c>
      <c r="AO193" s="26">
        <f t="shared" si="7"/>
        <v>0</v>
      </c>
      <c r="AP193" s="114">
        <f t="shared" si="8"/>
        <v>0</v>
      </c>
      <c r="AQ193" s="10"/>
    </row>
    <row r="194">
      <c r="A194" s="29" t="str">
        <f>'MASTER STOCK'!F191</f>
        <v>knee 2 1/2</v>
      </c>
      <c r="B194" s="30">
        <f>'DES 25'!AJ:AJ</f>
        <v>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23">
        <f t="shared" si="3"/>
        <v>0</v>
      </c>
      <c r="AI194" s="24">
        <v>0.0</v>
      </c>
      <c r="AJ194" s="32">
        <f t="shared" si="4"/>
        <v>8</v>
      </c>
      <c r="AK194" s="32">
        <f t="shared" si="5"/>
        <v>8</v>
      </c>
      <c r="AL194" s="25">
        <f>'MASTER STOCK'!I191</f>
        <v>7500</v>
      </c>
      <c r="AM194" s="27">
        <f>'MASTER STOCK'!L191</f>
        <v>7500</v>
      </c>
      <c r="AN194" s="27">
        <f t="shared" si="6"/>
        <v>0</v>
      </c>
      <c r="AO194" s="26">
        <f t="shared" si="7"/>
        <v>0</v>
      </c>
      <c r="AP194" s="114">
        <f t="shared" si="8"/>
        <v>0</v>
      </c>
      <c r="AQ194" s="10"/>
    </row>
    <row r="195">
      <c r="A195" s="29" t="str">
        <f>'MASTER STOCK'!F192</f>
        <v>sok 4</v>
      </c>
      <c r="B195" s="30">
        <f>'DES 25'!AJ:AJ</f>
        <v>22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23">
        <f t="shared" si="3"/>
        <v>0</v>
      </c>
      <c r="AI195" s="24">
        <v>0.0</v>
      </c>
      <c r="AJ195" s="32">
        <f t="shared" si="4"/>
        <v>22</v>
      </c>
      <c r="AK195" s="32">
        <f t="shared" si="5"/>
        <v>22</v>
      </c>
      <c r="AL195" s="25">
        <f>'MASTER STOCK'!I192</f>
        <v>9000</v>
      </c>
      <c r="AM195" s="27">
        <f>'MASTER STOCK'!L192</f>
        <v>9000</v>
      </c>
      <c r="AN195" s="27">
        <f t="shared" si="6"/>
        <v>0</v>
      </c>
      <c r="AO195" s="26">
        <f t="shared" si="7"/>
        <v>0</v>
      </c>
      <c r="AP195" s="114">
        <f t="shared" si="8"/>
        <v>0</v>
      </c>
      <c r="AQ195" s="10"/>
    </row>
    <row r="196">
      <c r="A196" s="29" t="str">
        <f>'MASTER STOCK'!F193</f>
        <v>sok 2 1/2</v>
      </c>
      <c r="B196" s="30">
        <f>'DES 25'!AJ:AJ</f>
        <v>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23">
        <f t="shared" si="3"/>
        <v>0</v>
      </c>
      <c r="AI196" s="24">
        <v>0.0</v>
      </c>
      <c r="AJ196" s="32">
        <f t="shared" si="4"/>
        <v>2</v>
      </c>
      <c r="AK196" s="32">
        <f t="shared" si="5"/>
        <v>2</v>
      </c>
      <c r="AL196" s="25">
        <f>'MASTER STOCK'!I193</f>
        <v>5500</v>
      </c>
      <c r="AM196" s="27">
        <f>'MASTER STOCK'!L193</f>
        <v>5500</v>
      </c>
      <c r="AN196" s="27">
        <f t="shared" si="6"/>
        <v>0</v>
      </c>
      <c r="AO196" s="26">
        <f t="shared" si="7"/>
        <v>0</v>
      </c>
      <c r="AP196" s="114">
        <f t="shared" si="8"/>
        <v>0</v>
      </c>
      <c r="AQ196" s="10"/>
    </row>
    <row r="197">
      <c r="A197" s="29" t="str">
        <f>'MASTER STOCK'!F194</f>
        <v>sok drat luar 2</v>
      </c>
      <c r="B197" s="30">
        <f>'DES 25'!AJ:AJ</f>
        <v>5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23">
        <f t="shared" si="3"/>
        <v>0</v>
      </c>
      <c r="AI197" s="24">
        <v>0.0</v>
      </c>
      <c r="AJ197" s="32">
        <f t="shared" si="4"/>
        <v>5</v>
      </c>
      <c r="AK197" s="32">
        <f t="shared" si="5"/>
        <v>5</v>
      </c>
      <c r="AL197" s="25">
        <f>'MASTER STOCK'!I194</f>
        <v>7500</v>
      </c>
      <c r="AM197" s="27">
        <f>'MASTER STOCK'!L194</f>
        <v>7500</v>
      </c>
      <c r="AN197" s="27">
        <f t="shared" si="6"/>
        <v>0</v>
      </c>
      <c r="AO197" s="26">
        <f t="shared" si="7"/>
        <v>0</v>
      </c>
      <c r="AP197" s="114">
        <f t="shared" si="8"/>
        <v>0</v>
      </c>
      <c r="AQ197" s="10"/>
    </row>
    <row r="198">
      <c r="A198" s="29" t="str">
        <f>'MASTER STOCK'!F195</f>
        <v>t 4</v>
      </c>
      <c r="B198" s="30">
        <f>'DES 25'!AJ:AJ</f>
        <v>10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23">
        <f t="shared" si="3"/>
        <v>0</v>
      </c>
      <c r="AI198" s="24">
        <v>0.0</v>
      </c>
      <c r="AJ198" s="32">
        <f t="shared" si="4"/>
        <v>10</v>
      </c>
      <c r="AK198" s="32">
        <f t="shared" si="5"/>
        <v>10</v>
      </c>
      <c r="AL198" s="25">
        <f>'MASTER STOCK'!I195</f>
        <v>16500</v>
      </c>
      <c r="AM198" s="27">
        <f>'MASTER STOCK'!L195</f>
        <v>16500</v>
      </c>
      <c r="AN198" s="27">
        <f t="shared" si="6"/>
        <v>0</v>
      </c>
      <c r="AO198" s="26">
        <f t="shared" si="7"/>
        <v>0</v>
      </c>
      <c r="AP198" s="114">
        <f t="shared" si="8"/>
        <v>0</v>
      </c>
      <c r="AQ198" s="10"/>
    </row>
    <row r="199">
      <c r="A199" s="29" t="str">
        <f>'MASTER STOCK'!F196</f>
        <v>t 3</v>
      </c>
      <c r="B199" s="30">
        <f>'DES 25'!AJ:AJ</f>
        <v>7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23">
        <f t="shared" si="3"/>
        <v>0</v>
      </c>
      <c r="AI199" s="24">
        <v>0.0</v>
      </c>
      <c r="AJ199" s="32">
        <f t="shared" si="4"/>
        <v>7</v>
      </c>
      <c r="AK199" s="32">
        <f t="shared" si="5"/>
        <v>7</v>
      </c>
      <c r="AL199" s="25">
        <f>'MASTER STOCK'!I196</f>
        <v>10000</v>
      </c>
      <c r="AM199" s="27">
        <f>'MASTER STOCK'!L196</f>
        <v>10000</v>
      </c>
      <c r="AN199" s="27">
        <f t="shared" si="6"/>
        <v>0</v>
      </c>
      <c r="AO199" s="26">
        <f t="shared" si="7"/>
        <v>0</v>
      </c>
      <c r="AP199" s="114">
        <f t="shared" si="8"/>
        <v>0</v>
      </c>
      <c r="AQ199" s="10"/>
    </row>
    <row r="200">
      <c r="A200" s="29" t="str">
        <f>'MASTER STOCK'!F197</f>
        <v>knee 4</v>
      </c>
      <c r="B200" s="30">
        <f>'DES 25'!AJ:AJ</f>
        <v>13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23">
        <f t="shared" si="3"/>
        <v>0</v>
      </c>
      <c r="AI200" s="24">
        <v>0.0</v>
      </c>
      <c r="AJ200" s="32">
        <f t="shared" si="4"/>
        <v>13</v>
      </c>
      <c r="AK200" s="32">
        <f t="shared" si="5"/>
        <v>13</v>
      </c>
      <c r="AL200" s="25">
        <f>'MASTER STOCK'!I197</f>
        <v>14000</v>
      </c>
      <c r="AM200" s="27">
        <f>'MASTER STOCK'!L197</f>
        <v>14000</v>
      </c>
      <c r="AN200" s="27">
        <f t="shared" si="6"/>
        <v>0</v>
      </c>
      <c r="AO200" s="26">
        <f t="shared" si="7"/>
        <v>0</v>
      </c>
      <c r="AP200" s="114">
        <f t="shared" si="8"/>
        <v>0</v>
      </c>
      <c r="AQ200" s="10"/>
    </row>
    <row r="201">
      <c r="A201" s="29" t="str">
        <f>'MASTER STOCK'!F198</f>
        <v>overlup 4 x 2 1/2</v>
      </c>
      <c r="B201" s="30">
        <f>'DES 25'!AJ:AJ</f>
        <v>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23">
        <f t="shared" si="3"/>
        <v>0</v>
      </c>
      <c r="AI201" s="24">
        <v>0.0</v>
      </c>
      <c r="AJ201" s="32">
        <f t="shared" si="4"/>
        <v>1</v>
      </c>
      <c r="AK201" s="32">
        <f t="shared" si="5"/>
        <v>1</v>
      </c>
      <c r="AL201" s="25">
        <f>'MASTER STOCK'!I198</f>
        <v>12000</v>
      </c>
      <c r="AM201" s="27">
        <f>'MASTER STOCK'!L198</f>
        <v>12000</v>
      </c>
      <c r="AN201" s="27">
        <f t="shared" si="6"/>
        <v>0</v>
      </c>
      <c r="AO201" s="26">
        <f t="shared" si="7"/>
        <v>0</v>
      </c>
      <c r="AP201" s="114">
        <f t="shared" si="8"/>
        <v>0</v>
      </c>
      <c r="AQ201" s="10"/>
    </row>
    <row r="202">
      <c r="A202" s="29" t="str">
        <f>'MASTER STOCK'!F199</f>
        <v>overlup 4 x 3</v>
      </c>
      <c r="B202" s="30">
        <f>'DES 25'!AJ:AJ</f>
        <v>2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23">
        <f t="shared" si="3"/>
        <v>0</v>
      </c>
      <c r="AI202" s="24">
        <v>0.0</v>
      </c>
      <c r="AJ202" s="32">
        <f t="shared" si="4"/>
        <v>2</v>
      </c>
      <c r="AK202" s="32">
        <f t="shared" si="5"/>
        <v>2</v>
      </c>
      <c r="AL202" s="25">
        <f>'MASTER STOCK'!I199</f>
        <v>12500</v>
      </c>
      <c r="AM202" s="27">
        <f>'MASTER STOCK'!L199</f>
        <v>12500</v>
      </c>
      <c r="AN202" s="27">
        <f t="shared" si="6"/>
        <v>0</v>
      </c>
      <c r="AO202" s="26">
        <f t="shared" si="7"/>
        <v>0</v>
      </c>
      <c r="AP202" s="114">
        <f t="shared" si="8"/>
        <v>0</v>
      </c>
      <c r="AQ202" s="10"/>
    </row>
    <row r="203">
      <c r="A203" s="29" t="str">
        <f>'MASTER STOCK'!F200</f>
        <v>knee 3</v>
      </c>
      <c r="B203" s="30">
        <f>'DES 25'!AJ:AJ</f>
        <v>6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23">
        <f t="shared" si="3"/>
        <v>0</v>
      </c>
      <c r="AI203" s="24">
        <v>0.0</v>
      </c>
      <c r="AJ203" s="32">
        <f t="shared" si="4"/>
        <v>6</v>
      </c>
      <c r="AK203" s="32">
        <f t="shared" si="5"/>
        <v>6</v>
      </c>
      <c r="AL203" s="25">
        <f>'MASTER STOCK'!I200</f>
        <v>10000</v>
      </c>
      <c r="AM203" s="27">
        <f>'MASTER STOCK'!L200</f>
        <v>10000</v>
      </c>
      <c r="AN203" s="27">
        <f t="shared" si="6"/>
        <v>0</v>
      </c>
      <c r="AO203" s="26">
        <f t="shared" si="7"/>
        <v>0</v>
      </c>
      <c r="AP203" s="114">
        <f t="shared" si="8"/>
        <v>0</v>
      </c>
      <c r="AQ203" s="10"/>
    </row>
    <row r="204">
      <c r="A204" s="29" t="str">
        <f>'MASTER STOCK'!F201</f>
        <v>tutup pipa 3</v>
      </c>
      <c r="B204" s="30">
        <f>'DES 25'!AJ:AJ</f>
        <v>4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23">
        <f t="shared" si="3"/>
        <v>0</v>
      </c>
      <c r="AI204" s="24">
        <v>0.0</v>
      </c>
      <c r="AJ204" s="32">
        <f t="shared" si="4"/>
        <v>4</v>
      </c>
      <c r="AK204" s="32">
        <f t="shared" si="5"/>
        <v>4</v>
      </c>
      <c r="AL204" s="25">
        <f>'MASTER STOCK'!I201</f>
        <v>8500</v>
      </c>
      <c r="AM204" s="27">
        <f>'MASTER STOCK'!L201</f>
        <v>8500</v>
      </c>
      <c r="AN204" s="27">
        <f t="shared" si="6"/>
        <v>0</v>
      </c>
      <c r="AO204" s="26">
        <f t="shared" si="7"/>
        <v>0</v>
      </c>
      <c r="AP204" s="114">
        <f t="shared" si="8"/>
        <v>0</v>
      </c>
      <c r="AQ204" s="10"/>
    </row>
    <row r="205">
      <c r="A205" s="29" t="str">
        <f>'MASTER STOCK'!F202</f>
        <v>tutup pipa 4</v>
      </c>
      <c r="B205" s="30">
        <f>'DES 25'!AJ:AJ</f>
        <v>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23">
        <f t="shared" si="3"/>
        <v>0</v>
      </c>
      <c r="AI205" s="24">
        <v>0.0</v>
      </c>
      <c r="AJ205" s="32">
        <f t="shared" si="4"/>
        <v>1</v>
      </c>
      <c r="AK205" s="32">
        <f t="shared" si="5"/>
        <v>1</v>
      </c>
      <c r="AL205" s="25">
        <f>'MASTER STOCK'!I202</f>
        <v>9500</v>
      </c>
      <c r="AM205" s="27">
        <f>'MASTER STOCK'!L202</f>
        <v>9500</v>
      </c>
      <c r="AN205" s="27">
        <f t="shared" si="6"/>
        <v>0</v>
      </c>
      <c r="AO205" s="26">
        <f t="shared" si="7"/>
        <v>0</v>
      </c>
      <c r="AP205" s="114">
        <f t="shared" si="8"/>
        <v>0</v>
      </c>
      <c r="AQ205" s="10"/>
    </row>
    <row r="206">
      <c r="A206" s="29" t="str">
        <f>'MASTER STOCK'!F203</f>
        <v>tutup pipa 2 1/2</v>
      </c>
      <c r="B206" s="30">
        <f>'DES 25'!AJ:AJ</f>
        <v>2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23">
        <f t="shared" si="3"/>
        <v>0</v>
      </c>
      <c r="AI206" s="24">
        <v>0.0</v>
      </c>
      <c r="AJ206" s="32">
        <f t="shared" si="4"/>
        <v>2</v>
      </c>
      <c r="AK206" s="32">
        <f t="shared" si="5"/>
        <v>2</v>
      </c>
      <c r="AL206" s="25">
        <f>'MASTER STOCK'!I203</f>
        <v>6500</v>
      </c>
      <c r="AM206" s="27">
        <f>'MASTER STOCK'!L203</f>
        <v>6500</v>
      </c>
      <c r="AN206" s="27">
        <f t="shared" si="6"/>
        <v>0</v>
      </c>
      <c r="AO206" s="26">
        <f t="shared" si="7"/>
        <v>0</v>
      </c>
      <c r="AP206" s="114">
        <f t="shared" si="8"/>
        <v>0</v>
      </c>
      <c r="AQ206" s="10"/>
    </row>
    <row r="207">
      <c r="A207" s="29" t="str">
        <f>'MASTER STOCK'!F204</f>
        <v>tutup pipa 2</v>
      </c>
      <c r="B207" s="30">
        <f>'DES 25'!AJ:AJ</f>
        <v>2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23">
        <f t="shared" si="3"/>
        <v>0</v>
      </c>
      <c r="AI207" s="24">
        <v>0.0</v>
      </c>
      <c r="AJ207" s="32">
        <f t="shared" si="4"/>
        <v>2</v>
      </c>
      <c r="AK207" s="32">
        <f t="shared" si="5"/>
        <v>2</v>
      </c>
      <c r="AL207" s="25">
        <f>'MASTER STOCK'!I204</f>
        <v>6000</v>
      </c>
      <c r="AM207" s="27">
        <f>'MASTER STOCK'!L204</f>
        <v>6000</v>
      </c>
      <c r="AN207" s="27">
        <f t="shared" si="6"/>
        <v>0</v>
      </c>
      <c r="AO207" s="26">
        <f t="shared" si="7"/>
        <v>0</v>
      </c>
      <c r="AP207" s="114">
        <f t="shared" si="8"/>
        <v>0</v>
      </c>
      <c r="AQ207" s="10"/>
    </row>
    <row r="208">
      <c r="A208" s="29" t="str">
        <f>'MASTER STOCK'!F205</f>
        <v>pipa 1/2</v>
      </c>
      <c r="B208" s="30">
        <f>'DES 25'!AJ:AJ</f>
        <v>3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23">
        <f t="shared" si="3"/>
        <v>0</v>
      </c>
      <c r="AI208" s="24">
        <v>0.0</v>
      </c>
      <c r="AJ208" s="32">
        <f t="shared" si="4"/>
        <v>3</v>
      </c>
      <c r="AK208" s="32">
        <f t="shared" si="5"/>
        <v>3</v>
      </c>
      <c r="AL208" s="25">
        <f>'MASTER STOCK'!I205</f>
        <v>2500</v>
      </c>
      <c r="AM208" s="27">
        <f>'MASTER STOCK'!L205</f>
        <v>2500</v>
      </c>
      <c r="AN208" s="27">
        <f t="shared" si="6"/>
        <v>0</v>
      </c>
      <c r="AO208" s="26">
        <f t="shared" si="7"/>
        <v>0</v>
      </c>
      <c r="AP208" s="114">
        <f t="shared" si="8"/>
        <v>0</v>
      </c>
      <c r="AQ208" s="10"/>
    </row>
    <row r="209">
      <c r="A209" s="29" t="str">
        <f>'MASTER STOCK'!F206</f>
        <v>pipa 3/4</v>
      </c>
      <c r="B209" s="30">
        <f>'DES 25'!AJ:AJ</f>
        <v>5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22">
        <v>3.0</v>
      </c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22"/>
      <c r="AE209" s="10"/>
      <c r="AF209" s="10"/>
      <c r="AG209" s="10"/>
      <c r="AH209" s="23">
        <f t="shared" si="3"/>
        <v>3</v>
      </c>
      <c r="AI209" s="24">
        <v>0.0</v>
      </c>
      <c r="AJ209" s="32">
        <f t="shared" si="4"/>
        <v>2</v>
      </c>
      <c r="AK209" s="32">
        <f t="shared" si="5"/>
        <v>2</v>
      </c>
      <c r="AL209" s="25">
        <f>'MASTER STOCK'!I206</f>
        <v>27500</v>
      </c>
      <c r="AM209" s="27">
        <f>'MASTER STOCK'!L206</f>
        <v>27500</v>
      </c>
      <c r="AN209" s="27">
        <f t="shared" si="6"/>
        <v>82500</v>
      </c>
      <c r="AO209" s="26">
        <f t="shared" si="7"/>
        <v>0</v>
      </c>
      <c r="AP209" s="114">
        <f t="shared" si="8"/>
        <v>82500</v>
      </c>
      <c r="AQ209" s="10"/>
    </row>
    <row r="210">
      <c r="A210" s="29" t="str">
        <f>'MASTER STOCK'!F207</f>
        <v>pipa 5/8</v>
      </c>
      <c r="B210" s="30">
        <f>'DES 25'!AJ:AJ</f>
        <v>4</v>
      </c>
      <c r="C210" s="10"/>
      <c r="D210" s="10"/>
      <c r="E210" s="10"/>
      <c r="F210" s="10"/>
      <c r="G210" s="10"/>
      <c r="H210" s="22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23">
        <f t="shared" si="3"/>
        <v>0</v>
      </c>
      <c r="AI210" s="24">
        <v>0.0</v>
      </c>
      <c r="AJ210" s="32">
        <f t="shared" si="4"/>
        <v>4</v>
      </c>
      <c r="AK210" s="32">
        <f t="shared" si="5"/>
        <v>4</v>
      </c>
      <c r="AL210" s="25">
        <f>'MASTER STOCK'!I207</f>
        <v>0</v>
      </c>
      <c r="AM210" s="27">
        <f>'MASTER STOCK'!L207</f>
        <v>0</v>
      </c>
      <c r="AN210" s="27">
        <f t="shared" si="6"/>
        <v>0</v>
      </c>
      <c r="AO210" s="26">
        <f t="shared" si="7"/>
        <v>0</v>
      </c>
      <c r="AP210" s="114">
        <f t="shared" si="8"/>
        <v>0</v>
      </c>
      <c r="AQ210" s="10"/>
    </row>
    <row r="211">
      <c r="A211" s="29" t="str">
        <f>'MASTER STOCK'!F208</f>
        <v>pipa 1 aw</v>
      </c>
      <c r="B211" s="30">
        <f>'DES 25'!AJ:AJ</f>
        <v>3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23">
        <f t="shared" si="3"/>
        <v>0</v>
      </c>
      <c r="AI211" s="24">
        <v>0.0</v>
      </c>
      <c r="AJ211" s="32">
        <f t="shared" si="4"/>
        <v>3</v>
      </c>
      <c r="AK211" s="32">
        <f t="shared" si="5"/>
        <v>3</v>
      </c>
      <c r="AL211" s="25">
        <f>'MASTER STOCK'!I208</f>
        <v>38000</v>
      </c>
      <c r="AM211" s="27">
        <f>'MASTER STOCK'!L208</f>
        <v>38000</v>
      </c>
      <c r="AN211" s="27">
        <f t="shared" si="6"/>
        <v>0</v>
      </c>
      <c r="AO211" s="26">
        <f t="shared" si="7"/>
        <v>0</v>
      </c>
      <c r="AP211" s="114">
        <f t="shared" si="8"/>
        <v>0</v>
      </c>
      <c r="AQ211" s="10"/>
    </row>
    <row r="212">
      <c r="A212" s="29" t="str">
        <f>'MASTER STOCK'!F209</f>
        <v>pipa bluefin 1 1/2</v>
      </c>
      <c r="B212" s="30">
        <f>'DES 25'!AJ:AJ</f>
        <v>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23">
        <f t="shared" si="3"/>
        <v>0</v>
      </c>
      <c r="AI212" s="24">
        <v>0.0</v>
      </c>
      <c r="AJ212" s="32">
        <f t="shared" si="4"/>
        <v>1</v>
      </c>
      <c r="AK212" s="32">
        <f t="shared" si="5"/>
        <v>1</v>
      </c>
      <c r="AL212" s="25">
        <f>'MASTER STOCK'!I209</f>
        <v>35000</v>
      </c>
      <c r="AM212" s="27">
        <f>'MASTER STOCK'!L209</f>
        <v>35000</v>
      </c>
      <c r="AN212" s="27">
        <f t="shared" si="6"/>
        <v>0</v>
      </c>
      <c r="AO212" s="26">
        <f t="shared" si="7"/>
        <v>0</v>
      </c>
      <c r="AP212" s="114">
        <f t="shared" si="8"/>
        <v>0</v>
      </c>
      <c r="AQ212" s="10"/>
    </row>
    <row r="213">
      <c r="A213" s="29" t="str">
        <f>'MASTER STOCK'!F210</f>
        <v>pipa quinlon 1 1/2</v>
      </c>
      <c r="B213" s="30">
        <f>'DES 25'!AJ:AJ</f>
        <v>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23">
        <f t="shared" si="3"/>
        <v>0</v>
      </c>
      <c r="AI213" s="24">
        <v>0.0</v>
      </c>
      <c r="AJ213" s="32">
        <f t="shared" si="4"/>
        <v>1</v>
      </c>
      <c r="AK213" s="32">
        <f t="shared" si="5"/>
        <v>1</v>
      </c>
      <c r="AL213" s="25">
        <f>'MASTER STOCK'!I210</f>
        <v>32000</v>
      </c>
      <c r="AM213" s="27">
        <f>'MASTER STOCK'!L210</f>
        <v>32000</v>
      </c>
      <c r="AN213" s="27">
        <f t="shared" si="6"/>
        <v>0</v>
      </c>
      <c r="AO213" s="26">
        <f t="shared" si="7"/>
        <v>0</v>
      </c>
      <c r="AP213" s="114">
        <f t="shared" si="8"/>
        <v>0</v>
      </c>
      <c r="AQ213" s="10"/>
    </row>
    <row r="214">
      <c r="A214" s="29" t="str">
        <f>'MASTER STOCK'!F211</f>
        <v>pipa bluefin 2 dim c</v>
      </c>
      <c r="B214" s="30">
        <f>'DES 25'!AJ:AJ</f>
        <v>6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23">
        <f t="shared" si="3"/>
        <v>0</v>
      </c>
      <c r="AI214" s="24">
        <v>0.0</v>
      </c>
      <c r="AJ214" s="32">
        <f t="shared" si="4"/>
        <v>6</v>
      </c>
      <c r="AK214" s="32">
        <f t="shared" si="5"/>
        <v>6</v>
      </c>
      <c r="AL214" s="25">
        <f>'MASTER STOCK'!I211</f>
        <v>41000</v>
      </c>
      <c r="AM214" s="27">
        <f>'MASTER STOCK'!L211</f>
        <v>41000</v>
      </c>
      <c r="AN214" s="27">
        <f t="shared" si="6"/>
        <v>0</v>
      </c>
      <c r="AO214" s="26">
        <f t="shared" si="7"/>
        <v>0</v>
      </c>
      <c r="AP214" s="114">
        <f t="shared" si="8"/>
        <v>0</v>
      </c>
      <c r="AQ214" s="10"/>
    </row>
    <row r="215">
      <c r="A215" s="29" t="str">
        <f>'MASTER STOCK'!F212</f>
        <v>pipa bluefin 2 dim d</v>
      </c>
      <c r="B215" s="30">
        <f>'DES 25'!AJ:AJ</f>
        <v>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23">
        <f t="shared" si="3"/>
        <v>0</v>
      </c>
      <c r="AI215" s="24">
        <v>0.0</v>
      </c>
      <c r="AJ215" s="32">
        <f t="shared" si="4"/>
        <v>1</v>
      </c>
      <c r="AK215" s="32">
        <f t="shared" si="5"/>
        <v>1</v>
      </c>
      <c r="AL215" s="25">
        <f>'MASTER STOCK'!I212</f>
        <v>46000</v>
      </c>
      <c r="AM215" s="27">
        <f>'MASTER STOCK'!L212</f>
        <v>46000</v>
      </c>
      <c r="AN215" s="27">
        <f t="shared" si="6"/>
        <v>0</v>
      </c>
      <c r="AO215" s="26">
        <f t="shared" si="7"/>
        <v>0</v>
      </c>
      <c r="AP215" s="114">
        <f t="shared" si="8"/>
        <v>0</v>
      </c>
      <c r="AQ215" s="10"/>
    </row>
    <row r="216">
      <c r="A216" s="29" t="str">
        <f>'MASTER STOCK'!F213</f>
        <v>pipa interniti 2 dim</v>
      </c>
      <c r="B216" s="30">
        <f>'DES 25'!AJ:AJ</f>
        <v>7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22">
        <v>1.0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23">
        <f t="shared" si="3"/>
        <v>1</v>
      </c>
      <c r="AI216" s="24">
        <v>0.0</v>
      </c>
      <c r="AJ216" s="32">
        <f t="shared" si="4"/>
        <v>6</v>
      </c>
      <c r="AK216" s="32">
        <f t="shared" si="5"/>
        <v>6</v>
      </c>
      <c r="AL216" s="25">
        <f>'MASTER STOCK'!I213</f>
        <v>42000</v>
      </c>
      <c r="AM216" s="27">
        <f>'MASTER STOCK'!L213</f>
        <v>42000</v>
      </c>
      <c r="AN216" s="27">
        <f t="shared" si="6"/>
        <v>42000</v>
      </c>
      <c r="AO216" s="26">
        <f t="shared" si="7"/>
        <v>0</v>
      </c>
      <c r="AP216" s="114">
        <f t="shared" si="8"/>
        <v>42000</v>
      </c>
      <c r="AQ216" s="10"/>
    </row>
    <row r="217">
      <c r="A217" s="29" t="str">
        <f>'MASTER STOCK'!F214</f>
        <v>pipa bluefin 2 1/2 dim c</v>
      </c>
      <c r="B217" s="30">
        <f>'DES 25'!AJ:AJ</f>
        <v>0</v>
      </c>
      <c r="C217" s="10"/>
      <c r="D217" s="10"/>
      <c r="E217" s="10"/>
      <c r="F217" s="22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22"/>
      <c r="Z217" s="10"/>
      <c r="AA217" s="10"/>
      <c r="AB217" s="10"/>
      <c r="AC217" s="10"/>
      <c r="AD217" s="10"/>
      <c r="AE217" s="10"/>
      <c r="AF217" s="10"/>
      <c r="AG217" s="10"/>
      <c r="AH217" s="23">
        <f t="shared" si="3"/>
        <v>0</v>
      </c>
      <c r="AI217" s="24">
        <v>0.0</v>
      </c>
      <c r="AJ217" s="32">
        <f t="shared" si="4"/>
        <v>0</v>
      </c>
      <c r="AK217" s="32">
        <f t="shared" si="5"/>
        <v>0</v>
      </c>
      <c r="AL217" s="25">
        <f>'MASTER STOCK'!I214</f>
        <v>57500</v>
      </c>
      <c r="AM217" s="27">
        <f>'MASTER STOCK'!L214</f>
        <v>57500</v>
      </c>
      <c r="AN217" s="27">
        <f t="shared" si="6"/>
        <v>0</v>
      </c>
      <c r="AO217" s="26">
        <f t="shared" si="7"/>
        <v>0</v>
      </c>
      <c r="AP217" s="114">
        <f t="shared" si="8"/>
        <v>0</v>
      </c>
      <c r="AQ217" s="10"/>
    </row>
    <row r="218">
      <c r="A218" s="29" t="str">
        <f>'MASTER STOCK'!F215</f>
        <v>pipa quinlon 3 dim c</v>
      </c>
      <c r="B218" s="30">
        <f>'DES 25'!AJ:AJ</f>
        <v>3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23">
        <f t="shared" si="3"/>
        <v>0</v>
      </c>
      <c r="AI218" s="24">
        <v>0.0</v>
      </c>
      <c r="AJ218" s="32">
        <f t="shared" si="4"/>
        <v>3</v>
      </c>
      <c r="AK218" s="32">
        <f t="shared" si="5"/>
        <v>3</v>
      </c>
      <c r="AL218" s="25">
        <f>'MASTER STOCK'!I215</f>
        <v>53000</v>
      </c>
      <c r="AM218" s="27">
        <f>'MASTER STOCK'!L215</f>
        <v>53000</v>
      </c>
      <c r="AN218" s="27">
        <f t="shared" si="6"/>
        <v>0</v>
      </c>
      <c r="AO218" s="26">
        <f t="shared" si="7"/>
        <v>0</v>
      </c>
      <c r="AP218" s="114">
        <f t="shared" si="8"/>
        <v>0</v>
      </c>
      <c r="AQ218" s="10"/>
    </row>
    <row r="219">
      <c r="A219" s="29" t="str">
        <f>'MASTER STOCK'!F216</f>
        <v>pipa quinlon 3 dim d</v>
      </c>
      <c r="B219" s="30">
        <f>'DES 25'!AJ:AJ</f>
        <v>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23">
        <f t="shared" si="3"/>
        <v>0</v>
      </c>
      <c r="AI219" s="24">
        <v>0.0</v>
      </c>
      <c r="AJ219" s="32">
        <f t="shared" si="4"/>
        <v>1</v>
      </c>
      <c r="AK219" s="32">
        <f t="shared" si="5"/>
        <v>1</v>
      </c>
      <c r="AL219" s="25">
        <f>'MASTER STOCK'!I216</f>
        <v>78000</v>
      </c>
      <c r="AM219" s="27">
        <f>'MASTER STOCK'!L216</f>
        <v>78000</v>
      </c>
      <c r="AN219" s="27">
        <f t="shared" si="6"/>
        <v>0</v>
      </c>
      <c r="AO219" s="26">
        <f t="shared" si="7"/>
        <v>0</v>
      </c>
      <c r="AP219" s="114">
        <f t="shared" si="8"/>
        <v>0</v>
      </c>
      <c r="AQ219" s="10"/>
    </row>
    <row r="220">
      <c r="A220" s="29" t="str">
        <f>'MASTER STOCK'!F217</f>
        <v>asbes 180 x 1 m</v>
      </c>
      <c r="B220" s="30">
        <f>'DES 25'!AJ:AJ</f>
        <v>2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23">
        <f t="shared" si="3"/>
        <v>0</v>
      </c>
      <c r="AI220" s="24">
        <v>0.0</v>
      </c>
      <c r="AJ220" s="32">
        <f t="shared" si="4"/>
        <v>2</v>
      </c>
      <c r="AK220" s="32">
        <f t="shared" si="5"/>
        <v>2</v>
      </c>
      <c r="AL220" s="25">
        <f>'MASTER STOCK'!I217</f>
        <v>59000</v>
      </c>
      <c r="AM220" s="27">
        <f>'MASTER STOCK'!L217</f>
        <v>59000</v>
      </c>
      <c r="AN220" s="27">
        <f t="shared" si="6"/>
        <v>0</v>
      </c>
      <c r="AO220" s="26">
        <f t="shared" si="7"/>
        <v>0</v>
      </c>
      <c r="AP220" s="114">
        <f t="shared" si="8"/>
        <v>0</v>
      </c>
      <c r="AQ220" s="10"/>
    </row>
    <row r="221">
      <c r="A221" s="29" t="str">
        <f>'MASTER STOCK'!F218</f>
        <v>asbes 240 x 1 m</v>
      </c>
      <c r="B221" s="30">
        <f>'DES 25'!AJ:AJ</f>
        <v>0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22"/>
      <c r="Y221" s="10"/>
      <c r="Z221" s="10"/>
      <c r="AA221" s="10"/>
      <c r="AB221" s="10"/>
      <c r="AC221" s="10"/>
      <c r="AD221" s="10"/>
      <c r="AE221" s="10"/>
      <c r="AF221" s="10"/>
      <c r="AG221" s="10"/>
      <c r="AH221" s="23">
        <f t="shared" si="3"/>
        <v>0</v>
      </c>
      <c r="AI221" s="24">
        <v>0.0</v>
      </c>
      <c r="AJ221" s="32">
        <f t="shared" si="4"/>
        <v>0</v>
      </c>
      <c r="AK221" s="32">
        <f t="shared" si="5"/>
        <v>0</v>
      </c>
      <c r="AL221" s="25">
        <f>'MASTER STOCK'!I218</f>
        <v>72000</v>
      </c>
      <c r="AM221" s="27">
        <f>'MASTER STOCK'!L218</f>
        <v>72000</v>
      </c>
      <c r="AN221" s="27">
        <f t="shared" si="6"/>
        <v>0</v>
      </c>
      <c r="AO221" s="26">
        <f t="shared" si="7"/>
        <v>0</v>
      </c>
      <c r="AP221" s="114">
        <f t="shared" si="8"/>
        <v>0</v>
      </c>
      <c r="AQ221" s="10"/>
    </row>
    <row r="222">
      <c r="A222" s="29" t="str">
        <f>'MASTER STOCK'!F219</f>
        <v>fiber glass</v>
      </c>
      <c r="B222" s="30">
        <f>'DES 25'!AJ:AJ</f>
        <v>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23">
        <f t="shared" si="3"/>
        <v>0</v>
      </c>
      <c r="AI222" s="24">
        <v>0.0</v>
      </c>
      <c r="AJ222" s="32">
        <f t="shared" si="4"/>
        <v>1</v>
      </c>
      <c r="AK222" s="32">
        <f t="shared" si="5"/>
        <v>1</v>
      </c>
      <c r="AL222" s="25">
        <f>'MASTER STOCK'!I219</f>
        <v>150000</v>
      </c>
      <c r="AM222" s="27">
        <f>'MASTER STOCK'!L219</f>
        <v>150000</v>
      </c>
      <c r="AN222" s="27">
        <f t="shared" si="6"/>
        <v>0</v>
      </c>
      <c r="AO222" s="26">
        <f t="shared" si="7"/>
        <v>0</v>
      </c>
      <c r="AP222" s="114">
        <f t="shared" si="8"/>
        <v>0</v>
      </c>
      <c r="AQ222" s="10"/>
    </row>
    <row r="223">
      <c r="A223" s="29" t="str">
        <f>'MASTER STOCK'!F220</f>
        <v>kasiboard 2 m</v>
      </c>
      <c r="B223" s="30">
        <f>'DES 25'!AJ:AJ</f>
        <v>2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23">
        <f t="shared" si="3"/>
        <v>0</v>
      </c>
      <c r="AI223" s="24">
        <v>0.0</v>
      </c>
      <c r="AJ223" s="32">
        <f t="shared" si="4"/>
        <v>2</v>
      </c>
      <c r="AK223" s="32">
        <f t="shared" si="5"/>
        <v>2</v>
      </c>
      <c r="AL223" s="25">
        <f>'MASTER STOCK'!I220</f>
        <v>0</v>
      </c>
      <c r="AM223" s="27">
        <f>'MASTER STOCK'!L220</f>
        <v>0</v>
      </c>
      <c r="AN223" s="27">
        <f t="shared" si="6"/>
        <v>0</v>
      </c>
      <c r="AO223" s="26">
        <f t="shared" si="7"/>
        <v>0</v>
      </c>
      <c r="AP223" s="114">
        <f t="shared" si="8"/>
        <v>0</v>
      </c>
      <c r="AQ223" s="10"/>
    </row>
    <row r="224">
      <c r="A224" s="29" t="str">
        <f>'MASTER STOCK'!F221</f>
        <v>besi  p 10</v>
      </c>
      <c r="B224" s="30">
        <f>'DES 25'!AJ:AJ</f>
        <v>4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23">
        <f t="shared" si="3"/>
        <v>0</v>
      </c>
      <c r="AI224" s="24">
        <v>0.0</v>
      </c>
      <c r="AJ224" s="32">
        <f t="shared" si="4"/>
        <v>4</v>
      </c>
      <c r="AK224" s="32">
        <f t="shared" si="5"/>
        <v>4</v>
      </c>
      <c r="AL224" s="25">
        <f>'MASTER STOCK'!I221</f>
        <v>71000</v>
      </c>
      <c r="AM224" s="27">
        <f>'MASTER STOCK'!L221</f>
        <v>71000</v>
      </c>
      <c r="AN224" s="27">
        <f t="shared" si="6"/>
        <v>0</v>
      </c>
      <c r="AO224" s="26">
        <f t="shared" si="7"/>
        <v>0</v>
      </c>
      <c r="AP224" s="114">
        <f t="shared" si="8"/>
        <v>0</v>
      </c>
      <c r="AQ224" s="10"/>
    </row>
    <row r="225">
      <c r="A225" s="29" t="str">
        <f>'MASTER STOCK'!F222</f>
        <v>besi  8</v>
      </c>
      <c r="B225" s="30">
        <f>'DES 25'!AJ:AJ</f>
        <v>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23">
        <f t="shared" si="3"/>
        <v>0</v>
      </c>
      <c r="AI225" s="24">
        <v>0.0</v>
      </c>
      <c r="AJ225" s="32">
        <f t="shared" si="4"/>
        <v>1</v>
      </c>
      <c r="AK225" s="32">
        <f t="shared" si="5"/>
        <v>1</v>
      </c>
      <c r="AL225" s="25">
        <f>'MASTER STOCK'!I222</f>
        <v>43000</v>
      </c>
      <c r="AM225" s="27">
        <f>'MASTER STOCK'!L222</f>
        <v>43000</v>
      </c>
      <c r="AN225" s="27">
        <f t="shared" si="6"/>
        <v>0</v>
      </c>
      <c r="AO225" s="26">
        <f t="shared" si="7"/>
        <v>0</v>
      </c>
      <c r="AP225" s="114">
        <f t="shared" si="8"/>
        <v>0</v>
      </c>
      <c r="AQ225" s="10"/>
    </row>
    <row r="226">
      <c r="A226" s="29" t="str">
        <f>'MASTER STOCK'!F223</f>
        <v>talang seng gulung</v>
      </c>
      <c r="B226" s="30">
        <f>'DES 25'!AJ:AJ</f>
        <v>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23">
        <f t="shared" si="3"/>
        <v>0</v>
      </c>
      <c r="AI226" s="24">
        <v>0.0</v>
      </c>
      <c r="AJ226" s="32">
        <f t="shared" si="4"/>
        <v>1</v>
      </c>
      <c r="AK226" s="32">
        <f t="shared" si="5"/>
        <v>1</v>
      </c>
      <c r="AL226" s="25">
        <f>'MASTER STOCK'!I223</f>
        <v>19000</v>
      </c>
      <c r="AM226" s="27">
        <f>'MASTER STOCK'!L223</f>
        <v>19000</v>
      </c>
      <c r="AN226" s="27">
        <f t="shared" si="6"/>
        <v>0</v>
      </c>
      <c r="AO226" s="26">
        <f t="shared" si="7"/>
        <v>0</v>
      </c>
      <c r="AP226" s="114">
        <f t="shared" si="8"/>
        <v>0</v>
      </c>
      <c r="AQ226" s="10"/>
    </row>
    <row r="227">
      <c r="A227" s="29" t="str">
        <f>'MASTER STOCK'!F224</f>
        <v>galvalum</v>
      </c>
      <c r="B227" s="30">
        <f>'DES 25'!AJ:AJ</f>
        <v>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23">
        <f t="shared" si="3"/>
        <v>0</v>
      </c>
      <c r="AI227" s="24">
        <v>0.0</v>
      </c>
      <c r="AJ227" s="32">
        <f t="shared" si="4"/>
        <v>1</v>
      </c>
      <c r="AK227" s="32">
        <f t="shared" si="5"/>
        <v>1</v>
      </c>
      <c r="AL227" s="25">
        <f>'MASTER STOCK'!I224</f>
        <v>23000</v>
      </c>
      <c r="AM227" s="27">
        <f>'MASTER STOCK'!L224</f>
        <v>23000</v>
      </c>
      <c r="AN227" s="27">
        <f t="shared" si="6"/>
        <v>0</v>
      </c>
      <c r="AO227" s="26">
        <f t="shared" si="7"/>
        <v>0</v>
      </c>
      <c r="AP227" s="114">
        <f t="shared" si="8"/>
        <v>0</v>
      </c>
      <c r="AQ227" s="10"/>
    </row>
    <row r="228">
      <c r="A228" s="29" t="str">
        <f>'MASTER STOCK'!F225</f>
        <v>watermur 1/2</v>
      </c>
      <c r="B228" s="30">
        <f>'DES 25'!AJ:AJ</f>
        <v>6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23">
        <f t="shared" si="3"/>
        <v>0</v>
      </c>
      <c r="AI228" s="24">
        <v>0.0</v>
      </c>
      <c r="AJ228" s="32">
        <f t="shared" si="4"/>
        <v>6</v>
      </c>
      <c r="AK228" s="32">
        <f t="shared" si="5"/>
        <v>6</v>
      </c>
      <c r="AL228" s="25">
        <f>'MASTER STOCK'!I225</f>
        <v>5000</v>
      </c>
      <c r="AM228" s="27">
        <f>'MASTER STOCK'!L225</f>
        <v>5000</v>
      </c>
      <c r="AN228" s="27">
        <f t="shared" si="6"/>
        <v>0</v>
      </c>
      <c r="AO228" s="26">
        <f t="shared" si="7"/>
        <v>0</v>
      </c>
      <c r="AP228" s="114">
        <f t="shared" si="8"/>
        <v>0</v>
      </c>
      <c r="AQ228" s="10"/>
    </row>
    <row r="229">
      <c r="A229" s="29" t="str">
        <f>'MASTER STOCK'!F226</f>
        <v>loster besar kotak</v>
      </c>
      <c r="B229" s="30">
        <f>'DES 25'!AJ:AJ</f>
        <v>13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23">
        <f t="shared" si="3"/>
        <v>0</v>
      </c>
      <c r="AI229" s="24">
        <v>0.0</v>
      </c>
      <c r="AJ229" s="32">
        <f t="shared" si="4"/>
        <v>13</v>
      </c>
      <c r="AK229" s="32">
        <f t="shared" si="5"/>
        <v>13</v>
      </c>
      <c r="AL229" s="25">
        <f>'MASTER STOCK'!I226</f>
        <v>15500</v>
      </c>
      <c r="AM229" s="27">
        <f>'MASTER STOCK'!L226</f>
        <v>15500</v>
      </c>
      <c r="AN229" s="27">
        <f t="shared" si="6"/>
        <v>0</v>
      </c>
      <c r="AO229" s="26">
        <f t="shared" si="7"/>
        <v>0</v>
      </c>
      <c r="AP229" s="114">
        <f t="shared" si="8"/>
        <v>0</v>
      </c>
      <c r="AQ229" s="10"/>
    </row>
    <row r="230">
      <c r="A230" s="29" t="str">
        <f>'MASTER STOCK'!F227</f>
        <v>loster besar saringan</v>
      </c>
      <c r="B230" s="30">
        <f>'DES 25'!AJ:AJ</f>
        <v>15</v>
      </c>
      <c r="C230" s="10"/>
      <c r="D230" s="10"/>
      <c r="E230" s="22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23">
        <f t="shared" si="3"/>
        <v>0</v>
      </c>
      <c r="AI230" s="24">
        <v>0.0</v>
      </c>
      <c r="AJ230" s="32">
        <f t="shared" si="4"/>
        <v>15</v>
      </c>
      <c r="AK230" s="32">
        <f t="shared" si="5"/>
        <v>15</v>
      </c>
      <c r="AL230" s="25">
        <f>'MASTER STOCK'!I227</f>
        <v>17500</v>
      </c>
      <c r="AM230" s="27">
        <f>'MASTER STOCK'!L227</f>
        <v>17500</v>
      </c>
      <c r="AN230" s="27">
        <f t="shared" si="6"/>
        <v>0</v>
      </c>
      <c r="AO230" s="26">
        <f t="shared" si="7"/>
        <v>0</v>
      </c>
      <c r="AP230" s="114">
        <f t="shared" si="8"/>
        <v>0</v>
      </c>
      <c r="AQ230" s="10"/>
    </row>
    <row r="231">
      <c r="A231" s="29" t="str">
        <f>'MASTER STOCK'!F228</f>
        <v>lem rajawali</v>
      </c>
      <c r="B231" s="30">
        <f>'DES 25'!AJ:AJ</f>
        <v>19</v>
      </c>
      <c r="C231" s="10"/>
      <c r="D231" s="10"/>
      <c r="E231" s="22"/>
      <c r="F231" s="22">
        <v>1.0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22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23">
        <f t="shared" si="3"/>
        <v>1</v>
      </c>
      <c r="AI231" s="24">
        <v>0.0</v>
      </c>
      <c r="AJ231" s="32">
        <f t="shared" si="4"/>
        <v>18</v>
      </c>
      <c r="AK231" s="32">
        <f t="shared" si="5"/>
        <v>18</v>
      </c>
      <c r="AL231" s="25">
        <f>'MASTER STOCK'!I228</f>
        <v>19500</v>
      </c>
      <c r="AM231" s="27">
        <f>'MASTER STOCK'!L228</f>
        <v>21500</v>
      </c>
      <c r="AN231" s="27">
        <f t="shared" si="6"/>
        <v>21500</v>
      </c>
      <c r="AO231" s="26">
        <f t="shared" si="7"/>
        <v>2000</v>
      </c>
      <c r="AP231" s="114">
        <f t="shared" si="8"/>
        <v>19500</v>
      </c>
      <c r="AQ231" s="10"/>
    </row>
    <row r="232">
      <c r="A232" s="29" t="str">
        <f>'MASTER STOCK'!F229</f>
        <v>pain roller nippon pain</v>
      </c>
      <c r="B232" s="30">
        <f>'DES 25'!AJ:AJ</f>
        <v>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23">
        <f t="shared" si="3"/>
        <v>0</v>
      </c>
      <c r="AI232" s="24">
        <v>0.0</v>
      </c>
      <c r="AJ232" s="32">
        <f t="shared" si="4"/>
        <v>1</v>
      </c>
      <c r="AK232" s="32">
        <f t="shared" si="5"/>
        <v>1</v>
      </c>
      <c r="AL232" s="25">
        <f>'MASTER STOCK'!I229</f>
        <v>30000</v>
      </c>
      <c r="AM232" s="27">
        <f>'MASTER STOCK'!L229</f>
        <v>30000</v>
      </c>
      <c r="AN232" s="27">
        <f t="shared" si="6"/>
        <v>0</v>
      </c>
      <c r="AO232" s="26">
        <f t="shared" si="7"/>
        <v>0</v>
      </c>
      <c r="AP232" s="114">
        <f t="shared" si="8"/>
        <v>0</v>
      </c>
      <c r="AQ232" s="10"/>
    </row>
    <row r="233">
      <c r="A233" s="29" t="str">
        <f>'MASTER STOCK'!F230</f>
        <v>pain roller index </v>
      </c>
      <c r="B233" s="30">
        <f>'DES 25'!AJ:AJ</f>
        <v>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23">
        <f t="shared" si="3"/>
        <v>0</v>
      </c>
      <c r="AI233" s="24">
        <v>0.0</v>
      </c>
      <c r="AJ233" s="32">
        <f t="shared" si="4"/>
        <v>1</v>
      </c>
      <c r="AK233" s="32">
        <f t="shared" si="5"/>
        <v>1</v>
      </c>
      <c r="AL233" s="25">
        <f>'MASTER STOCK'!I230</f>
        <v>25000</v>
      </c>
      <c r="AM233" s="27">
        <f>'MASTER STOCK'!L230</f>
        <v>25000</v>
      </c>
      <c r="AN233" s="27">
        <f t="shared" si="6"/>
        <v>0</v>
      </c>
      <c r="AO233" s="26">
        <f t="shared" si="7"/>
        <v>0</v>
      </c>
      <c r="AP233" s="114">
        <f t="shared" si="8"/>
        <v>0</v>
      </c>
      <c r="AQ233" s="10"/>
    </row>
    <row r="234">
      <c r="A234" s="29" t="str">
        <f>'MASTER STOCK'!F231</f>
        <v>timba</v>
      </c>
      <c r="B234" s="30">
        <f>'DES 25'!AJ:AJ</f>
        <v>4</v>
      </c>
      <c r="C234" s="22"/>
      <c r="D234" s="10"/>
      <c r="E234" s="10"/>
      <c r="F234" s="10"/>
      <c r="G234" s="10"/>
      <c r="H234" s="10"/>
      <c r="I234" s="22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22"/>
      <c r="AH234" s="23">
        <f t="shared" si="3"/>
        <v>0</v>
      </c>
      <c r="AI234" s="24">
        <v>0.0</v>
      </c>
      <c r="AJ234" s="32">
        <f t="shared" si="4"/>
        <v>4</v>
      </c>
      <c r="AK234" s="32">
        <f t="shared" si="5"/>
        <v>4</v>
      </c>
      <c r="AL234" s="25">
        <f>'MASTER STOCK'!I231</f>
        <v>10000</v>
      </c>
      <c r="AM234" s="27">
        <f>'MASTER STOCK'!L231</f>
        <v>10000</v>
      </c>
      <c r="AN234" s="27">
        <f t="shared" si="6"/>
        <v>0</v>
      </c>
      <c r="AO234" s="26">
        <f t="shared" si="7"/>
        <v>0</v>
      </c>
      <c r="AP234" s="114">
        <f t="shared" si="8"/>
        <v>0</v>
      </c>
      <c r="AQ234" s="10"/>
    </row>
    <row r="235">
      <c r="A235" s="29" t="str">
        <f>'MASTER STOCK'!F232</f>
        <v>paku 5</v>
      </c>
      <c r="B235" s="30">
        <f>'DES 25'!AJ:AJ</f>
        <v>-0.6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22"/>
      <c r="Z235" s="10"/>
      <c r="AA235" s="10"/>
      <c r="AB235" s="10"/>
      <c r="AC235" s="10"/>
      <c r="AD235" s="10"/>
      <c r="AE235" s="10"/>
      <c r="AF235" s="10"/>
      <c r="AG235" s="10"/>
      <c r="AH235" s="23">
        <f t="shared" si="3"/>
        <v>0</v>
      </c>
      <c r="AI235" s="24">
        <v>0.0</v>
      </c>
      <c r="AJ235" s="32">
        <f t="shared" si="4"/>
        <v>-0.6</v>
      </c>
      <c r="AK235" s="32">
        <f t="shared" si="5"/>
        <v>-0.6</v>
      </c>
      <c r="AL235" s="25">
        <f>'MASTER STOCK'!I232</f>
        <v>26000</v>
      </c>
      <c r="AM235" s="27">
        <f>'MASTER STOCK'!L232</f>
        <v>26000</v>
      </c>
      <c r="AN235" s="27">
        <f t="shared" si="6"/>
        <v>0</v>
      </c>
      <c r="AO235" s="26">
        <f t="shared" si="7"/>
        <v>0</v>
      </c>
      <c r="AP235" s="114">
        <f t="shared" si="8"/>
        <v>0</v>
      </c>
      <c r="AQ235" s="10"/>
    </row>
    <row r="236">
      <c r="A236" s="29" t="str">
        <f>'MASTER STOCK'!F233</f>
        <v>paku 3 1/2</v>
      </c>
      <c r="B236" s="30">
        <f>'DES 25'!AJ:AJ</f>
        <v>4.75</v>
      </c>
      <c r="C236" s="10"/>
      <c r="D236" s="10"/>
      <c r="E236" s="10"/>
      <c r="F236" s="10"/>
      <c r="G236" s="10"/>
      <c r="H236" s="10"/>
      <c r="I236" s="10"/>
      <c r="J236" s="10"/>
      <c r="K236" s="22"/>
      <c r="L236" s="10"/>
      <c r="M236" s="10"/>
      <c r="N236" s="10"/>
      <c r="O236" s="10"/>
      <c r="P236" s="10"/>
      <c r="Q236" s="10"/>
      <c r="R236" s="22">
        <v>1.0</v>
      </c>
      <c r="S236" s="22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23">
        <f t="shared" si="3"/>
        <v>1</v>
      </c>
      <c r="AI236" s="24">
        <v>0.0</v>
      </c>
      <c r="AJ236" s="32">
        <f t="shared" si="4"/>
        <v>3.75</v>
      </c>
      <c r="AK236" s="32">
        <f t="shared" si="5"/>
        <v>3.75</v>
      </c>
      <c r="AL236" s="25">
        <f>'MASTER STOCK'!I233</f>
        <v>24000</v>
      </c>
      <c r="AM236" s="27">
        <f>'MASTER STOCK'!L233</f>
        <v>24000</v>
      </c>
      <c r="AN236" s="27">
        <f t="shared" si="6"/>
        <v>24000</v>
      </c>
      <c r="AO236" s="26">
        <f t="shared" si="7"/>
        <v>0</v>
      </c>
      <c r="AP236" s="114">
        <f t="shared" si="8"/>
        <v>24000</v>
      </c>
      <c r="AQ236" s="10"/>
    </row>
    <row r="237">
      <c r="A237" s="29" t="str">
        <f>'MASTER STOCK'!F234</f>
        <v>geraji</v>
      </c>
      <c r="B237" s="30">
        <f>'DES 25'!AJ:AJ</f>
        <v>8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23">
        <f t="shared" si="3"/>
        <v>0</v>
      </c>
      <c r="AI237" s="24">
        <v>0.0</v>
      </c>
      <c r="AJ237" s="32">
        <f t="shared" si="4"/>
        <v>8</v>
      </c>
      <c r="AK237" s="32">
        <f t="shared" si="5"/>
        <v>8</v>
      </c>
      <c r="AL237" s="25">
        <f>'MASTER STOCK'!I234</f>
        <v>30000</v>
      </c>
      <c r="AM237" s="27">
        <f>'MASTER STOCK'!L234</f>
        <v>30000</v>
      </c>
      <c r="AN237" s="27">
        <f t="shared" si="6"/>
        <v>0</v>
      </c>
      <c r="AO237" s="26">
        <f t="shared" si="7"/>
        <v>0</v>
      </c>
      <c r="AP237" s="114">
        <f t="shared" si="8"/>
        <v>0</v>
      </c>
      <c r="AQ237" s="10"/>
    </row>
    <row r="238">
      <c r="A238" s="29" t="str">
        <f>'MASTER STOCK'!F235</f>
        <v>cutter</v>
      </c>
      <c r="B238" s="30">
        <f>'DES 25'!AJ:AJ</f>
        <v>10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23">
        <f t="shared" si="3"/>
        <v>0</v>
      </c>
      <c r="AI238" s="24">
        <v>0.0</v>
      </c>
      <c r="AJ238" s="32">
        <f t="shared" si="4"/>
        <v>10</v>
      </c>
      <c r="AK238" s="32">
        <f t="shared" si="5"/>
        <v>10</v>
      </c>
      <c r="AL238" s="25">
        <f>'MASTER STOCK'!I235</f>
        <v>3000</v>
      </c>
      <c r="AM238" s="27">
        <f>'MASTER STOCK'!L235</f>
        <v>3000</v>
      </c>
      <c r="AN238" s="27">
        <f t="shared" si="6"/>
        <v>0</v>
      </c>
      <c r="AO238" s="26">
        <f t="shared" si="7"/>
        <v>0</v>
      </c>
      <c r="AP238" s="114">
        <f t="shared" si="8"/>
        <v>0</v>
      </c>
      <c r="AQ238" s="10"/>
    </row>
    <row r="239">
      <c r="A239" s="29" t="str">
        <f>'MASTER STOCK'!F236</f>
        <v>cutter joyko</v>
      </c>
      <c r="B239" s="30">
        <f>'DES 25'!AJ:AJ</f>
        <v>3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23">
        <f t="shared" si="3"/>
        <v>0</v>
      </c>
      <c r="AI239" s="24">
        <v>0.0</v>
      </c>
      <c r="AJ239" s="32">
        <f t="shared" si="4"/>
        <v>3</v>
      </c>
      <c r="AK239" s="32">
        <f t="shared" si="5"/>
        <v>3</v>
      </c>
      <c r="AL239" s="25">
        <f>'MASTER STOCK'!I236</f>
        <v>5000</v>
      </c>
      <c r="AM239" s="27">
        <f>'MASTER STOCK'!L236</f>
        <v>5000</v>
      </c>
      <c r="AN239" s="27">
        <f t="shared" si="6"/>
        <v>0</v>
      </c>
      <c r="AO239" s="26">
        <f t="shared" si="7"/>
        <v>0</v>
      </c>
      <c r="AP239" s="114">
        <f t="shared" si="8"/>
        <v>0</v>
      </c>
      <c r="AQ239" s="10"/>
    </row>
    <row r="240">
      <c r="A240" s="29" t="str">
        <f>'MASTER STOCK'!F237</f>
        <v>tang</v>
      </c>
      <c r="B240" s="30">
        <f>'DES 25'!AJ:AJ</f>
        <v>2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23">
        <f t="shared" si="3"/>
        <v>0</v>
      </c>
      <c r="AI240" s="24">
        <v>0.0</v>
      </c>
      <c r="AJ240" s="32">
        <f t="shared" si="4"/>
        <v>2</v>
      </c>
      <c r="AK240" s="32">
        <f t="shared" si="5"/>
        <v>2</v>
      </c>
      <c r="AL240" s="25">
        <f>'MASTER STOCK'!I237</f>
        <v>29500</v>
      </c>
      <c r="AM240" s="27">
        <f>'MASTER STOCK'!L237</f>
        <v>29500</v>
      </c>
      <c r="AN240" s="27">
        <f t="shared" si="6"/>
        <v>0</v>
      </c>
      <c r="AO240" s="26">
        <f t="shared" si="7"/>
        <v>0</v>
      </c>
      <c r="AP240" s="114">
        <f t="shared" si="8"/>
        <v>0</v>
      </c>
      <c r="AQ240" s="10"/>
    </row>
    <row r="241">
      <c r="A241" s="29" t="str">
        <f>'MASTER STOCK'!F238</f>
        <v>sarung tangan karet</v>
      </c>
      <c r="B241" s="30">
        <f>'DES 25'!AJ:AJ</f>
        <v>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23">
        <f t="shared" si="3"/>
        <v>0</v>
      </c>
      <c r="AI241" s="24">
        <v>0.0</v>
      </c>
      <c r="AJ241" s="32">
        <f t="shared" si="4"/>
        <v>1</v>
      </c>
      <c r="AK241" s="32">
        <f t="shared" si="5"/>
        <v>1</v>
      </c>
      <c r="AL241" s="25">
        <f>'MASTER STOCK'!I238</f>
        <v>1600</v>
      </c>
      <c r="AM241" s="27">
        <f>'MASTER STOCK'!L238</f>
        <v>1600</v>
      </c>
      <c r="AN241" s="27">
        <f t="shared" si="6"/>
        <v>0</v>
      </c>
      <c r="AO241" s="26">
        <f t="shared" si="7"/>
        <v>0</v>
      </c>
      <c r="AP241" s="114">
        <f t="shared" si="8"/>
        <v>0</v>
      </c>
      <c r="AQ241" s="10"/>
    </row>
    <row r="242">
      <c r="A242" s="29" t="str">
        <f>'MASTER STOCK'!F239</f>
        <v>batrai panasonic 1,5 volt AAA</v>
      </c>
      <c r="B242" s="30">
        <f>'DES 25'!AJ:AJ</f>
        <v>2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22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23">
        <f t="shared" si="3"/>
        <v>0</v>
      </c>
      <c r="AI242" s="24">
        <v>0.0</v>
      </c>
      <c r="AJ242" s="32">
        <f t="shared" si="4"/>
        <v>2</v>
      </c>
      <c r="AK242" s="32">
        <f t="shared" si="5"/>
        <v>2</v>
      </c>
      <c r="AL242" s="25">
        <f>'MASTER STOCK'!I239</f>
        <v>4500</v>
      </c>
      <c r="AM242" s="27">
        <f>'MASTER STOCK'!L239</f>
        <v>3000</v>
      </c>
      <c r="AN242" s="27">
        <f t="shared" si="6"/>
        <v>0</v>
      </c>
      <c r="AO242" s="26">
        <f t="shared" si="7"/>
        <v>0</v>
      </c>
      <c r="AP242" s="114">
        <f t="shared" si="8"/>
        <v>0</v>
      </c>
      <c r="AQ242" s="10"/>
    </row>
    <row r="243">
      <c r="A243" s="29" t="str">
        <f>'MASTER STOCK'!F240</f>
        <v>penggaris siku</v>
      </c>
      <c r="B243" s="30">
        <f>'DES 25'!AJ:AJ</f>
        <v>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23">
        <f t="shared" si="3"/>
        <v>0</v>
      </c>
      <c r="AI243" s="24">
        <v>0.0</v>
      </c>
      <c r="AJ243" s="32">
        <f t="shared" si="4"/>
        <v>1</v>
      </c>
      <c r="AK243" s="32">
        <f t="shared" si="5"/>
        <v>1</v>
      </c>
      <c r="AL243" s="25">
        <f>'MASTER STOCK'!I240</f>
        <v>41500</v>
      </c>
      <c r="AM243" s="27">
        <f>'MASTER STOCK'!L240</f>
        <v>41500</v>
      </c>
      <c r="AN243" s="27">
        <f t="shared" si="6"/>
        <v>0</v>
      </c>
      <c r="AO243" s="26">
        <f t="shared" si="7"/>
        <v>0</v>
      </c>
      <c r="AP243" s="114">
        <f t="shared" si="8"/>
        <v>0</v>
      </c>
      <c r="AQ243" s="10"/>
    </row>
    <row r="244">
      <c r="A244" s="29" t="str">
        <f>'MASTER STOCK'!F241</f>
        <v>turbo cut 1,2 mm</v>
      </c>
      <c r="B244" s="30">
        <f>'DES 25'!AJ:AJ</f>
        <v>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23">
        <f t="shared" si="3"/>
        <v>0</v>
      </c>
      <c r="AI244" s="24">
        <v>0.0</v>
      </c>
      <c r="AJ244" s="32">
        <f t="shared" si="4"/>
        <v>1</v>
      </c>
      <c r="AK244" s="32">
        <f t="shared" si="5"/>
        <v>1</v>
      </c>
      <c r="AL244" s="25">
        <f>'MASTER STOCK'!I241</f>
        <v>35000</v>
      </c>
      <c r="AM244" s="27">
        <f>'MASTER STOCK'!L241</f>
        <v>35000</v>
      </c>
      <c r="AN244" s="27">
        <f t="shared" si="6"/>
        <v>0</v>
      </c>
      <c r="AO244" s="26">
        <f t="shared" si="7"/>
        <v>0</v>
      </c>
      <c r="AP244" s="114">
        <f t="shared" si="8"/>
        <v>0</v>
      </c>
      <c r="AQ244" s="10"/>
    </row>
    <row r="245">
      <c r="A245" s="29" t="str">
        <f>'MASTER STOCK'!F242</f>
        <v>diamond cutting well</v>
      </c>
      <c r="B245" s="30">
        <f>'DES 25'!AJ:AJ</f>
        <v>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23">
        <f t="shared" si="3"/>
        <v>0</v>
      </c>
      <c r="AI245" s="24">
        <v>0.0</v>
      </c>
      <c r="AJ245" s="32">
        <f t="shared" si="4"/>
        <v>1</v>
      </c>
      <c r="AK245" s="32">
        <f t="shared" si="5"/>
        <v>1</v>
      </c>
      <c r="AL245" s="25">
        <f>'MASTER STOCK'!I242</f>
        <v>35000</v>
      </c>
      <c r="AM245" s="27">
        <f>'MASTER STOCK'!L242</f>
        <v>35000</v>
      </c>
      <c r="AN245" s="27">
        <f t="shared" si="6"/>
        <v>0</v>
      </c>
      <c r="AO245" s="26">
        <f t="shared" si="7"/>
        <v>0</v>
      </c>
      <c r="AP245" s="114">
        <f t="shared" si="8"/>
        <v>0</v>
      </c>
      <c r="AQ245" s="10"/>
    </row>
    <row r="246">
      <c r="A246" s="29" t="str">
        <f>'MASTER STOCK'!F243</f>
        <v>paku 1 1/4</v>
      </c>
      <c r="B246" s="30">
        <f>'DES 25'!AJ:AJ</f>
        <v>-0.65</v>
      </c>
      <c r="C246" s="10"/>
      <c r="D246" s="10"/>
      <c r="E246" s="22"/>
      <c r="F246" s="10"/>
      <c r="G246" s="22">
        <v>0.05</v>
      </c>
      <c r="H246" s="22"/>
      <c r="I246" s="10"/>
      <c r="J246" s="22"/>
      <c r="K246" s="10"/>
      <c r="L246" s="10"/>
      <c r="M246" s="22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22"/>
      <c r="AA246" s="10"/>
      <c r="AB246" s="10"/>
      <c r="AC246" s="10"/>
      <c r="AD246" s="10"/>
      <c r="AE246" s="10"/>
      <c r="AF246" s="10"/>
      <c r="AG246" s="10"/>
      <c r="AH246" s="23">
        <f t="shared" si="3"/>
        <v>0.05</v>
      </c>
      <c r="AI246" s="24">
        <v>0.0</v>
      </c>
      <c r="AJ246" s="32">
        <f t="shared" si="4"/>
        <v>-0.7</v>
      </c>
      <c r="AK246" s="32">
        <f t="shared" si="5"/>
        <v>-0.7</v>
      </c>
      <c r="AL246" s="25">
        <f>'MASTER STOCK'!I243</f>
        <v>25000</v>
      </c>
      <c r="AM246" s="27">
        <f>'MASTER STOCK'!L243</f>
        <v>25000</v>
      </c>
      <c r="AN246" s="27">
        <f t="shared" si="6"/>
        <v>1250</v>
      </c>
      <c r="AO246" s="26">
        <f t="shared" si="7"/>
        <v>0</v>
      </c>
      <c r="AP246" s="114">
        <f t="shared" si="8"/>
        <v>1250</v>
      </c>
      <c r="AQ246" s="10"/>
    </row>
    <row r="247">
      <c r="A247" s="29" t="str">
        <f>'MASTER STOCK'!F244</f>
        <v>siku  kecil</v>
      </c>
      <c r="B247" s="30">
        <f>'DES 25'!AJ:AJ</f>
        <v>7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23">
        <f t="shared" si="3"/>
        <v>0</v>
      </c>
      <c r="AI247" s="24">
        <v>0.0</v>
      </c>
      <c r="AJ247" s="32">
        <f t="shared" si="4"/>
        <v>7</v>
      </c>
      <c r="AK247" s="32">
        <f t="shared" si="5"/>
        <v>7</v>
      </c>
      <c r="AL247" s="25">
        <f>'MASTER STOCK'!I244</f>
        <v>7500</v>
      </c>
      <c r="AM247" s="27">
        <f>'MASTER STOCK'!L244</f>
        <v>7500</v>
      </c>
      <c r="AN247" s="27">
        <f t="shared" si="6"/>
        <v>0</v>
      </c>
      <c r="AO247" s="26">
        <f t="shared" si="7"/>
        <v>0</v>
      </c>
      <c r="AP247" s="114">
        <f t="shared" si="8"/>
        <v>0</v>
      </c>
      <c r="AQ247" s="10"/>
    </row>
    <row r="248">
      <c r="A248" s="29" t="str">
        <f>'MASTER STOCK'!F245</f>
        <v>paku 6</v>
      </c>
      <c r="B248" s="30">
        <f>'DES 25'!AJ:AJ</f>
        <v>-1.5</v>
      </c>
      <c r="C248" s="10"/>
      <c r="D248" s="10"/>
      <c r="E248" s="10"/>
      <c r="F248" s="10"/>
      <c r="G248" s="10"/>
      <c r="H248" s="10"/>
      <c r="I248" s="22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22"/>
      <c r="Z248" s="10"/>
      <c r="AA248" s="10"/>
      <c r="AB248" s="10"/>
      <c r="AC248" s="10"/>
      <c r="AD248" s="10"/>
      <c r="AE248" s="10"/>
      <c r="AF248" s="10"/>
      <c r="AG248" s="10"/>
      <c r="AH248" s="23">
        <f t="shared" si="3"/>
        <v>0</v>
      </c>
      <c r="AI248" s="24">
        <v>0.0</v>
      </c>
      <c r="AJ248" s="32">
        <f t="shared" si="4"/>
        <v>-1.5</v>
      </c>
      <c r="AK248" s="32">
        <f t="shared" si="5"/>
        <v>-1.5</v>
      </c>
      <c r="AL248" s="25">
        <f>'MASTER STOCK'!I245</f>
        <v>26000</v>
      </c>
      <c r="AM248" s="27">
        <f>'MASTER STOCK'!L245</f>
        <v>26000</v>
      </c>
      <c r="AN248" s="27">
        <f t="shared" si="6"/>
        <v>0</v>
      </c>
      <c r="AO248" s="26">
        <f t="shared" si="7"/>
        <v>0</v>
      </c>
      <c r="AP248" s="114">
        <f t="shared" si="8"/>
        <v>0</v>
      </c>
      <c r="AQ248" s="10"/>
    </row>
    <row r="249">
      <c r="A249" s="29" t="str">
        <f>'MASTER STOCK'!F246</f>
        <v>paku 4</v>
      </c>
      <c r="B249" s="30">
        <f>'DES 25'!AJ:AJ</f>
        <v>4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22"/>
      <c r="Z249" s="10"/>
      <c r="AA249" s="10"/>
      <c r="AB249" s="10"/>
      <c r="AC249" s="10"/>
      <c r="AD249" s="10"/>
      <c r="AE249" s="10"/>
      <c r="AF249" s="10"/>
      <c r="AG249" s="10"/>
      <c r="AH249" s="23">
        <f t="shared" si="3"/>
        <v>0</v>
      </c>
      <c r="AI249" s="24">
        <v>0.0</v>
      </c>
      <c r="AJ249" s="32">
        <f t="shared" si="4"/>
        <v>4</v>
      </c>
      <c r="AK249" s="32">
        <f t="shared" si="5"/>
        <v>4</v>
      </c>
      <c r="AL249" s="25">
        <f>'MASTER STOCK'!I246</f>
        <v>2600</v>
      </c>
      <c r="AM249" s="27">
        <f>'MASTER STOCK'!L246</f>
        <v>2600</v>
      </c>
      <c r="AN249" s="27">
        <f t="shared" si="6"/>
        <v>0</v>
      </c>
      <c r="AO249" s="26">
        <f t="shared" si="7"/>
        <v>0</v>
      </c>
      <c r="AP249" s="114">
        <f t="shared" si="8"/>
        <v>0</v>
      </c>
      <c r="AQ249" s="10"/>
    </row>
    <row r="250">
      <c r="A250" s="29" t="str">
        <f>'MASTER STOCK'!F247</f>
        <v>kasutan /  trowel</v>
      </c>
      <c r="B250" s="30">
        <f>'DES 25'!AJ:AJ</f>
        <v>4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23">
        <f t="shared" si="3"/>
        <v>0</v>
      </c>
      <c r="AI250" s="24">
        <v>0.0</v>
      </c>
      <c r="AJ250" s="32">
        <f t="shared" si="4"/>
        <v>4</v>
      </c>
      <c r="AK250" s="32">
        <f t="shared" si="5"/>
        <v>4</v>
      </c>
      <c r="AL250" s="25">
        <f>'MASTER STOCK'!I247</f>
        <v>13500</v>
      </c>
      <c r="AM250" s="27">
        <f>'MASTER STOCK'!L247</f>
        <v>13500</v>
      </c>
      <c r="AN250" s="27">
        <f t="shared" si="6"/>
        <v>0</v>
      </c>
      <c r="AO250" s="26">
        <f t="shared" si="7"/>
        <v>0</v>
      </c>
      <c r="AP250" s="114">
        <f t="shared" si="8"/>
        <v>0</v>
      </c>
      <c r="AQ250" s="10"/>
    </row>
    <row r="251">
      <c r="A251" s="29" t="str">
        <f>'MASTER STOCK'!F248</f>
        <v>kapi 3 dim</v>
      </c>
      <c r="B251" s="30">
        <f>'DES 25'!AJ:AJ</f>
        <v>2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23">
        <f t="shared" si="3"/>
        <v>0</v>
      </c>
      <c r="AI251" s="24">
        <v>0.0</v>
      </c>
      <c r="AJ251" s="32">
        <f t="shared" si="4"/>
        <v>2</v>
      </c>
      <c r="AK251" s="32">
        <f t="shared" si="5"/>
        <v>2</v>
      </c>
      <c r="AL251" s="25">
        <f>'MASTER STOCK'!I248</f>
        <v>5500</v>
      </c>
      <c r="AM251" s="27">
        <f>'MASTER STOCK'!L248</f>
        <v>5500</v>
      </c>
      <c r="AN251" s="27">
        <f t="shared" si="6"/>
        <v>0</v>
      </c>
      <c r="AO251" s="26">
        <f t="shared" si="7"/>
        <v>0</v>
      </c>
      <c r="AP251" s="114">
        <f t="shared" si="8"/>
        <v>0</v>
      </c>
      <c r="AQ251" s="10"/>
    </row>
    <row r="252">
      <c r="A252" s="29" t="str">
        <f>'MASTER STOCK'!F249</f>
        <v>kapi 5 dim</v>
      </c>
      <c r="B252" s="30">
        <f>'DES 25'!AJ:AJ</f>
        <v>3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23">
        <f t="shared" si="3"/>
        <v>0</v>
      </c>
      <c r="AI252" s="24">
        <v>0.0</v>
      </c>
      <c r="AJ252" s="32">
        <f t="shared" si="4"/>
        <v>3</v>
      </c>
      <c r="AK252" s="32">
        <f t="shared" si="5"/>
        <v>3</v>
      </c>
      <c r="AL252" s="25">
        <f>'MASTER STOCK'!I249</f>
        <v>7500</v>
      </c>
      <c r="AM252" s="27">
        <f>'MASTER STOCK'!L249</f>
        <v>7500</v>
      </c>
      <c r="AN252" s="27">
        <f t="shared" si="6"/>
        <v>0</v>
      </c>
      <c r="AO252" s="26">
        <f t="shared" si="7"/>
        <v>0</v>
      </c>
      <c r="AP252" s="114">
        <f t="shared" si="8"/>
        <v>0</v>
      </c>
      <c r="AQ252" s="10"/>
    </row>
    <row r="253">
      <c r="A253" s="29" t="str">
        <f>'MASTER STOCK'!F250</f>
        <v>cetok sukun hitam</v>
      </c>
      <c r="B253" s="30">
        <f>'DES 25'!AJ:AJ</f>
        <v>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23">
        <f t="shared" si="3"/>
        <v>0</v>
      </c>
      <c r="AI253" s="24">
        <v>0.0</v>
      </c>
      <c r="AJ253" s="32">
        <f t="shared" si="4"/>
        <v>1</v>
      </c>
      <c r="AK253" s="32">
        <f t="shared" si="5"/>
        <v>1</v>
      </c>
      <c r="AL253" s="25">
        <f>'MASTER STOCK'!I250</f>
        <v>25000</v>
      </c>
      <c r="AM253" s="27">
        <f>'MASTER STOCK'!L250</f>
        <v>25000</v>
      </c>
      <c r="AN253" s="27">
        <f t="shared" si="6"/>
        <v>0</v>
      </c>
      <c r="AO253" s="26">
        <f t="shared" si="7"/>
        <v>0</v>
      </c>
      <c r="AP253" s="114">
        <f t="shared" si="8"/>
        <v>0</v>
      </c>
      <c r="AQ253" s="10"/>
    </row>
    <row r="254">
      <c r="A254" s="29" t="str">
        <f>'MASTER STOCK'!F251</f>
        <v>cetok sukun sedang</v>
      </c>
      <c r="B254" s="30">
        <f>'DES 25'!AJ:AJ</f>
        <v>2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23">
        <f t="shared" si="3"/>
        <v>0</v>
      </c>
      <c r="AI254" s="24">
        <v>0.0</v>
      </c>
      <c r="AJ254" s="32">
        <f t="shared" si="4"/>
        <v>2</v>
      </c>
      <c r="AK254" s="32">
        <f t="shared" si="5"/>
        <v>2</v>
      </c>
      <c r="AL254" s="25">
        <f>'MASTER STOCK'!I251</f>
        <v>17000</v>
      </c>
      <c r="AM254" s="27">
        <f>'MASTER STOCK'!L251</f>
        <v>17000</v>
      </c>
      <c r="AN254" s="27">
        <f t="shared" si="6"/>
        <v>0</v>
      </c>
      <c r="AO254" s="26">
        <f t="shared" si="7"/>
        <v>0</v>
      </c>
      <c r="AP254" s="114">
        <f t="shared" si="8"/>
        <v>0</v>
      </c>
      <c r="AQ254" s="10"/>
    </row>
    <row r="255">
      <c r="A255" s="29" t="str">
        <f>'MASTER STOCK'!F252</f>
        <v>cetak sukun kecil</v>
      </c>
      <c r="B255" s="30">
        <f>'DES 25'!AJ:AJ</f>
        <v>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23">
        <f t="shared" si="3"/>
        <v>0</v>
      </c>
      <c r="AI255" s="24">
        <v>0.0</v>
      </c>
      <c r="AJ255" s="32">
        <f t="shared" si="4"/>
        <v>1</v>
      </c>
      <c r="AK255" s="32">
        <f t="shared" si="5"/>
        <v>1</v>
      </c>
      <c r="AL255" s="25">
        <f>'MASTER STOCK'!I252</f>
        <v>14000</v>
      </c>
      <c r="AM255" s="27">
        <f>'MASTER STOCK'!L252</f>
        <v>14000</v>
      </c>
      <c r="AN255" s="27">
        <f t="shared" si="6"/>
        <v>0</v>
      </c>
      <c r="AO255" s="26">
        <f t="shared" si="7"/>
        <v>0</v>
      </c>
      <c r="AP255" s="114">
        <f t="shared" si="8"/>
        <v>0</v>
      </c>
      <c r="AQ255" s="10"/>
    </row>
    <row r="256">
      <c r="A256" s="29" t="str">
        <f>'MASTER STOCK'!F253</f>
        <v>paku payung</v>
      </c>
      <c r="B256" s="30">
        <f>'DES 25'!AJ:AJ</f>
        <v>57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23">
        <f t="shared" si="3"/>
        <v>0</v>
      </c>
      <c r="AI256" s="24">
        <v>0.0</v>
      </c>
      <c r="AJ256" s="32">
        <f t="shared" si="4"/>
        <v>57</v>
      </c>
      <c r="AK256" s="32">
        <f t="shared" si="5"/>
        <v>57</v>
      </c>
      <c r="AL256" s="25">
        <f>'MASTER STOCK'!I253</f>
        <v>25000</v>
      </c>
      <c r="AM256" s="27">
        <f>'MASTER STOCK'!L253</f>
        <v>25000</v>
      </c>
      <c r="AN256" s="27">
        <f t="shared" si="6"/>
        <v>0</v>
      </c>
      <c r="AO256" s="26">
        <f t="shared" si="7"/>
        <v>0</v>
      </c>
      <c r="AP256" s="114">
        <f t="shared" si="8"/>
        <v>0</v>
      </c>
      <c r="AQ256" s="10"/>
    </row>
    <row r="257">
      <c r="A257" s="29" t="str">
        <f>'MASTER STOCK'!F254</f>
        <v>pinnes</v>
      </c>
      <c r="B257" s="30">
        <f>'DES 25'!AJ:AJ</f>
        <v>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23">
        <f t="shared" si="3"/>
        <v>0</v>
      </c>
      <c r="AI257" s="24">
        <v>0.0</v>
      </c>
      <c r="AJ257" s="32">
        <f t="shared" si="4"/>
        <v>1</v>
      </c>
      <c r="AK257" s="32">
        <f t="shared" si="5"/>
        <v>1</v>
      </c>
      <c r="AL257" s="25">
        <f>'MASTER STOCK'!I254</f>
        <v>6000</v>
      </c>
      <c r="AM257" s="27">
        <f>'MASTER STOCK'!L254</f>
        <v>6000</v>
      </c>
      <c r="AN257" s="27">
        <f t="shared" si="6"/>
        <v>0</v>
      </c>
      <c r="AO257" s="26">
        <f t="shared" si="7"/>
        <v>0</v>
      </c>
      <c r="AP257" s="114">
        <f t="shared" si="8"/>
        <v>0</v>
      </c>
      <c r="AQ257" s="10"/>
    </row>
    <row r="258">
      <c r="A258" s="29" t="str">
        <f>'MASTER STOCK'!F255</f>
        <v>jaring kawat 1/2</v>
      </c>
      <c r="B258" s="30">
        <f>'DES 25'!AJ:AJ</f>
        <v>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23">
        <f t="shared" si="3"/>
        <v>0</v>
      </c>
      <c r="AI258" s="24">
        <v>0.0</v>
      </c>
      <c r="AJ258" s="32">
        <f t="shared" si="4"/>
        <v>1</v>
      </c>
      <c r="AK258" s="32">
        <f t="shared" si="5"/>
        <v>1</v>
      </c>
      <c r="AL258" s="25">
        <f>'MASTER STOCK'!I255</f>
        <v>14000</v>
      </c>
      <c r="AM258" s="27">
        <f>'MASTER STOCK'!L255</f>
        <v>14000</v>
      </c>
      <c r="AN258" s="27">
        <f t="shared" si="6"/>
        <v>0</v>
      </c>
      <c r="AO258" s="26">
        <f t="shared" si="7"/>
        <v>0</v>
      </c>
      <c r="AP258" s="114">
        <f t="shared" si="8"/>
        <v>0</v>
      </c>
      <c r="AQ258" s="10"/>
    </row>
    <row r="259">
      <c r="A259" s="29" t="str">
        <f>'MASTER STOCK'!F256</f>
        <v>jaring kawat 1/4</v>
      </c>
      <c r="B259" s="30">
        <f>'DES 25'!AJ:AJ</f>
        <v>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23">
        <f t="shared" si="3"/>
        <v>0</v>
      </c>
      <c r="AI259" s="24">
        <v>0.0</v>
      </c>
      <c r="AJ259" s="32">
        <f t="shared" si="4"/>
        <v>1</v>
      </c>
      <c r="AK259" s="32">
        <f t="shared" si="5"/>
        <v>1</v>
      </c>
      <c r="AL259" s="25">
        <f>'MASTER STOCK'!I256</f>
        <v>15000</v>
      </c>
      <c r="AM259" s="27">
        <f>'MASTER STOCK'!L256</f>
        <v>15000</v>
      </c>
      <c r="AN259" s="27">
        <f t="shared" si="6"/>
        <v>0</v>
      </c>
      <c r="AO259" s="26">
        <f t="shared" si="7"/>
        <v>0</v>
      </c>
      <c r="AP259" s="114">
        <f t="shared" si="8"/>
        <v>0</v>
      </c>
      <c r="AQ259" s="10"/>
    </row>
    <row r="260">
      <c r="A260" s="29" t="str">
        <f>'MASTER STOCK'!F257</f>
        <v>lampu kepala</v>
      </c>
      <c r="B260" s="30">
        <f>'DES 25'!AJ:AJ</f>
        <v>4</v>
      </c>
      <c r="C260" s="22">
        <v>1.0</v>
      </c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23">
        <f t="shared" si="3"/>
        <v>1</v>
      </c>
      <c r="AI260" s="24">
        <v>0.0</v>
      </c>
      <c r="AJ260" s="32">
        <f t="shared" si="4"/>
        <v>3</v>
      </c>
      <c r="AK260" s="32">
        <f t="shared" si="5"/>
        <v>3</v>
      </c>
      <c r="AL260" s="25">
        <f>'MASTER STOCK'!I257</f>
        <v>31500</v>
      </c>
      <c r="AM260" s="27">
        <f>'MASTER STOCK'!L257</f>
        <v>31500</v>
      </c>
      <c r="AN260" s="27">
        <f t="shared" si="6"/>
        <v>31500</v>
      </c>
      <c r="AO260" s="26">
        <f t="shared" si="7"/>
        <v>0</v>
      </c>
      <c r="AP260" s="114">
        <f t="shared" si="8"/>
        <v>31500</v>
      </c>
      <c r="AQ260" s="10"/>
    </row>
    <row r="261">
      <c r="A261" s="29" t="str">
        <f>'MASTER STOCK'!F258</f>
        <v>lampu led muxindo 25 watt</v>
      </c>
      <c r="B261" s="30">
        <f>'DES 25'!AJ:AJ</f>
        <v>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23">
        <f t="shared" si="3"/>
        <v>0</v>
      </c>
      <c r="AI261" s="24">
        <v>0.0</v>
      </c>
      <c r="AJ261" s="32">
        <f t="shared" si="4"/>
        <v>1</v>
      </c>
      <c r="AK261" s="32">
        <f t="shared" si="5"/>
        <v>1</v>
      </c>
      <c r="AL261" s="25">
        <f>'MASTER STOCK'!I258</f>
        <v>25000</v>
      </c>
      <c r="AM261" s="27">
        <f>'MASTER STOCK'!L258</f>
        <v>25000</v>
      </c>
      <c r="AN261" s="27">
        <f t="shared" si="6"/>
        <v>0</v>
      </c>
      <c r="AO261" s="26">
        <f t="shared" si="7"/>
        <v>0</v>
      </c>
      <c r="AP261" s="114">
        <f t="shared" si="8"/>
        <v>0</v>
      </c>
      <c r="AQ261" s="10"/>
    </row>
    <row r="262">
      <c r="A262" s="29" t="str">
        <f>'MASTER STOCK'!F259</f>
        <v>lampu hemat  5 watt</v>
      </c>
      <c r="B262" s="30">
        <f>'DES 25'!AJ:AJ</f>
        <v>1</v>
      </c>
      <c r="C262" s="10"/>
      <c r="D262" s="22">
        <v>1.0</v>
      </c>
      <c r="E262" s="10"/>
      <c r="F262" s="10"/>
      <c r="G262" s="10"/>
      <c r="H262" s="10"/>
      <c r="I262" s="10"/>
      <c r="J262" s="22">
        <v>1.0</v>
      </c>
      <c r="K262" s="10"/>
      <c r="L262" s="10"/>
      <c r="M262" s="10"/>
      <c r="N262" s="10"/>
      <c r="O262" s="22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23">
        <f t="shared" si="3"/>
        <v>2</v>
      </c>
      <c r="AI262" s="24">
        <v>0.0</v>
      </c>
      <c r="AJ262" s="32">
        <f t="shared" si="4"/>
        <v>-1</v>
      </c>
      <c r="AK262" s="32">
        <f t="shared" si="5"/>
        <v>-1</v>
      </c>
      <c r="AL262" s="25">
        <f>'MASTER STOCK'!I259</f>
        <v>6000</v>
      </c>
      <c r="AM262" s="27">
        <f>'MASTER STOCK'!L259</f>
        <v>7000</v>
      </c>
      <c r="AN262" s="27">
        <f t="shared" si="6"/>
        <v>14000</v>
      </c>
      <c r="AO262" s="26">
        <f t="shared" si="7"/>
        <v>2000</v>
      </c>
      <c r="AP262" s="114">
        <f t="shared" si="8"/>
        <v>12000</v>
      </c>
      <c r="AQ262" s="10"/>
    </row>
    <row r="263">
      <c r="A263" s="29" t="str">
        <f>'MASTER STOCK'!F260</f>
        <v>skrup atap  sedang</v>
      </c>
      <c r="B263" s="30">
        <f>'DES 25'!AJ:AJ</f>
        <v>20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23">
        <f t="shared" si="3"/>
        <v>0</v>
      </c>
      <c r="AI263" s="24">
        <v>0.0</v>
      </c>
      <c r="AJ263" s="32">
        <f t="shared" si="4"/>
        <v>20</v>
      </c>
      <c r="AK263" s="32">
        <f t="shared" si="5"/>
        <v>20</v>
      </c>
      <c r="AL263" s="25">
        <f>'MASTER STOCK'!I260</f>
        <v>0</v>
      </c>
      <c r="AM263" s="27">
        <f>'MASTER STOCK'!L260</f>
        <v>0</v>
      </c>
      <c r="AN263" s="27">
        <f t="shared" si="6"/>
        <v>0</v>
      </c>
      <c r="AO263" s="26">
        <f t="shared" si="7"/>
        <v>0</v>
      </c>
      <c r="AP263" s="114">
        <f t="shared" si="8"/>
        <v>0</v>
      </c>
      <c r="AQ263" s="10"/>
    </row>
    <row r="264">
      <c r="A264" s="29" t="str">
        <f>'MASTER STOCK'!F261</f>
        <v>waseo led panel 3+3w</v>
      </c>
      <c r="B264" s="30">
        <f>'DES 25'!AJ:AJ</f>
        <v>2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23">
        <f t="shared" si="3"/>
        <v>0</v>
      </c>
      <c r="AI264" s="24">
        <v>0.0</v>
      </c>
      <c r="AJ264" s="32">
        <f t="shared" si="4"/>
        <v>2</v>
      </c>
      <c r="AK264" s="32">
        <f t="shared" si="5"/>
        <v>2</v>
      </c>
      <c r="AL264" s="25">
        <f>'MASTER STOCK'!I261</f>
        <v>23000</v>
      </c>
      <c r="AM264" s="27">
        <f>'MASTER STOCK'!L261</f>
        <v>23000</v>
      </c>
      <c r="AN264" s="27">
        <f t="shared" si="6"/>
        <v>0</v>
      </c>
      <c r="AO264" s="26">
        <f t="shared" si="7"/>
        <v>0</v>
      </c>
      <c r="AP264" s="114">
        <f t="shared" si="8"/>
        <v>0</v>
      </c>
      <c r="AQ264" s="10"/>
    </row>
    <row r="265">
      <c r="A265" s="29" t="str">
        <f>'MASTER STOCK'!F262</f>
        <v>distribution box</v>
      </c>
      <c r="B265" s="30">
        <f>'DES 25'!AJ:AJ</f>
        <v>2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23">
        <f t="shared" si="3"/>
        <v>0</v>
      </c>
      <c r="AI265" s="24">
        <v>0.0</v>
      </c>
      <c r="AJ265" s="32">
        <f t="shared" si="4"/>
        <v>2</v>
      </c>
      <c r="AK265" s="32">
        <f t="shared" si="5"/>
        <v>2</v>
      </c>
      <c r="AL265" s="25">
        <f>'MASTER STOCK'!I262</f>
        <v>15000</v>
      </c>
      <c r="AM265" s="27">
        <f>'MASTER STOCK'!L262</f>
        <v>15000</v>
      </c>
      <c r="AN265" s="27">
        <f t="shared" si="6"/>
        <v>0</v>
      </c>
      <c r="AO265" s="26">
        <f t="shared" si="7"/>
        <v>0</v>
      </c>
      <c r="AP265" s="114">
        <f t="shared" si="8"/>
        <v>0</v>
      </c>
      <c r="AQ265" s="10"/>
    </row>
    <row r="266">
      <c r="A266" s="29" t="str">
        <f>'MASTER STOCK'!F263</f>
        <v>skrup kecil</v>
      </c>
      <c r="B266" s="30">
        <f>'DES 25'!AJ:AJ</f>
        <v>10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23">
        <f t="shared" si="3"/>
        <v>0</v>
      </c>
      <c r="AI266" s="24">
        <v>0.0</v>
      </c>
      <c r="AJ266" s="32">
        <f t="shared" si="4"/>
        <v>10</v>
      </c>
      <c r="AK266" s="32">
        <f t="shared" si="5"/>
        <v>10</v>
      </c>
      <c r="AL266" s="25">
        <f>'MASTER STOCK'!I263</f>
        <v>0</v>
      </c>
      <c r="AM266" s="27">
        <f>'MASTER STOCK'!L263</f>
        <v>0</v>
      </c>
      <c r="AN266" s="27">
        <f t="shared" si="6"/>
        <v>0</v>
      </c>
      <c r="AO266" s="26">
        <f t="shared" si="7"/>
        <v>0</v>
      </c>
      <c r="AP266" s="114">
        <f t="shared" si="8"/>
        <v>0</v>
      </c>
      <c r="AQ266" s="10"/>
    </row>
    <row r="267">
      <c r="A267" s="29" t="str">
        <f>'MASTER STOCK'!F264</f>
        <v>skrup besar</v>
      </c>
      <c r="B267" s="30">
        <f>'DES 25'!AJ:AJ</f>
        <v>41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23">
        <f t="shared" si="3"/>
        <v>0</v>
      </c>
      <c r="AI267" s="24">
        <v>0.0</v>
      </c>
      <c r="AJ267" s="32">
        <f t="shared" si="4"/>
        <v>41</v>
      </c>
      <c r="AK267" s="32">
        <f t="shared" si="5"/>
        <v>41</v>
      </c>
      <c r="AL267" s="25">
        <f>'MASTER STOCK'!I264</f>
        <v>0</v>
      </c>
      <c r="AM267" s="27">
        <f>'MASTER STOCK'!L264</f>
        <v>0</v>
      </c>
      <c r="AN267" s="27">
        <f t="shared" si="6"/>
        <v>0</v>
      </c>
      <c r="AO267" s="26">
        <f t="shared" si="7"/>
        <v>0</v>
      </c>
      <c r="AP267" s="114">
        <f t="shared" si="8"/>
        <v>0</v>
      </c>
      <c r="AQ267" s="10"/>
    </row>
    <row r="268">
      <c r="A268" s="29" t="str">
        <f>'MASTER STOCK'!F265</f>
        <v>floor stainer plastik</v>
      </c>
      <c r="B268" s="30">
        <f>'DES 25'!AJ:AJ</f>
        <v>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23">
        <f t="shared" si="3"/>
        <v>0</v>
      </c>
      <c r="AI268" s="24">
        <v>0.0</v>
      </c>
      <c r="AJ268" s="32">
        <f t="shared" si="4"/>
        <v>1</v>
      </c>
      <c r="AK268" s="32">
        <f t="shared" si="5"/>
        <v>1</v>
      </c>
      <c r="AL268" s="25">
        <f>'MASTER STOCK'!I265</f>
        <v>24000</v>
      </c>
      <c r="AM268" s="27">
        <f>'MASTER STOCK'!L265</f>
        <v>24000</v>
      </c>
      <c r="AN268" s="27">
        <f t="shared" si="6"/>
        <v>0</v>
      </c>
      <c r="AO268" s="26">
        <f t="shared" si="7"/>
        <v>0</v>
      </c>
      <c r="AP268" s="114">
        <f t="shared" si="8"/>
        <v>0</v>
      </c>
      <c r="AQ268" s="10"/>
    </row>
    <row r="269">
      <c r="A269" s="29" t="str">
        <f>'MASTER STOCK'!F266</f>
        <v>skrup atap  kecil</v>
      </c>
      <c r="B269" s="30">
        <f>'DES 25'!AJ:AJ</f>
        <v>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23">
        <f t="shared" si="3"/>
        <v>0</v>
      </c>
      <c r="AI269" s="24">
        <v>0.0</v>
      </c>
      <c r="AJ269" s="32">
        <f t="shared" si="4"/>
        <v>1</v>
      </c>
      <c r="AK269" s="32">
        <f t="shared" si="5"/>
        <v>1</v>
      </c>
      <c r="AL269" s="25">
        <f>'MASTER STOCK'!I266</f>
        <v>0</v>
      </c>
      <c r="AM269" s="27">
        <f>'MASTER STOCK'!L266</f>
        <v>0</v>
      </c>
      <c r="AN269" s="27">
        <f t="shared" si="6"/>
        <v>0</v>
      </c>
      <c r="AO269" s="26">
        <f t="shared" si="7"/>
        <v>0</v>
      </c>
      <c r="AP269" s="114">
        <f t="shared" si="8"/>
        <v>0</v>
      </c>
      <c r="AQ269" s="10"/>
    </row>
    <row r="270">
      <c r="A270" s="29" t="str">
        <f>'MASTER STOCK'!F267</f>
        <v>lampu led</v>
      </c>
      <c r="B270" s="30">
        <f>'DES 25'!AJ:AJ</f>
        <v>10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23">
        <f t="shared" si="3"/>
        <v>0</v>
      </c>
      <c r="AI270" s="24">
        <v>0.0</v>
      </c>
      <c r="AJ270" s="32">
        <f t="shared" si="4"/>
        <v>10</v>
      </c>
      <c r="AK270" s="32">
        <f t="shared" si="5"/>
        <v>10</v>
      </c>
      <c r="AL270" s="25">
        <f>'MASTER STOCK'!I267</f>
        <v>11000</v>
      </c>
      <c r="AM270" s="27">
        <f>'MASTER STOCK'!L267</f>
        <v>11000</v>
      </c>
      <c r="AN270" s="27">
        <f t="shared" si="6"/>
        <v>0</v>
      </c>
      <c r="AO270" s="26">
        <f t="shared" si="7"/>
        <v>0</v>
      </c>
      <c r="AP270" s="114">
        <f t="shared" si="8"/>
        <v>0</v>
      </c>
      <c r="AQ270" s="10"/>
    </row>
    <row r="271">
      <c r="A271" s="29" t="str">
        <f>'MASTER STOCK'!F268</f>
        <v>waterpres magnet (alat ukur)</v>
      </c>
      <c r="B271" s="30">
        <f>'DES 25'!AJ:AJ</f>
        <v>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23">
        <f t="shared" si="3"/>
        <v>0</v>
      </c>
      <c r="AI271" s="24">
        <v>0.0</v>
      </c>
      <c r="AJ271" s="32">
        <f t="shared" si="4"/>
        <v>1</v>
      </c>
      <c r="AK271" s="32">
        <f t="shared" si="5"/>
        <v>1</v>
      </c>
      <c r="AL271" s="25">
        <f>'MASTER STOCK'!I268</f>
        <v>33000</v>
      </c>
      <c r="AM271" s="27">
        <f>'MASTER STOCK'!L268</f>
        <v>33000</v>
      </c>
      <c r="AN271" s="27">
        <f t="shared" si="6"/>
        <v>0</v>
      </c>
      <c r="AO271" s="26">
        <f t="shared" si="7"/>
        <v>0</v>
      </c>
      <c r="AP271" s="114">
        <f t="shared" si="8"/>
        <v>0</v>
      </c>
      <c r="AQ271" s="10"/>
    </row>
    <row r="272">
      <c r="A272" s="29" t="str">
        <f>'MASTER STOCK'!F269</f>
        <v>round kabel klip 6 mm</v>
      </c>
      <c r="B272" s="30">
        <f>'DES 25'!AJ:AJ</f>
        <v>15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23">
        <f t="shared" si="3"/>
        <v>0</v>
      </c>
      <c r="AI272" s="24">
        <v>0.0</v>
      </c>
      <c r="AJ272" s="32">
        <f t="shared" si="4"/>
        <v>15</v>
      </c>
      <c r="AK272" s="32">
        <f t="shared" si="5"/>
        <v>15</v>
      </c>
      <c r="AL272" s="25">
        <f>'MASTER STOCK'!I269</f>
        <v>2000</v>
      </c>
      <c r="AM272" s="27">
        <f>'MASTER STOCK'!L269</f>
        <v>2000</v>
      </c>
      <c r="AN272" s="27">
        <f t="shared" si="6"/>
        <v>0</v>
      </c>
      <c r="AO272" s="26">
        <f t="shared" si="7"/>
        <v>0</v>
      </c>
      <c r="AP272" s="114">
        <f t="shared" si="8"/>
        <v>0</v>
      </c>
      <c r="AQ272" s="10"/>
    </row>
    <row r="273">
      <c r="A273" s="29" t="str">
        <f>'MASTER STOCK'!F270</f>
        <v>round kabel klip 7 mm</v>
      </c>
      <c r="B273" s="30">
        <f>'DES 25'!AJ:AJ</f>
        <v>4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22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23">
        <f t="shared" si="3"/>
        <v>0</v>
      </c>
      <c r="AI273" s="24">
        <v>0.0</v>
      </c>
      <c r="AJ273" s="32">
        <f t="shared" si="4"/>
        <v>4</v>
      </c>
      <c r="AK273" s="32">
        <f t="shared" si="5"/>
        <v>4</v>
      </c>
      <c r="AL273" s="25">
        <f>'MASTER STOCK'!I270</f>
        <v>2000</v>
      </c>
      <c r="AM273" s="27">
        <f>'MASTER STOCK'!L270</f>
        <v>2000</v>
      </c>
      <c r="AN273" s="27">
        <f t="shared" si="6"/>
        <v>0</v>
      </c>
      <c r="AO273" s="26">
        <f t="shared" si="7"/>
        <v>0</v>
      </c>
      <c r="AP273" s="114">
        <f t="shared" si="8"/>
        <v>0</v>
      </c>
      <c r="AQ273" s="10"/>
    </row>
    <row r="274">
      <c r="A274" s="29" t="str">
        <f>'MASTER STOCK'!F271</f>
        <v>round kabel klip 9 mm</v>
      </c>
      <c r="B274" s="30">
        <f>'DES 25'!AJ:AJ</f>
        <v>12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23">
        <f t="shared" si="3"/>
        <v>0</v>
      </c>
      <c r="AI274" s="24">
        <v>0.0</v>
      </c>
      <c r="AJ274" s="32">
        <f t="shared" si="4"/>
        <v>12</v>
      </c>
      <c r="AK274" s="32">
        <f t="shared" si="5"/>
        <v>12</v>
      </c>
      <c r="AL274" s="25">
        <f>'MASTER STOCK'!I271</f>
        <v>2500</v>
      </c>
      <c r="AM274" s="27">
        <f>'MASTER STOCK'!L271</f>
        <v>2500</v>
      </c>
      <c r="AN274" s="27">
        <f t="shared" si="6"/>
        <v>0</v>
      </c>
      <c r="AO274" s="26">
        <f t="shared" si="7"/>
        <v>0</v>
      </c>
      <c r="AP274" s="114">
        <f t="shared" si="8"/>
        <v>0</v>
      </c>
      <c r="AQ274" s="10"/>
    </row>
    <row r="275">
      <c r="A275" s="29" t="str">
        <f>'MASTER STOCK'!F272</f>
        <v>round kabel klip 10 mm</v>
      </c>
      <c r="B275" s="30">
        <f>'DES 25'!AJ:AJ</f>
        <v>16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23">
        <f t="shared" si="3"/>
        <v>0</v>
      </c>
      <c r="AI275" s="24">
        <v>0.0</v>
      </c>
      <c r="AJ275" s="32">
        <f t="shared" si="4"/>
        <v>16</v>
      </c>
      <c r="AK275" s="32">
        <f t="shared" si="5"/>
        <v>16</v>
      </c>
      <c r="AL275" s="25">
        <f>'MASTER STOCK'!I272</f>
        <v>2500</v>
      </c>
      <c r="AM275" s="27">
        <f>'MASTER STOCK'!L272</f>
        <v>2500</v>
      </c>
      <c r="AN275" s="27">
        <f t="shared" si="6"/>
        <v>0</v>
      </c>
      <c r="AO275" s="26">
        <f t="shared" si="7"/>
        <v>0</v>
      </c>
      <c r="AP275" s="114">
        <f t="shared" si="8"/>
        <v>0</v>
      </c>
      <c r="AQ275" s="10"/>
    </row>
    <row r="276">
      <c r="A276" s="29" t="str">
        <f>'MASTER STOCK'!F273</f>
        <v>floor stainer stainless</v>
      </c>
      <c r="B276" s="30">
        <f>'DES 25'!AJ:AJ</f>
        <v>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23">
        <f t="shared" si="3"/>
        <v>0</v>
      </c>
      <c r="AI276" s="24">
        <v>0.0</v>
      </c>
      <c r="AJ276" s="32">
        <f t="shared" si="4"/>
        <v>1</v>
      </c>
      <c r="AK276" s="32">
        <f t="shared" si="5"/>
        <v>1</v>
      </c>
      <c r="AL276" s="25">
        <f>'MASTER STOCK'!I273</f>
        <v>24000</v>
      </c>
      <c r="AM276" s="27">
        <f>'MASTER STOCK'!L273</f>
        <v>24000</v>
      </c>
      <c r="AN276" s="27">
        <f t="shared" si="6"/>
        <v>0</v>
      </c>
      <c r="AO276" s="26">
        <f t="shared" si="7"/>
        <v>0</v>
      </c>
      <c r="AP276" s="114">
        <f t="shared" si="8"/>
        <v>0</v>
      </c>
      <c r="AQ276" s="10"/>
    </row>
    <row r="277">
      <c r="A277" s="29" t="str">
        <f>'MASTER STOCK'!F274</f>
        <v>amplass bunder</v>
      </c>
      <c r="B277" s="30">
        <f>'DES 25'!AJ:AJ</f>
        <v>8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23">
        <f t="shared" si="3"/>
        <v>0</v>
      </c>
      <c r="AI277" s="24">
        <v>0.0</v>
      </c>
      <c r="AJ277" s="32">
        <f t="shared" si="4"/>
        <v>8</v>
      </c>
      <c r="AK277" s="32">
        <f t="shared" si="5"/>
        <v>8</v>
      </c>
      <c r="AL277" s="25">
        <f>'MASTER STOCK'!I274</f>
        <v>2500</v>
      </c>
      <c r="AM277" s="27">
        <f>'MASTER STOCK'!L274</f>
        <v>2500</v>
      </c>
      <c r="AN277" s="27">
        <f t="shared" si="6"/>
        <v>0</v>
      </c>
      <c r="AO277" s="26">
        <f t="shared" si="7"/>
        <v>0</v>
      </c>
      <c r="AP277" s="114">
        <f t="shared" si="8"/>
        <v>0</v>
      </c>
      <c r="AQ277" s="10"/>
    </row>
    <row r="278">
      <c r="A278" s="29" t="str">
        <f>'MASTER STOCK'!F275</f>
        <v>paku beton 1 1/2</v>
      </c>
      <c r="B278" s="30">
        <f>'DES 25'!AJ:AJ</f>
        <v>2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23">
        <f t="shared" si="3"/>
        <v>0</v>
      </c>
      <c r="AI278" s="24">
        <v>0.0</v>
      </c>
      <c r="AJ278" s="32">
        <f t="shared" si="4"/>
        <v>2</v>
      </c>
      <c r="AK278" s="32">
        <f t="shared" si="5"/>
        <v>2</v>
      </c>
      <c r="AL278" s="25">
        <f>'MASTER STOCK'!I275</f>
        <v>14000</v>
      </c>
      <c r="AM278" s="27">
        <f>'MASTER STOCK'!L275</f>
        <v>14000</v>
      </c>
      <c r="AN278" s="27">
        <f t="shared" si="6"/>
        <v>0</v>
      </c>
      <c r="AO278" s="26">
        <f t="shared" si="7"/>
        <v>0</v>
      </c>
      <c r="AP278" s="114">
        <f t="shared" si="8"/>
        <v>0</v>
      </c>
      <c r="AQ278" s="10"/>
    </row>
    <row r="279">
      <c r="A279" s="29" t="str">
        <f>'MASTER STOCK'!F276</f>
        <v>tusen klep air</v>
      </c>
      <c r="B279" s="30">
        <f>'DES 25'!AJ:AJ</f>
        <v>4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23">
        <f t="shared" si="3"/>
        <v>0</v>
      </c>
      <c r="AI279" s="24">
        <v>0.0</v>
      </c>
      <c r="AJ279" s="32">
        <f t="shared" si="4"/>
        <v>4</v>
      </c>
      <c r="AK279" s="32">
        <f t="shared" si="5"/>
        <v>4</v>
      </c>
      <c r="AL279" s="25">
        <f>'MASTER STOCK'!I276</f>
        <v>0</v>
      </c>
      <c r="AM279" s="27">
        <f>'MASTER STOCK'!L276</f>
        <v>0</v>
      </c>
      <c r="AN279" s="27">
        <f t="shared" si="6"/>
        <v>0</v>
      </c>
      <c r="AO279" s="26">
        <f t="shared" si="7"/>
        <v>0</v>
      </c>
      <c r="AP279" s="114">
        <f t="shared" si="8"/>
        <v>0</v>
      </c>
      <c r="AQ279" s="10"/>
    </row>
    <row r="280">
      <c r="A280" s="29" t="str">
        <f>'MASTER STOCK'!F277</f>
        <v>saringan plastik biasa</v>
      </c>
      <c r="B280" s="30">
        <f>'DES 25'!AJ:AJ</f>
        <v>3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23">
        <f t="shared" si="3"/>
        <v>0</v>
      </c>
      <c r="AI280" s="24">
        <v>0.0</v>
      </c>
      <c r="AJ280" s="32">
        <f t="shared" si="4"/>
        <v>3</v>
      </c>
      <c r="AK280" s="32">
        <f t="shared" si="5"/>
        <v>3</v>
      </c>
      <c r="AL280" s="25">
        <f>'MASTER STOCK'!I277</f>
        <v>12000</v>
      </c>
      <c r="AM280" s="27">
        <f>'MASTER STOCK'!L277</f>
        <v>12000</v>
      </c>
      <c r="AN280" s="27">
        <f t="shared" si="6"/>
        <v>0</v>
      </c>
      <c r="AO280" s="26">
        <f t="shared" si="7"/>
        <v>0</v>
      </c>
      <c r="AP280" s="114">
        <f t="shared" si="8"/>
        <v>0</v>
      </c>
      <c r="AQ280" s="10"/>
    </row>
    <row r="281">
      <c r="A281" s="29" t="str">
        <f>'MASTER STOCK'!F278</f>
        <v>kuas  2</v>
      </c>
      <c r="B281" s="30">
        <f>'DES 25'!AJ:AJ</f>
        <v>2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23">
        <f t="shared" si="3"/>
        <v>0</v>
      </c>
      <c r="AI281" s="24">
        <v>0.0</v>
      </c>
      <c r="AJ281" s="32">
        <f t="shared" si="4"/>
        <v>2</v>
      </c>
      <c r="AK281" s="32">
        <f t="shared" si="5"/>
        <v>2</v>
      </c>
      <c r="AL281" s="25">
        <f>'MASTER STOCK'!I278</f>
        <v>8000</v>
      </c>
      <c r="AM281" s="27">
        <f>'MASTER STOCK'!L278</f>
        <v>8000</v>
      </c>
      <c r="AN281" s="27">
        <f t="shared" si="6"/>
        <v>0</v>
      </c>
      <c r="AO281" s="26">
        <f t="shared" si="7"/>
        <v>0</v>
      </c>
      <c r="AP281" s="114">
        <f t="shared" si="8"/>
        <v>0</v>
      </c>
      <c r="AQ281" s="10"/>
    </row>
    <row r="282">
      <c r="A282" s="29" t="str">
        <f>'MASTER STOCK'!F279</f>
        <v>afur hpp</v>
      </c>
      <c r="B282" s="30">
        <f>'DES 25'!AJ:AJ</f>
        <v>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23">
        <f t="shared" si="3"/>
        <v>0</v>
      </c>
      <c r="AI282" s="24">
        <v>0.0</v>
      </c>
      <c r="AJ282" s="32">
        <f t="shared" si="4"/>
        <v>1</v>
      </c>
      <c r="AK282" s="32">
        <f t="shared" si="5"/>
        <v>1</v>
      </c>
      <c r="AL282" s="25">
        <f>'MASTER STOCK'!I279</f>
        <v>27000</v>
      </c>
      <c r="AM282" s="27">
        <f>'MASTER STOCK'!L279</f>
        <v>27000</v>
      </c>
      <c r="AN282" s="27">
        <f t="shared" si="6"/>
        <v>0</v>
      </c>
      <c r="AO282" s="26">
        <f t="shared" si="7"/>
        <v>0</v>
      </c>
      <c r="AP282" s="114">
        <f t="shared" si="8"/>
        <v>0</v>
      </c>
      <c r="AQ282" s="10"/>
    </row>
    <row r="283">
      <c r="A283" s="29" t="str">
        <f>'MASTER STOCK'!F280</f>
        <v>afur klasik</v>
      </c>
      <c r="B283" s="30">
        <f>'DES 25'!AJ:AJ</f>
        <v>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23">
        <f t="shared" si="3"/>
        <v>0</v>
      </c>
      <c r="AI283" s="24">
        <v>0.0</v>
      </c>
      <c r="AJ283" s="32">
        <f t="shared" si="4"/>
        <v>1</v>
      </c>
      <c r="AK283" s="32">
        <f t="shared" si="5"/>
        <v>1</v>
      </c>
      <c r="AL283" s="25">
        <f>'MASTER STOCK'!I280</f>
        <v>32000</v>
      </c>
      <c r="AM283" s="27">
        <f>'MASTER STOCK'!L280</f>
        <v>32000</v>
      </c>
      <c r="AN283" s="27">
        <f t="shared" si="6"/>
        <v>0</v>
      </c>
      <c r="AO283" s="26">
        <f t="shared" si="7"/>
        <v>0</v>
      </c>
      <c r="AP283" s="114">
        <f t="shared" si="8"/>
        <v>0</v>
      </c>
      <c r="AQ283" s="10"/>
    </row>
    <row r="284">
      <c r="A284" s="29" t="str">
        <f>'MASTER STOCK'!F281</f>
        <v>kuas cat garis</v>
      </c>
      <c r="B284" s="30">
        <f>'DES 25'!AJ:AJ</f>
        <v>4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23">
        <f t="shared" si="3"/>
        <v>0</v>
      </c>
      <c r="AI284" s="24">
        <v>0.0</v>
      </c>
      <c r="AJ284" s="32">
        <f t="shared" si="4"/>
        <v>4</v>
      </c>
      <c r="AK284" s="32">
        <f t="shared" si="5"/>
        <v>4</v>
      </c>
      <c r="AL284" s="25">
        <f>'MASTER STOCK'!I281</f>
        <v>9000</v>
      </c>
      <c r="AM284" s="27">
        <f>'MASTER STOCK'!L281</f>
        <v>9000</v>
      </c>
      <c r="AN284" s="27">
        <f t="shared" si="6"/>
        <v>0</v>
      </c>
      <c r="AO284" s="26">
        <f t="shared" si="7"/>
        <v>0</v>
      </c>
      <c r="AP284" s="114">
        <f t="shared" si="8"/>
        <v>0</v>
      </c>
      <c r="AQ284" s="10"/>
    </row>
    <row r="285">
      <c r="A285" s="29" t="str">
        <f>'MASTER STOCK'!F282</f>
        <v>pilox</v>
      </c>
      <c r="B285" s="30">
        <f>'DES 25'!AJ:AJ</f>
        <v>4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23">
        <f t="shared" si="3"/>
        <v>0</v>
      </c>
      <c r="AI285" s="24">
        <v>0.0</v>
      </c>
      <c r="AJ285" s="32">
        <f t="shared" si="4"/>
        <v>4</v>
      </c>
      <c r="AK285" s="32">
        <f t="shared" si="5"/>
        <v>4</v>
      </c>
      <c r="AL285" s="25">
        <f>'MASTER STOCK'!I282</f>
        <v>29000</v>
      </c>
      <c r="AM285" s="27">
        <f>'MASTER STOCK'!L282</f>
        <v>29000</v>
      </c>
      <c r="AN285" s="27">
        <f t="shared" si="6"/>
        <v>0</v>
      </c>
      <c r="AO285" s="26">
        <f t="shared" si="7"/>
        <v>0</v>
      </c>
      <c r="AP285" s="114">
        <f t="shared" si="8"/>
        <v>0</v>
      </c>
      <c r="AQ285" s="10"/>
    </row>
    <row r="286">
      <c r="A286" s="29" t="str">
        <f>'MASTER STOCK'!F283</f>
        <v>sikring</v>
      </c>
      <c r="B286" s="30">
        <f>'DES 25'!AJ:AJ</f>
        <v>5</v>
      </c>
      <c r="C286" s="10"/>
      <c r="D286" s="10"/>
      <c r="E286" s="10"/>
      <c r="F286" s="10"/>
      <c r="G286" s="10"/>
      <c r="H286" s="10"/>
      <c r="I286" s="10"/>
      <c r="J286" s="10"/>
      <c r="K286" s="22">
        <v>1.0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23">
        <f t="shared" si="3"/>
        <v>1</v>
      </c>
      <c r="AI286" s="24">
        <v>0.0</v>
      </c>
      <c r="AJ286" s="32">
        <f t="shared" si="4"/>
        <v>4</v>
      </c>
      <c r="AK286" s="32">
        <f t="shared" si="5"/>
        <v>4</v>
      </c>
      <c r="AL286" s="25">
        <f>'MASTER STOCK'!I283</f>
        <v>3500</v>
      </c>
      <c r="AM286" s="27">
        <f>'MASTER STOCK'!L283</f>
        <v>3500</v>
      </c>
      <c r="AN286" s="27">
        <f t="shared" si="6"/>
        <v>3500</v>
      </c>
      <c r="AO286" s="26">
        <f t="shared" si="7"/>
        <v>0</v>
      </c>
      <c r="AP286" s="114">
        <f t="shared" si="8"/>
        <v>3500</v>
      </c>
      <c r="AQ286" s="10"/>
    </row>
    <row r="287">
      <c r="A287" s="29" t="str">
        <f>'MASTER STOCK'!F284</f>
        <v>Tutup  skring</v>
      </c>
      <c r="B287" s="30">
        <f>'DES 25'!AJ:AJ</f>
        <v>14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23">
        <f t="shared" si="3"/>
        <v>0</v>
      </c>
      <c r="AI287" s="24">
        <v>0.0</v>
      </c>
      <c r="AJ287" s="32">
        <f t="shared" si="4"/>
        <v>14</v>
      </c>
      <c r="AK287" s="32">
        <f t="shared" si="5"/>
        <v>14</v>
      </c>
      <c r="AL287" s="25">
        <f>'MASTER STOCK'!I284</f>
        <v>3500</v>
      </c>
      <c r="AM287" s="27">
        <f>'MASTER STOCK'!L284</f>
        <v>3500</v>
      </c>
      <c r="AN287" s="27">
        <f t="shared" si="6"/>
        <v>0</v>
      </c>
      <c r="AO287" s="26">
        <f t="shared" si="7"/>
        <v>0</v>
      </c>
      <c r="AP287" s="114">
        <f t="shared" si="8"/>
        <v>0</v>
      </c>
      <c r="AQ287" s="10"/>
    </row>
    <row r="288">
      <c r="A288" s="29" t="str">
        <f>'MASTER STOCK'!F285</f>
        <v>kabel serabut 0.75 mm</v>
      </c>
      <c r="B288" s="30">
        <f>'DES 25'!AJ:AJ</f>
        <v>0.5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23">
        <f t="shared" si="3"/>
        <v>0</v>
      </c>
      <c r="AI288" s="24">
        <v>0.0</v>
      </c>
      <c r="AJ288" s="32">
        <f t="shared" si="4"/>
        <v>0.5</v>
      </c>
      <c r="AK288" s="32">
        <f t="shared" si="5"/>
        <v>0.5</v>
      </c>
      <c r="AL288" s="25">
        <f>'MASTER STOCK'!I285</f>
        <v>2000</v>
      </c>
      <c r="AM288" s="27">
        <f>'MASTER STOCK'!L285</f>
        <v>2000</v>
      </c>
      <c r="AN288" s="27">
        <f t="shared" si="6"/>
        <v>0</v>
      </c>
      <c r="AO288" s="26">
        <f t="shared" si="7"/>
        <v>0</v>
      </c>
      <c r="AP288" s="114">
        <f t="shared" si="8"/>
        <v>0</v>
      </c>
      <c r="AQ288" s="10"/>
    </row>
    <row r="289">
      <c r="A289" s="29" t="str">
        <f>'MASTER STOCK'!F286</f>
        <v>Steker Gepeng</v>
      </c>
      <c r="B289" s="30">
        <f>'DES 25'!AJ:AJ</f>
        <v>5</v>
      </c>
      <c r="C289" s="10"/>
      <c r="D289" s="10"/>
      <c r="E289" s="10"/>
      <c r="F289" s="10"/>
      <c r="G289" s="10"/>
      <c r="H289" s="10"/>
      <c r="I289" s="10"/>
      <c r="J289" s="10"/>
      <c r="K289" s="22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23">
        <f t="shared" si="3"/>
        <v>0</v>
      </c>
      <c r="AI289" s="24">
        <v>0.0</v>
      </c>
      <c r="AJ289" s="32">
        <f t="shared" si="4"/>
        <v>5</v>
      </c>
      <c r="AK289" s="32">
        <f t="shared" si="5"/>
        <v>5</v>
      </c>
      <c r="AL289" s="25">
        <f>'MASTER STOCK'!I286</f>
        <v>4000</v>
      </c>
      <c r="AM289" s="27">
        <f>'MASTER STOCK'!L286</f>
        <v>4000</v>
      </c>
      <c r="AN289" s="27">
        <f t="shared" si="6"/>
        <v>0</v>
      </c>
      <c r="AO289" s="26">
        <f t="shared" si="7"/>
        <v>0</v>
      </c>
      <c r="AP289" s="114">
        <f t="shared" si="8"/>
        <v>0</v>
      </c>
      <c r="AQ289" s="10"/>
    </row>
    <row r="290">
      <c r="A290" s="29" t="str">
        <f>'MASTER STOCK'!F287</f>
        <v>Skalar Tunggal</v>
      </c>
      <c r="B290" s="30">
        <f>'DES 25'!AJ:AJ</f>
        <v>2</v>
      </c>
      <c r="C290" s="22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22">
        <v>1.0</v>
      </c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23">
        <f t="shared" si="3"/>
        <v>1</v>
      </c>
      <c r="AI290" s="24">
        <v>0.0</v>
      </c>
      <c r="AJ290" s="32">
        <f t="shared" si="4"/>
        <v>1</v>
      </c>
      <c r="AK290" s="32">
        <f t="shared" si="5"/>
        <v>1</v>
      </c>
      <c r="AL290" s="25">
        <f>'MASTER STOCK'!I287</f>
        <v>6500</v>
      </c>
      <c r="AM290" s="27">
        <f>'MASTER STOCK'!L287</f>
        <v>6500</v>
      </c>
      <c r="AN290" s="27">
        <f t="shared" si="6"/>
        <v>6500</v>
      </c>
      <c r="AO290" s="26">
        <f t="shared" si="7"/>
        <v>0</v>
      </c>
      <c r="AP290" s="114">
        <f t="shared" si="8"/>
        <v>6500</v>
      </c>
      <c r="AQ290" s="10"/>
    </row>
    <row r="291">
      <c r="A291" s="29" t="str">
        <f>'MASTER STOCK'!F288</f>
        <v>Saklar Ganda</v>
      </c>
      <c r="B291" s="30">
        <f>'DES 25'!AJ:AJ</f>
        <v>3</v>
      </c>
      <c r="C291" s="22"/>
      <c r="D291" s="10"/>
      <c r="E291" s="10"/>
      <c r="F291" s="10"/>
      <c r="G291" s="10"/>
      <c r="H291" s="22">
        <v>1.0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23">
        <f t="shared" si="3"/>
        <v>1</v>
      </c>
      <c r="AI291" s="24">
        <v>0.0</v>
      </c>
      <c r="AJ291" s="32">
        <f t="shared" si="4"/>
        <v>2</v>
      </c>
      <c r="AK291" s="32">
        <f t="shared" si="5"/>
        <v>2</v>
      </c>
      <c r="AL291" s="25">
        <f>'MASTER STOCK'!I288</f>
        <v>8000</v>
      </c>
      <c r="AM291" s="27">
        <f>'MASTER STOCK'!L288</f>
        <v>8000</v>
      </c>
      <c r="AN291" s="27">
        <f t="shared" si="6"/>
        <v>8000</v>
      </c>
      <c r="AO291" s="26">
        <f t="shared" si="7"/>
        <v>0</v>
      </c>
      <c r="AP291" s="114">
        <f t="shared" si="8"/>
        <v>8000</v>
      </c>
      <c r="AQ291" s="10"/>
    </row>
    <row r="292">
      <c r="A292" s="29" t="str">
        <f>'MASTER STOCK'!F289</f>
        <v>Kabel audio 2 x 1 1/2</v>
      </c>
      <c r="B292" s="30">
        <f>'DES 25'!AJ:AJ</f>
        <v>100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23">
        <f t="shared" si="3"/>
        <v>0</v>
      </c>
      <c r="AI292" s="24">
        <v>0.0</v>
      </c>
      <c r="AJ292" s="32">
        <f t="shared" si="4"/>
        <v>100</v>
      </c>
      <c r="AK292" s="32">
        <f t="shared" si="5"/>
        <v>100</v>
      </c>
      <c r="AL292" s="25">
        <f>'MASTER STOCK'!I289</f>
        <v>3000</v>
      </c>
      <c r="AM292" s="27">
        <f>'MASTER STOCK'!L289</f>
        <v>3000</v>
      </c>
      <c r="AN292" s="27">
        <f t="shared" si="6"/>
        <v>0</v>
      </c>
      <c r="AO292" s="26">
        <f t="shared" si="7"/>
        <v>0</v>
      </c>
      <c r="AP292" s="114">
        <f t="shared" si="8"/>
        <v>0</v>
      </c>
      <c r="AQ292" s="10"/>
    </row>
    <row r="293">
      <c r="A293" s="29" t="str">
        <f>'MASTER STOCK'!F290</f>
        <v>Skalar Triple</v>
      </c>
      <c r="B293" s="30">
        <f>'DES 25'!AJ:AJ</f>
        <v>2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23">
        <f t="shared" si="3"/>
        <v>0</v>
      </c>
      <c r="AI293" s="24">
        <v>0.0</v>
      </c>
      <c r="AJ293" s="32">
        <f t="shared" si="4"/>
        <v>2</v>
      </c>
      <c r="AK293" s="32">
        <f t="shared" si="5"/>
        <v>2</v>
      </c>
      <c r="AL293" s="25">
        <f>'MASTER STOCK'!I290</f>
        <v>35000</v>
      </c>
      <c r="AM293" s="27">
        <f>'MASTER STOCK'!L290</f>
        <v>35000</v>
      </c>
      <c r="AN293" s="27">
        <f t="shared" si="6"/>
        <v>0</v>
      </c>
      <c r="AO293" s="26">
        <f t="shared" si="7"/>
        <v>0</v>
      </c>
      <c r="AP293" s="114">
        <f t="shared" si="8"/>
        <v>0</v>
      </c>
      <c r="AQ293" s="10"/>
    </row>
    <row r="294">
      <c r="A294" s="29" t="str">
        <f>'MASTER STOCK'!F291</f>
        <v>Senter</v>
      </c>
      <c r="B294" s="30">
        <f>'DES 25'!AJ:AJ</f>
        <v>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23">
        <f t="shared" si="3"/>
        <v>0</v>
      </c>
      <c r="AI294" s="24">
        <v>0.0</v>
      </c>
      <c r="AJ294" s="32">
        <f t="shared" si="4"/>
        <v>1</v>
      </c>
      <c r="AK294" s="32">
        <f t="shared" si="5"/>
        <v>1</v>
      </c>
      <c r="AL294" s="25">
        <f>'MASTER STOCK'!I291</f>
        <v>25000</v>
      </c>
      <c r="AM294" s="27">
        <f>'MASTER STOCK'!L291</f>
        <v>25000</v>
      </c>
      <c r="AN294" s="27">
        <f t="shared" si="6"/>
        <v>0</v>
      </c>
      <c r="AO294" s="26">
        <f t="shared" si="7"/>
        <v>0</v>
      </c>
      <c r="AP294" s="114">
        <f t="shared" si="8"/>
        <v>0</v>
      </c>
      <c r="AQ294" s="10"/>
    </row>
    <row r="295">
      <c r="A295" s="29" t="str">
        <f>'MASTER STOCK'!F292</f>
        <v>Fittingan</v>
      </c>
      <c r="B295" s="30">
        <f>'DES 25'!AJ:AJ</f>
        <v>7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23">
        <f t="shared" si="3"/>
        <v>0</v>
      </c>
      <c r="AI295" s="24">
        <v>0.0</v>
      </c>
      <c r="AJ295" s="32">
        <f t="shared" si="4"/>
        <v>7</v>
      </c>
      <c r="AK295" s="32">
        <f t="shared" si="5"/>
        <v>7</v>
      </c>
      <c r="AL295" s="25">
        <f>'MASTER STOCK'!I292</f>
        <v>5000</v>
      </c>
      <c r="AM295" s="27">
        <f>'MASTER STOCK'!L292</f>
        <v>5000</v>
      </c>
      <c r="AN295" s="27">
        <f t="shared" si="6"/>
        <v>0</v>
      </c>
      <c r="AO295" s="26">
        <f t="shared" si="7"/>
        <v>0</v>
      </c>
      <c r="AP295" s="114">
        <f t="shared" si="8"/>
        <v>0</v>
      </c>
      <c r="AQ295" s="10"/>
    </row>
    <row r="296">
      <c r="A296" s="29" t="str">
        <f>'MASTER STOCK'!F293</f>
        <v>Fittingan bagus</v>
      </c>
      <c r="B296" s="30">
        <f>'DES 25'!AJ:AJ</f>
        <v>2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23">
        <f t="shared" si="3"/>
        <v>0</v>
      </c>
      <c r="AI296" s="24">
        <v>0.0</v>
      </c>
      <c r="AJ296" s="32">
        <f t="shared" si="4"/>
        <v>2</v>
      </c>
      <c r="AK296" s="32">
        <f t="shared" si="5"/>
        <v>2</v>
      </c>
      <c r="AL296" s="25">
        <f>'MASTER STOCK'!I293</f>
        <v>9000</v>
      </c>
      <c r="AM296" s="27">
        <f>'MASTER STOCK'!L293</f>
        <v>9000</v>
      </c>
      <c r="AN296" s="27">
        <f t="shared" si="6"/>
        <v>0</v>
      </c>
      <c r="AO296" s="26">
        <f t="shared" si="7"/>
        <v>0</v>
      </c>
      <c r="AP296" s="114">
        <f t="shared" si="8"/>
        <v>0</v>
      </c>
      <c r="AQ296" s="10"/>
    </row>
    <row r="297">
      <c r="A297" s="29" t="str">
        <f>'MASTER STOCK'!F294</f>
        <v>Kassa gibsum</v>
      </c>
      <c r="B297" s="30">
        <f>'DES 25'!AJ:AJ</f>
        <v>3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23">
        <f t="shared" si="3"/>
        <v>0</v>
      </c>
      <c r="AI297" s="24">
        <v>0.0</v>
      </c>
      <c r="AJ297" s="32">
        <f t="shared" si="4"/>
        <v>3</v>
      </c>
      <c r="AK297" s="32">
        <f t="shared" si="5"/>
        <v>3</v>
      </c>
      <c r="AL297" s="25">
        <f>'MASTER STOCK'!I294</f>
        <v>7000</v>
      </c>
      <c r="AM297" s="27">
        <f>'MASTER STOCK'!L294</f>
        <v>7000</v>
      </c>
      <c r="AN297" s="27">
        <f t="shared" si="6"/>
        <v>0</v>
      </c>
      <c r="AO297" s="26">
        <f t="shared" si="7"/>
        <v>0</v>
      </c>
      <c r="AP297" s="114">
        <f t="shared" si="8"/>
        <v>0</v>
      </c>
      <c r="AQ297" s="10"/>
    </row>
    <row r="298">
      <c r="A298" s="29" t="str">
        <f>'MASTER STOCK'!F295</f>
        <v>Lampu Tidur</v>
      </c>
      <c r="B298" s="30">
        <f>'DES 25'!AJ:AJ</f>
        <v>2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23">
        <f t="shared" si="3"/>
        <v>0</v>
      </c>
      <c r="AI298" s="24">
        <v>0.0</v>
      </c>
      <c r="AJ298" s="32">
        <f t="shared" si="4"/>
        <v>2</v>
      </c>
      <c r="AK298" s="32">
        <f t="shared" si="5"/>
        <v>2</v>
      </c>
      <c r="AL298" s="25">
        <f>'MASTER STOCK'!I295</f>
        <v>8000</v>
      </c>
      <c r="AM298" s="27">
        <f>'MASTER STOCK'!L295</f>
        <v>8000</v>
      </c>
      <c r="AN298" s="27">
        <f t="shared" si="6"/>
        <v>0</v>
      </c>
      <c r="AO298" s="26">
        <f t="shared" si="7"/>
        <v>0</v>
      </c>
      <c r="AP298" s="114">
        <f t="shared" si="8"/>
        <v>0</v>
      </c>
      <c r="AQ298" s="10"/>
    </row>
    <row r="299">
      <c r="A299" s="29" t="str">
        <f>'MASTER STOCK'!F296</f>
        <v>Steker Bulat</v>
      </c>
      <c r="B299" s="30">
        <f>'DES 25'!AJ:AJ</f>
        <v>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23">
        <f t="shared" si="3"/>
        <v>0</v>
      </c>
      <c r="AI299" s="24">
        <v>0.0</v>
      </c>
      <c r="AJ299" s="32">
        <f t="shared" si="4"/>
        <v>1</v>
      </c>
      <c r="AK299" s="32">
        <f t="shared" si="5"/>
        <v>1</v>
      </c>
      <c r="AL299" s="25">
        <f>'MASTER STOCK'!I296</f>
        <v>6000</v>
      </c>
      <c r="AM299" s="27">
        <f>'MASTER STOCK'!L296</f>
        <v>6000</v>
      </c>
      <c r="AN299" s="27">
        <f t="shared" si="6"/>
        <v>0</v>
      </c>
      <c r="AO299" s="26">
        <f t="shared" si="7"/>
        <v>0</v>
      </c>
      <c r="AP299" s="114">
        <f t="shared" si="8"/>
        <v>0</v>
      </c>
      <c r="AQ299" s="10"/>
    </row>
    <row r="300">
      <c r="A300" s="29" t="str">
        <f>'MASTER STOCK'!F297</f>
        <v>Soket Lampu</v>
      </c>
      <c r="B300" s="30">
        <f>'DES 25'!AJ:AJ</f>
        <v>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23">
        <f t="shared" si="3"/>
        <v>0</v>
      </c>
      <c r="AI300" s="24">
        <v>0.0</v>
      </c>
      <c r="AJ300" s="32">
        <f t="shared" si="4"/>
        <v>1</v>
      </c>
      <c r="AK300" s="32">
        <f t="shared" si="5"/>
        <v>1</v>
      </c>
      <c r="AL300" s="25">
        <f>'MASTER STOCK'!I297</f>
        <v>11000</v>
      </c>
      <c r="AM300" s="27">
        <f>'MASTER STOCK'!L297</f>
        <v>11000</v>
      </c>
      <c r="AN300" s="27">
        <f t="shared" si="6"/>
        <v>0</v>
      </c>
      <c r="AO300" s="26">
        <f t="shared" si="7"/>
        <v>0</v>
      </c>
      <c r="AP300" s="114">
        <f t="shared" si="8"/>
        <v>0</v>
      </c>
      <c r="AQ300" s="10"/>
    </row>
    <row r="301">
      <c r="A301" s="29" t="str">
        <f>'MASTER STOCK'!F298</f>
        <v>Sarung tangan kain</v>
      </c>
      <c r="B301" s="30">
        <f>'DES 25'!AJ:AJ</f>
        <v>16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23">
        <f t="shared" si="3"/>
        <v>0</v>
      </c>
      <c r="AI301" s="24">
        <v>0.0</v>
      </c>
      <c r="AJ301" s="32">
        <f t="shared" si="4"/>
        <v>16</v>
      </c>
      <c r="AK301" s="32">
        <f t="shared" si="5"/>
        <v>16</v>
      </c>
      <c r="AL301" s="25">
        <f>'MASTER STOCK'!I298</f>
        <v>6000</v>
      </c>
      <c r="AM301" s="27">
        <f>'MASTER STOCK'!L298</f>
        <v>6000</v>
      </c>
      <c r="AN301" s="27">
        <f t="shared" si="6"/>
        <v>0</v>
      </c>
      <c r="AO301" s="26">
        <f t="shared" si="7"/>
        <v>0</v>
      </c>
      <c r="AP301" s="114">
        <f t="shared" si="8"/>
        <v>0</v>
      </c>
      <c r="AQ301" s="10"/>
    </row>
    <row r="302">
      <c r="A302" s="29" t="str">
        <f>'MASTER STOCK'!F299</f>
        <v>Grendel Double</v>
      </c>
      <c r="B302" s="30">
        <f>'DES 25'!AJ:AJ</f>
        <v>2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23">
        <f t="shared" si="3"/>
        <v>0</v>
      </c>
      <c r="AI302" s="24">
        <v>0.0</v>
      </c>
      <c r="AJ302" s="32">
        <f t="shared" si="4"/>
        <v>2</v>
      </c>
      <c r="AK302" s="32">
        <f t="shared" si="5"/>
        <v>2</v>
      </c>
      <c r="AL302" s="25">
        <f>'MASTER STOCK'!I299</f>
        <v>0</v>
      </c>
      <c r="AM302" s="27">
        <f>'MASTER STOCK'!L299</f>
        <v>0</v>
      </c>
      <c r="AN302" s="27">
        <f t="shared" si="6"/>
        <v>0</v>
      </c>
      <c r="AO302" s="26">
        <f t="shared" si="7"/>
        <v>0</v>
      </c>
      <c r="AP302" s="114">
        <f t="shared" si="8"/>
        <v>0</v>
      </c>
      <c r="AQ302" s="10"/>
    </row>
    <row r="303">
      <c r="A303" s="29" t="str">
        <f>'MASTER STOCK'!F300</f>
        <v>Kunci Oval pintu</v>
      </c>
      <c r="B303" s="30">
        <f>'DES 25'!AJ:AJ</f>
        <v>2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23">
        <f t="shared" si="3"/>
        <v>0</v>
      </c>
      <c r="AI303" s="24">
        <v>0.0</v>
      </c>
      <c r="AJ303" s="32">
        <f t="shared" si="4"/>
        <v>2</v>
      </c>
      <c r="AK303" s="32">
        <f t="shared" si="5"/>
        <v>2</v>
      </c>
      <c r="AL303" s="25">
        <f>'MASTER STOCK'!I300</f>
        <v>0</v>
      </c>
      <c r="AM303" s="27">
        <f>'MASTER STOCK'!L300</f>
        <v>0</v>
      </c>
      <c r="AN303" s="27">
        <f t="shared" si="6"/>
        <v>0</v>
      </c>
      <c r="AO303" s="26">
        <f t="shared" si="7"/>
        <v>0</v>
      </c>
      <c r="AP303" s="114">
        <f t="shared" si="8"/>
        <v>0</v>
      </c>
      <c r="AQ303" s="10"/>
    </row>
    <row r="304">
      <c r="A304" s="29" t="str">
        <f>'MASTER STOCK'!F301</f>
        <v>Benang ris  sedang</v>
      </c>
      <c r="B304" s="30">
        <f>'DES 25'!AJ:AJ</f>
        <v>0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22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23">
        <f t="shared" si="3"/>
        <v>0</v>
      </c>
      <c r="AI304" s="24">
        <v>0.0</v>
      </c>
      <c r="AJ304" s="32">
        <f t="shared" si="4"/>
        <v>0</v>
      </c>
      <c r="AK304" s="32">
        <f t="shared" si="5"/>
        <v>0</v>
      </c>
      <c r="AL304" s="25">
        <f>'MASTER STOCK'!I301</f>
        <v>5000</v>
      </c>
      <c r="AM304" s="27">
        <f>'MASTER STOCK'!L301</f>
        <v>5000</v>
      </c>
      <c r="AN304" s="27">
        <f t="shared" si="6"/>
        <v>0</v>
      </c>
      <c r="AO304" s="26">
        <f t="shared" si="7"/>
        <v>0</v>
      </c>
      <c r="AP304" s="114">
        <f t="shared" si="8"/>
        <v>0</v>
      </c>
      <c r="AQ304" s="10"/>
    </row>
    <row r="305">
      <c r="A305" s="29" t="str">
        <f>'MASTER STOCK'!F302</f>
        <v>Jepitan Udang grendel</v>
      </c>
      <c r="B305" s="30">
        <f>'DES 25'!AJ:AJ</f>
        <v>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23">
        <f t="shared" si="3"/>
        <v>0</v>
      </c>
      <c r="AI305" s="24">
        <v>0.0</v>
      </c>
      <c r="AJ305" s="32">
        <f t="shared" si="4"/>
        <v>1</v>
      </c>
      <c r="AK305" s="32">
        <f t="shared" si="5"/>
        <v>1</v>
      </c>
      <c r="AL305" s="25">
        <f>'MASTER STOCK'!I302</f>
        <v>0</v>
      </c>
      <c r="AM305" s="27">
        <f>'MASTER STOCK'!L302</f>
        <v>0</v>
      </c>
      <c r="AN305" s="27">
        <f t="shared" si="6"/>
        <v>0</v>
      </c>
      <c r="AO305" s="26">
        <f t="shared" si="7"/>
        <v>0</v>
      </c>
      <c r="AP305" s="114">
        <f t="shared" si="8"/>
        <v>0</v>
      </c>
      <c r="AQ305" s="10"/>
    </row>
    <row r="306">
      <c r="A306" s="29" t="str">
        <f>'MASTER STOCK'!F303</f>
        <v>Cengkal jendela panjang lurus</v>
      </c>
      <c r="B306" s="30">
        <f>'DES 25'!AJ:AJ</f>
        <v>4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23">
        <f t="shared" si="3"/>
        <v>0</v>
      </c>
      <c r="AI306" s="24">
        <v>0.0</v>
      </c>
      <c r="AJ306" s="32">
        <f t="shared" si="4"/>
        <v>4</v>
      </c>
      <c r="AK306" s="32">
        <f t="shared" si="5"/>
        <v>4</v>
      </c>
      <c r="AL306" s="25">
        <f>'MASTER STOCK'!I303</f>
        <v>11000</v>
      </c>
      <c r="AM306" s="27">
        <f>'MASTER STOCK'!L303</f>
        <v>11000</v>
      </c>
      <c r="AN306" s="27">
        <f t="shared" si="6"/>
        <v>0</v>
      </c>
      <c r="AO306" s="26">
        <f t="shared" si="7"/>
        <v>0</v>
      </c>
      <c r="AP306" s="114">
        <f t="shared" si="8"/>
        <v>0</v>
      </c>
      <c r="AQ306" s="10"/>
    </row>
    <row r="307">
      <c r="A307" s="29" t="str">
        <f>'MASTER STOCK'!F304</f>
        <v>Gagang Pintu</v>
      </c>
      <c r="B307" s="30">
        <f>'DES 25'!AJ:AJ</f>
        <v>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23">
        <f t="shared" si="3"/>
        <v>0</v>
      </c>
      <c r="AI307" s="24">
        <v>0.0</v>
      </c>
      <c r="AJ307" s="32">
        <f t="shared" si="4"/>
        <v>1</v>
      </c>
      <c r="AK307" s="32">
        <f t="shared" si="5"/>
        <v>1</v>
      </c>
      <c r="AL307" s="25">
        <f>'MASTER STOCK'!I304</f>
        <v>18000</v>
      </c>
      <c r="AM307" s="27">
        <f>'MASTER STOCK'!L304</f>
        <v>18000</v>
      </c>
      <c r="AN307" s="27">
        <f t="shared" si="6"/>
        <v>0</v>
      </c>
      <c r="AO307" s="26">
        <f t="shared" si="7"/>
        <v>0</v>
      </c>
      <c r="AP307" s="114">
        <f t="shared" si="8"/>
        <v>0</v>
      </c>
      <c r="AQ307" s="10"/>
    </row>
    <row r="308">
      <c r="A308" s="29" t="str">
        <f>'MASTER STOCK'!F305</f>
        <v>Sekrup  3cm</v>
      </c>
      <c r="B308" s="30">
        <f>'DES 25'!AJ:AJ</f>
        <v>20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23">
        <f t="shared" si="3"/>
        <v>0</v>
      </c>
      <c r="AI308" s="24">
        <v>0.0</v>
      </c>
      <c r="AJ308" s="32">
        <f t="shared" si="4"/>
        <v>20</v>
      </c>
      <c r="AK308" s="32">
        <f t="shared" si="5"/>
        <v>20</v>
      </c>
      <c r="AL308" s="25">
        <f>'MASTER STOCK'!I305</f>
        <v>0</v>
      </c>
      <c r="AM308" s="27">
        <f>'MASTER STOCK'!L305</f>
        <v>0</v>
      </c>
      <c r="AN308" s="27">
        <f t="shared" si="6"/>
        <v>0</v>
      </c>
      <c r="AO308" s="26">
        <f t="shared" si="7"/>
        <v>0</v>
      </c>
      <c r="AP308" s="114">
        <f t="shared" si="8"/>
        <v>0</v>
      </c>
      <c r="AQ308" s="10"/>
    </row>
    <row r="309">
      <c r="A309" s="29" t="str">
        <f>'MASTER STOCK'!F306</f>
        <v>Sekrup  2.5</v>
      </c>
      <c r="B309" s="30">
        <f>'DES 25'!AJ:AJ</f>
        <v>10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23">
        <f t="shared" si="3"/>
        <v>0</v>
      </c>
      <c r="AI309" s="24">
        <v>0.0</v>
      </c>
      <c r="AJ309" s="32">
        <f t="shared" si="4"/>
        <v>10</v>
      </c>
      <c r="AK309" s="32">
        <f t="shared" si="5"/>
        <v>10</v>
      </c>
      <c r="AL309" s="25">
        <f>'MASTER STOCK'!I306</f>
        <v>0</v>
      </c>
      <c r="AM309" s="27">
        <f>'MASTER STOCK'!L306</f>
        <v>0</v>
      </c>
      <c r="AN309" s="27">
        <f t="shared" si="6"/>
        <v>0</v>
      </c>
      <c r="AO309" s="26">
        <f t="shared" si="7"/>
        <v>0</v>
      </c>
      <c r="AP309" s="114">
        <f t="shared" si="8"/>
        <v>0</v>
      </c>
      <c r="AQ309" s="10"/>
    </row>
    <row r="310">
      <c r="A310" s="29" t="str">
        <f>'MASTER STOCK'!F307</f>
        <v>Roda etalase</v>
      </c>
      <c r="B310" s="30">
        <f>'DES 25'!AJ:AJ</f>
        <v>4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23">
        <f t="shared" si="3"/>
        <v>0</v>
      </c>
      <c r="AI310" s="24">
        <v>0.0</v>
      </c>
      <c r="AJ310" s="32">
        <f t="shared" si="4"/>
        <v>4</v>
      </c>
      <c r="AK310" s="32">
        <f t="shared" si="5"/>
        <v>4</v>
      </c>
      <c r="AL310" s="25">
        <f>'MASTER STOCK'!I307</f>
        <v>35000</v>
      </c>
      <c r="AM310" s="27">
        <f>'MASTER STOCK'!L307</f>
        <v>35000</v>
      </c>
      <c r="AN310" s="27">
        <f t="shared" si="6"/>
        <v>0</v>
      </c>
      <c r="AO310" s="26">
        <f t="shared" si="7"/>
        <v>0</v>
      </c>
      <c r="AP310" s="114">
        <f t="shared" si="8"/>
        <v>0</v>
      </c>
      <c r="AQ310" s="10"/>
    </row>
    <row r="311">
      <c r="A311" s="29" t="str">
        <f>'MASTER STOCK'!F308</f>
        <v>Gagang pintu besi  besar</v>
      </c>
      <c r="B311" s="30">
        <f>'DES 25'!AJ:AJ</f>
        <v>7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23">
        <f t="shared" si="3"/>
        <v>0</v>
      </c>
      <c r="AI311" s="24">
        <v>0.0</v>
      </c>
      <c r="AJ311" s="32">
        <f t="shared" si="4"/>
        <v>7</v>
      </c>
      <c r="AK311" s="32">
        <f t="shared" si="5"/>
        <v>7</v>
      </c>
      <c r="AL311" s="25">
        <f>'MASTER STOCK'!I308</f>
        <v>4500</v>
      </c>
      <c r="AM311" s="27">
        <f>'MASTER STOCK'!L308</f>
        <v>4500</v>
      </c>
      <c r="AN311" s="27">
        <f t="shared" si="6"/>
        <v>0</v>
      </c>
      <c r="AO311" s="26">
        <f t="shared" si="7"/>
        <v>0</v>
      </c>
      <c r="AP311" s="114">
        <f t="shared" si="8"/>
        <v>0</v>
      </c>
      <c r="AQ311" s="10"/>
    </row>
    <row r="312">
      <c r="A312" s="29" t="str">
        <f>'MASTER STOCK'!F309</f>
        <v>Gagang pintu besi  Kecil</v>
      </c>
      <c r="B312" s="30">
        <f>'DES 25'!AJ:AJ</f>
        <v>2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23">
        <f t="shared" si="3"/>
        <v>0</v>
      </c>
      <c r="AI312" s="24">
        <v>0.0</v>
      </c>
      <c r="AJ312" s="32">
        <f t="shared" si="4"/>
        <v>2</v>
      </c>
      <c r="AK312" s="32">
        <f t="shared" si="5"/>
        <v>2</v>
      </c>
      <c r="AL312" s="25">
        <f>'MASTER STOCK'!I309</f>
        <v>2000</v>
      </c>
      <c r="AM312" s="27">
        <f>'MASTER STOCK'!L309</f>
        <v>2000</v>
      </c>
      <c r="AN312" s="27">
        <f t="shared" si="6"/>
        <v>0</v>
      </c>
      <c r="AO312" s="26">
        <f t="shared" si="7"/>
        <v>0</v>
      </c>
      <c r="AP312" s="114">
        <f t="shared" si="8"/>
        <v>0</v>
      </c>
      <c r="AQ312" s="10"/>
    </row>
    <row r="313">
      <c r="A313" s="29" t="str">
        <f>'MASTER STOCK'!F310</f>
        <v>Sekrup  6 x 1</v>
      </c>
      <c r="B313" s="30">
        <f>'DES 25'!AJ:AJ</f>
        <v>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23">
        <f t="shared" si="3"/>
        <v>0</v>
      </c>
      <c r="AI313" s="24">
        <v>0.0</v>
      </c>
      <c r="AJ313" s="32">
        <f t="shared" si="4"/>
        <v>1</v>
      </c>
      <c r="AK313" s="32">
        <f t="shared" si="5"/>
        <v>1</v>
      </c>
      <c r="AL313" s="25">
        <f>'MASTER STOCK'!I310</f>
        <v>0</v>
      </c>
      <c r="AM313" s="27">
        <f>'MASTER STOCK'!L310</f>
        <v>0</v>
      </c>
      <c r="AN313" s="27">
        <f t="shared" si="6"/>
        <v>0</v>
      </c>
      <c r="AO313" s="26">
        <f t="shared" si="7"/>
        <v>0</v>
      </c>
      <c r="AP313" s="114">
        <f t="shared" si="8"/>
        <v>0</v>
      </c>
      <c r="AQ313" s="10"/>
    </row>
    <row r="314">
      <c r="A314" s="29" t="str">
        <f>'MASTER STOCK'!F311</f>
        <v>Klem kabel  8 mm</v>
      </c>
      <c r="B314" s="30">
        <f>'DES 25'!AJ:AJ</f>
        <v>4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23">
        <f t="shared" si="3"/>
        <v>0</v>
      </c>
      <c r="AI314" s="24">
        <v>0.0</v>
      </c>
      <c r="AJ314" s="32">
        <f t="shared" si="4"/>
        <v>4</v>
      </c>
      <c r="AK314" s="32">
        <f t="shared" si="5"/>
        <v>4</v>
      </c>
      <c r="AL314" s="25">
        <f>'MASTER STOCK'!I311</f>
        <v>14000</v>
      </c>
      <c r="AM314" s="27">
        <f>'MASTER STOCK'!L311</f>
        <v>14000</v>
      </c>
      <c r="AN314" s="27">
        <f t="shared" si="6"/>
        <v>0</v>
      </c>
      <c r="AO314" s="26">
        <f t="shared" si="7"/>
        <v>0</v>
      </c>
      <c r="AP314" s="114">
        <f t="shared" si="8"/>
        <v>0</v>
      </c>
      <c r="AQ314" s="10"/>
    </row>
    <row r="315">
      <c r="A315" s="29" t="str">
        <f>'MASTER STOCK'!F312</f>
        <v>Klem kabel  9 mm</v>
      </c>
      <c r="B315" s="30">
        <f>'DES 25'!AJ:AJ</f>
        <v>2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23">
        <f t="shared" si="3"/>
        <v>0</v>
      </c>
      <c r="AI315" s="24">
        <v>0.0</v>
      </c>
      <c r="AJ315" s="32">
        <f t="shared" si="4"/>
        <v>2</v>
      </c>
      <c r="AK315" s="32">
        <f t="shared" si="5"/>
        <v>2</v>
      </c>
      <c r="AL315" s="25">
        <f>'MASTER STOCK'!I312</f>
        <v>14000</v>
      </c>
      <c r="AM315" s="27">
        <f>'MASTER STOCK'!L312</f>
        <v>14000</v>
      </c>
      <c r="AN315" s="27">
        <f t="shared" si="6"/>
        <v>0</v>
      </c>
      <c r="AO315" s="26">
        <f t="shared" si="7"/>
        <v>0</v>
      </c>
      <c r="AP315" s="114">
        <f t="shared" si="8"/>
        <v>0</v>
      </c>
      <c r="AQ315" s="10"/>
    </row>
    <row r="316">
      <c r="A316" s="29" t="str">
        <f>'MASTER STOCK'!F313</f>
        <v>Fishcer 8 mm</v>
      </c>
      <c r="B316" s="30">
        <f>'DES 25'!AJ:AJ</f>
        <v>4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23">
        <f t="shared" si="3"/>
        <v>0</v>
      </c>
      <c r="AI316" s="24">
        <v>0.0</v>
      </c>
      <c r="AJ316" s="32">
        <f t="shared" si="4"/>
        <v>4</v>
      </c>
      <c r="AK316" s="32">
        <f t="shared" si="5"/>
        <v>4</v>
      </c>
      <c r="AL316" s="25">
        <f>'MASTER STOCK'!I313</f>
        <v>15000</v>
      </c>
      <c r="AM316" s="27">
        <f>'MASTER STOCK'!L313</f>
        <v>15000</v>
      </c>
      <c r="AN316" s="27">
        <f t="shared" si="6"/>
        <v>0</v>
      </c>
      <c r="AO316" s="26">
        <f t="shared" si="7"/>
        <v>0</v>
      </c>
      <c r="AP316" s="114">
        <f t="shared" si="8"/>
        <v>0</v>
      </c>
      <c r="AQ316" s="10"/>
    </row>
    <row r="317">
      <c r="A317" s="29" t="str">
        <f>'MASTER STOCK'!F314</f>
        <v>Fishcer 5 mm</v>
      </c>
      <c r="B317" s="30">
        <f>'DES 25'!AJ:AJ</f>
        <v>3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23">
        <f t="shared" si="3"/>
        <v>0</v>
      </c>
      <c r="AI317" s="24">
        <v>0.0</v>
      </c>
      <c r="AJ317" s="32">
        <f t="shared" si="4"/>
        <v>3</v>
      </c>
      <c r="AK317" s="32">
        <f t="shared" si="5"/>
        <v>3</v>
      </c>
      <c r="AL317" s="25">
        <f>'MASTER STOCK'!I314</f>
        <v>10000</v>
      </c>
      <c r="AM317" s="27">
        <f>'MASTER STOCK'!L314</f>
        <v>10000</v>
      </c>
      <c r="AN317" s="27">
        <f t="shared" si="6"/>
        <v>0</v>
      </c>
      <c r="AO317" s="26">
        <f t="shared" si="7"/>
        <v>0</v>
      </c>
      <c r="AP317" s="114">
        <f t="shared" si="8"/>
        <v>0</v>
      </c>
      <c r="AQ317" s="10"/>
    </row>
    <row r="318">
      <c r="A318" s="29" t="str">
        <f>'MASTER STOCK'!F315</f>
        <v>Kran besi 3/4</v>
      </c>
      <c r="B318" s="30">
        <f>'DES 25'!AJ:AJ</f>
        <v>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22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23">
        <f t="shared" si="3"/>
        <v>0</v>
      </c>
      <c r="AI318" s="24">
        <v>0.0</v>
      </c>
      <c r="AJ318" s="32">
        <f t="shared" si="4"/>
        <v>1</v>
      </c>
      <c r="AK318" s="32">
        <f t="shared" si="5"/>
        <v>1</v>
      </c>
      <c r="AL318" s="25">
        <f>'MASTER STOCK'!I315</f>
        <v>27500</v>
      </c>
      <c r="AM318" s="27">
        <f>'MASTER STOCK'!L315</f>
        <v>27500</v>
      </c>
      <c r="AN318" s="27">
        <f t="shared" si="6"/>
        <v>0</v>
      </c>
      <c r="AO318" s="26">
        <f t="shared" si="7"/>
        <v>0</v>
      </c>
      <c r="AP318" s="114">
        <f t="shared" si="8"/>
        <v>0</v>
      </c>
      <c r="AQ318" s="10"/>
    </row>
    <row r="319">
      <c r="A319" s="29" t="str">
        <f>'MASTER STOCK'!F316</f>
        <v>Gunting tanggung</v>
      </c>
      <c r="B319" s="30">
        <f>'DES 25'!AJ:AJ</f>
        <v>2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23">
        <f t="shared" si="3"/>
        <v>0</v>
      </c>
      <c r="AI319" s="24">
        <v>0.0</v>
      </c>
      <c r="AJ319" s="32">
        <f t="shared" si="4"/>
        <v>2</v>
      </c>
      <c r="AK319" s="32">
        <f t="shared" si="5"/>
        <v>2</v>
      </c>
      <c r="AL319" s="25">
        <f>'MASTER STOCK'!I316</f>
        <v>10000</v>
      </c>
      <c r="AM319" s="27">
        <f>'MASTER STOCK'!L316</f>
        <v>10000</v>
      </c>
      <c r="AN319" s="27">
        <f t="shared" si="6"/>
        <v>0</v>
      </c>
      <c r="AO319" s="26">
        <f t="shared" si="7"/>
        <v>0</v>
      </c>
      <c r="AP319" s="114">
        <f t="shared" si="8"/>
        <v>0</v>
      </c>
      <c r="AQ319" s="10"/>
    </row>
    <row r="320">
      <c r="A320" s="29" t="str">
        <f>'MASTER STOCK'!F317</f>
        <v>Stop kran PVC onda 3/4</v>
      </c>
      <c r="B320" s="30">
        <f>'DES 25'!AJ:AJ</f>
        <v>0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22"/>
      <c r="R320" s="10"/>
      <c r="S320" s="10"/>
      <c r="T320" s="10"/>
      <c r="U320" s="10"/>
      <c r="V320" s="22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23">
        <f t="shared" si="3"/>
        <v>0</v>
      </c>
      <c r="AI320" s="24">
        <v>0.0</v>
      </c>
      <c r="AJ320" s="32">
        <f t="shared" si="4"/>
        <v>0</v>
      </c>
      <c r="AK320" s="32">
        <f t="shared" si="5"/>
        <v>0</v>
      </c>
      <c r="AL320" s="25">
        <f>'MASTER STOCK'!I317</f>
        <v>31000</v>
      </c>
      <c r="AM320" s="27">
        <f>'MASTER STOCK'!L317</f>
        <v>31000</v>
      </c>
      <c r="AN320" s="27">
        <f t="shared" si="6"/>
        <v>0</v>
      </c>
      <c r="AO320" s="26">
        <f t="shared" si="7"/>
        <v>0</v>
      </c>
      <c r="AP320" s="114">
        <f t="shared" si="8"/>
        <v>0</v>
      </c>
      <c r="AQ320" s="10"/>
    </row>
    <row r="321">
      <c r="A321" s="29" t="str">
        <f>'MASTER STOCK'!F318</f>
        <v>Stop kran PVC move 1/2</v>
      </c>
      <c r="B321" s="30">
        <f>'DES 25'!AJ:AJ</f>
        <v>3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22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23">
        <f t="shared" si="3"/>
        <v>0</v>
      </c>
      <c r="AI321" s="24">
        <v>0.0</v>
      </c>
      <c r="AJ321" s="32">
        <f t="shared" si="4"/>
        <v>3</v>
      </c>
      <c r="AK321" s="32">
        <f t="shared" si="5"/>
        <v>3</v>
      </c>
      <c r="AL321" s="25">
        <f>'MASTER STOCK'!I318</f>
        <v>21000</v>
      </c>
      <c r="AM321" s="27">
        <f>'MASTER STOCK'!L318</f>
        <v>21000</v>
      </c>
      <c r="AN321" s="27">
        <f t="shared" si="6"/>
        <v>0</v>
      </c>
      <c r="AO321" s="26">
        <f t="shared" si="7"/>
        <v>0</v>
      </c>
      <c r="AP321" s="114">
        <f t="shared" si="8"/>
        <v>0</v>
      </c>
      <c r="AQ321" s="10"/>
    </row>
    <row r="322">
      <c r="A322" s="29" t="str">
        <f>'MASTER STOCK'!F319</f>
        <v>Ungkal</v>
      </c>
      <c r="B322" s="30">
        <f>'DES 25'!AJ:AJ</f>
        <v>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23">
        <f t="shared" si="3"/>
        <v>0</v>
      </c>
      <c r="AI322" s="24">
        <v>0.0</v>
      </c>
      <c r="AJ322" s="32">
        <f t="shared" si="4"/>
        <v>1</v>
      </c>
      <c r="AK322" s="32">
        <f t="shared" si="5"/>
        <v>1</v>
      </c>
      <c r="AL322" s="25">
        <f>'MASTER STOCK'!I319</f>
        <v>22500</v>
      </c>
      <c r="AM322" s="27">
        <f>'MASTER STOCK'!L319</f>
        <v>22500</v>
      </c>
      <c r="AN322" s="27">
        <f t="shared" si="6"/>
        <v>0</v>
      </c>
      <c r="AO322" s="26">
        <f t="shared" si="7"/>
        <v>0</v>
      </c>
      <c r="AP322" s="114">
        <f t="shared" si="8"/>
        <v>0</v>
      </c>
      <c r="AQ322" s="10"/>
    </row>
    <row r="323">
      <c r="A323" s="29" t="str">
        <f>'MASTER STOCK'!F320</f>
        <v>Stop kran PVC jia rong 1</v>
      </c>
      <c r="B323" s="30">
        <f>'DES 25'!AJ:AJ</f>
        <v>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23">
        <f t="shared" si="3"/>
        <v>0</v>
      </c>
      <c r="AI323" s="24">
        <v>0.0</v>
      </c>
      <c r="AJ323" s="32">
        <f t="shared" si="4"/>
        <v>1</v>
      </c>
      <c r="AK323" s="32">
        <f t="shared" si="5"/>
        <v>1</v>
      </c>
      <c r="AL323" s="25">
        <f>'MASTER STOCK'!I320</f>
        <v>28500</v>
      </c>
      <c r="AM323" s="27">
        <f>'MASTER STOCK'!L320</f>
        <v>28500</v>
      </c>
      <c r="AN323" s="27">
        <f t="shared" si="6"/>
        <v>0</v>
      </c>
      <c r="AO323" s="26">
        <f t="shared" si="7"/>
        <v>0</v>
      </c>
      <c r="AP323" s="114">
        <f t="shared" si="8"/>
        <v>0</v>
      </c>
      <c r="AQ323" s="10"/>
    </row>
    <row r="324">
      <c r="A324" s="29" t="str">
        <f>'MASTER STOCK'!F321</f>
        <v>Stop kran move 1</v>
      </c>
      <c r="B324" s="30">
        <f>'DES 25'!AJ:AJ</f>
        <v>2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23">
        <f t="shared" si="3"/>
        <v>0</v>
      </c>
      <c r="AI324" s="24">
        <v>0.0</v>
      </c>
      <c r="AJ324" s="32">
        <f t="shared" si="4"/>
        <v>2</v>
      </c>
      <c r="AK324" s="32">
        <f t="shared" si="5"/>
        <v>2</v>
      </c>
      <c r="AL324" s="25">
        <f>'MASTER STOCK'!I321</f>
        <v>21000</v>
      </c>
      <c r="AM324" s="27">
        <f>'MASTER STOCK'!L321</f>
        <v>21000</v>
      </c>
      <c r="AN324" s="27">
        <f t="shared" si="6"/>
        <v>0</v>
      </c>
      <c r="AO324" s="26">
        <f t="shared" si="7"/>
        <v>0</v>
      </c>
      <c r="AP324" s="114">
        <f t="shared" si="8"/>
        <v>0</v>
      </c>
      <c r="AQ324" s="10"/>
    </row>
    <row r="325">
      <c r="A325" s="29" t="str">
        <f>'MASTER STOCK'!F322</f>
        <v>Pegangan laci/ lemari  3</v>
      </c>
      <c r="B325" s="30">
        <f>'DES 25'!AJ:AJ</f>
        <v>21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23">
        <f t="shared" si="3"/>
        <v>0</v>
      </c>
      <c r="AI325" s="24">
        <v>0.0</v>
      </c>
      <c r="AJ325" s="32">
        <f t="shared" si="4"/>
        <v>21</v>
      </c>
      <c r="AK325" s="32">
        <f t="shared" si="5"/>
        <v>21</v>
      </c>
      <c r="AL325" s="25">
        <f>'MASTER STOCK'!I322</f>
        <v>1500</v>
      </c>
      <c r="AM325" s="27">
        <f>'MASTER STOCK'!L322</f>
        <v>1500</v>
      </c>
      <c r="AN325" s="27">
        <f t="shared" si="6"/>
        <v>0</v>
      </c>
      <c r="AO325" s="26">
        <f t="shared" si="7"/>
        <v>0</v>
      </c>
      <c r="AP325" s="114">
        <f t="shared" si="8"/>
        <v>0</v>
      </c>
      <c r="AQ325" s="10"/>
    </row>
    <row r="326">
      <c r="A326" s="29" t="str">
        <f>'MASTER STOCK'!F323</f>
        <v>Pegangan laci/ lemari  4</v>
      </c>
      <c r="B326" s="30">
        <f>'DES 25'!AJ:AJ</f>
        <v>5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23">
        <f t="shared" si="3"/>
        <v>0</v>
      </c>
      <c r="AI326" s="24">
        <v>0.0</v>
      </c>
      <c r="AJ326" s="32">
        <f t="shared" si="4"/>
        <v>5</v>
      </c>
      <c r="AK326" s="32">
        <f t="shared" si="5"/>
        <v>5</v>
      </c>
      <c r="AL326" s="25">
        <f>'MASTER STOCK'!I323</f>
        <v>2000</v>
      </c>
      <c r="AM326" s="27">
        <f>'MASTER STOCK'!L323</f>
        <v>2000</v>
      </c>
      <c r="AN326" s="27">
        <f t="shared" si="6"/>
        <v>0</v>
      </c>
      <c r="AO326" s="26">
        <f t="shared" si="7"/>
        <v>0</v>
      </c>
      <c r="AP326" s="114">
        <f t="shared" si="8"/>
        <v>0</v>
      </c>
      <c r="AQ326" s="10"/>
    </row>
    <row r="327">
      <c r="A327" s="29" t="str">
        <f>'MASTER STOCK'!F324</f>
        <v>cutter besar</v>
      </c>
      <c r="B327" s="30">
        <f>'DES 25'!AJ:AJ</f>
        <v>3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23">
        <f t="shared" si="3"/>
        <v>0</v>
      </c>
      <c r="AI327" s="24">
        <v>0.0</v>
      </c>
      <c r="AJ327" s="32">
        <f t="shared" si="4"/>
        <v>3</v>
      </c>
      <c r="AK327" s="32">
        <f t="shared" si="5"/>
        <v>3</v>
      </c>
      <c r="AL327" s="25">
        <f>'MASTER STOCK'!I324</f>
        <v>5000</v>
      </c>
      <c r="AM327" s="27">
        <f>'MASTER STOCK'!L324</f>
        <v>5000</v>
      </c>
      <c r="AN327" s="27">
        <f t="shared" si="6"/>
        <v>0</v>
      </c>
      <c r="AO327" s="26">
        <f t="shared" si="7"/>
        <v>0</v>
      </c>
      <c r="AP327" s="114">
        <f t="shared" si="8"/>
        <v>0</v>
      </c>
      <c r="AQ327" s="10"/>
    </row>
    <row r="328">
      <c r="A328" s="29" t="str">
        <f>'MASTER STOCK'!F325</f>
        <v>Paku beton 1</v>
      </c>
      <c r="B328" s="30">
        <f>'DES 25'!AJ:AJ</f>
        <v>2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23">
        <f t="shared" si="3"/>
        <v>0</v>
      </c>
      <c r="AI328" s="24">
        <v>0.0</v>
      </c>
      <c r="AJ328" s="32">
        <f t="shared" si="4"/>
        <v>2</v>
      </c>
      <c r="AK328" s="32">
        <f t="shared" si="5"/>
        <v>2</v>
      </c>
      <c r="AL328" s="25">
        <f>'MASTER STOCK'!I325</f>
        <v>14000</v>
      </c>
      <c r="AM328" s="27">
        <f>'MASTER STOCK'!L325</f>
        <v>14000</v>
      </c>
      <c r="AN328" s="27">
        <f t="shared" si="6"/>
        <v>0</v>
      </c>
      <c r="AO328" s="26">
        <f t="shared" si="7"/>
        <v>0</v>
      </c>
      <c r="AP328" s="114">
        <f t="shared" si="8"/>
        <v>0</v>
      </c>
      <c r="AQ328" s="10"/>
    </row>
    <row r="329">
      <c r="A329" s="29" t="str">
        <f>'MASTER STOCK'!F326</f>
        <v>Footklem PVC 1 royal 3/4</v>
      </c>
      <c r="B329" s="30">
        <f>'DES 25'!AJ:AJ</f>
        <v>2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22">
        <v>1.0</v>
      </c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23">
        <f t="shared" si="3"/>
        <v>1</v>
      </c>
      <c r="AI329" s="24">
        <v>0.0</v>
      </c>
      <c r="AJ329" s="32">
        <f t="shared" si="4"/>
        <v>1</v>
      </c>
      <c r="AK329" s="32">
        <f t="shared" si="5"/>
        <v>1</v>
      </c>
      <c r="AL329" s="25">
        <f>'MASTER STOCK'!I326</f>
        <v>16500</v>
      </c>
      <c r="AM329" s="27">
        <f>'MASTER STOCK'!L326</f>
        <v>16500</v>
      </c>
      <c r="AN329" s="27">
        <f t="shared" si="6"/>
        <v>16500</v>
      </c>
      <c r="AO329" s="26">
        <f t="shared" si="7"/>
        <v>0</v>
      </c>
      <c r="AP329" s="114">
        <f t="shared" si="8"/>
        <v>16500</v>
      </c>
      <c r="AQ329" s="10"/>
    </row>
    <row r="330">
      <c r="A330" s="29" t="str">
        <f>'MASTER STOCK'!F327</f>
        <v>Footklem PVC 1 royal 1</v>
      </c>
      <c r="B330" s="30">
        <f>'DES 25'!AJ:AJ</f>
        <v>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23">
        <f t="shared" si="3"/>
        <v>0</v>
      </c>
      <c r="AI330" s="24">
        <v>0.0</v>
      </c>
      <c r="AJ330" s="32">
        <f t="shared" si="4"/>
        <v>1</v>
      </c>
      <c r="AK330" s="32">
        <f t="shared" si="5"/>
        <v>1</v>
      </c>
      <c r="AL330" s="25">
        <f>'MASTER STOCK'!I327</f>
        <v>17000</v>
      </c>
      <c r="AM330" s="27">
        <f>'MASTER STOCK'!L327</f>
        <v>17000</v>
      </c>
      <c r="AN330" s="27">
        <f t="shared" si="6"/>
        <v>0</v>
      </c>
      <c r="AO330" s="26">
        <f t="shared" si="7"/>
        <v>0</v>
      </c>
      <c r="AP330" s="114">
        <f t="shared" si="8"/>
        <v>0</v>
      </c>
      <c r="AQ330" s="10"/>
    </row>
    <row r="331">
      <c r="A331" s="29" t="str">
        <f>'MASTER STOCK'!F328</f>
        <v>Tinner 1/2liter</v>
      </c>
      <c r="B331" s="30">
        <f>'DES 25'!AJ:AJ</f>
        <v>3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23">
        <f t="shared" si="3"/>
        <v>0</v>
      </c>
      <c r="AI331" s="24">
        <v>0.0</v>
      </c>
      <c r="AJ331" s="32">
        <f t="shared" si="4"/>
        <v>3</v>
      </c>
      <c r="AK331" s="32">
        <f t="shared" si="5"/>
        <v>3</v>
      </c>
      <c r="AL331" s="25">
        <f>'MASTER STOCK'!I328</f>
        <v>20000</v>
      </c>
      <c r="AM331" s="27">
        <f>'MASTER STOCK'!L328</f>
        <v>20000</v>
      </c>
      <c r="AN331" s="27">
        <f t="shared" si="6"/>
        <v>0</v>
      </c>
      <c r="AO331" s="26">
        <f t="shared" si="7"/>
        <v>0</v>
      </c>
      <c r="AP331" s="114">
        <f t="shared" si="8"/>
        <v>0</v>
      </c>
      <c r="AQ331" s="10"/>
    </row>
    <row r="332">
      <c r="A332" s="29" t="str">
        <f>'MASTER STOCK'!F329</f>
        <v>Cat emco</v>
      </c>
      <c r="B332" s="30">
        <f>'DES 25'!AJ:AJ</f>
        <v>3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23">
        <f t="shared" si="3"/>
        <v>0</v>
      </c>
      <c r="AI332" s="24">
        <v>0.0</v>
      </c>
      <c r="AJ332" s="32">
        <f t="shared" si="4"/>
        <v>3</v>
      </c>
      <c r="AK332" s="32">
        <f t="shared" si="5"/>
        <v>3</v>
      </c>
      <c r="AL332" s="25">
        <f>'MASTER STOCK'!I329</f>
        <v>22000</v>
      </c>
      <c r="AM332" s="27">
        <f>'MASTER STOCK'!L329</f>
        <v>22000</v>
      </c>
      <c r="AN332" s="27">
        <f t="shared" si="6"/>
        <v>0</v>
      </c>
      <c r="AO332" s="26">
        <f t="shared" si="7"/>
        <v>0</v>
      </c>
      <c r="AP332" s="114">
        <f t="shared" si="8"/>
        <v>0</v>
      </c>
      <c r="AQ332" s="10"/>
    </row>
    <row r="333">
      <c r="A333" s="29" t="str">
        <f>'MASTER STOCK'!F330</f>
        <v>Cat kayu avian 25cc</v>
      </c>
      <c r="B333" s="30">
        <f>'DES 25'!AJ:AJ</f>
        <v>-1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22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23">
        <f t="shared" si="3"/>
        <v>0</v>
      </c>
      <c r="AI333" s="24">
        <v>0.0</v>
      </c>
      <c r="AJ333" s="32">
        <f t="shared" si="4"/>
        <v>-1</v>
      </c>
      <c r="AK333" s="32">
        <f t="shared" si="5"/>
        <v>-1</v>
      </c>
      <c r="AL333" s="25">
        <f>'MASTER STOCK'!I330</f>
        <v>5500</v>
      </c>
      <c r="AM333" s="27">
        <f>'MASTER STOCK'!L330</f>
        <v>5500</v>
      </c>
      <c r="AN333" s="27">
        <f t="shared" si="6"/>
        <v>0</v>
      </c>
      <c r="AO333" s="26">
        <f t="shared" si="7"/>
        <v>0</v>
      </c>
      <c r="AP333" s="114">
        <f t="shared" si="8"/>
        <v>0</v>
      </c>
      <c r="AQ333" s="10"/>
    </row>
    <row r="334">
      <c r="A334" s="29" t="str">
        <f>'MASTER STOCK'!F331</f>
        <v>Engsel Pintu</v>
      </c>
      <c r="B334" s="30">
        <f>'DES 25'!AJ:AJ</f>
        <v>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23">
        <f t="shared" si="3"/>
        <v>0</v>
      </c>
      <c r="AI334" s="24">
        <v>0.0</v>
      </c>
      <c r="AJ334" s="32">
        <f t="shared" si="4"/>
        <v>1</v>
      </c>
      <c r="AK334" s="32">
        <f t="shared" si="5"/>
        <v>1</v>
      </c>
      <c r="AL334" s="25">
        <f>'MASTER STOCK'!I331</f>
        <v>23000</v>
      </c>
      <c r="AM334" s="27">
        <f>'MASTER STOCK'!L331</f>
        <v>23000</v>
      </c>
      <c r="AN334" s="27">
        <f t="shared" si="6"/>
        <v>0</v>
      </c>
      <c r="AO334" s="26">
        <f t="shared" si="7"/>
        <v>0</v>
      </c>
      <c r="AP334" s="114">
        <f t="shared" si="8"/>
        <v>0</v>
      </c>
      <c r="AQ334" s="10"/>
    </row>
    <row r="335">
      <c r="A335" s="29" t="str">
        <f>'MASTER STOCK'!F332</f>
        <v>Lem tikus</v>
      </c>
      <c r="B335" s="30">
        <f>'DES 25'!AJ:AJ</f>
        <v>2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23">
        <f t="shared" si="3"/>
        <v>0</v>
      </c>
      <c r="AI335" s="24">
        <v>0.0</v>
      </c>
      <c r="AJ335" s="32">
        <f t="shared" si="4"/>
        <v>2</v>
      </c>
      <c r="AK335" s="32">
        <f t="shared" si="5"/>
        <v>2</v>
      </c>
      <c r="AL335" s="25">
        <f>'MASTER STOCK'!I332</f>
        <v>21000</v>
      </c>
      <c r="AM335" s="27">
        <f>'MASTER STOCK'!L332</f>
        <v>21000</v>
      </c>
      <c r="AN335" s="27">
        <f t="shared" si="6"/>
        <v>0</v>
      </c>
      <c r="AO335" s="26">
        <f t="shared" si="7"/>
        <v>0</v>
      </c>
      <c r="AP335" s="114">
        <f t="shared" si="8"/>
        <v>0</v>
      </c>
      <c r="AQ335" s="10"/>
    </row>
    <row r="336">
      <c r="A336" s="29" t="str">
        <f>'MASTER STOCK'!F333</f>
        <v>Catut 6"</v>
      </c>
      <c r="B336" s="30">
        <f>'DES 25'!AJ:AJ</f>
        <v>6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23">
        <f t="shared" si="3"/>
        <v>0</v>
      </c>
      <c r="AI336" s="24">
        <v>0.0</v>
      </c>
      <c r="AJ336" s="32">
        <f t="shared" si="4"/>
        <v>6</v>
      </c>
      <c r="AK336" s="32">
        <f t="shared" si="5"/>
        <v>6</v>
      </c>
      <c r="AL336" s="25">
        <f>'MASTER STOCK'!I333</f>
        <v>15000</v>
      </c>
      <c r="AM336" s="27">
        <f>'MASTER STOCK'!L333</f>
        <v>15000</v>
      </c>
      <c r="AN336" s="27">
        <f t="shared" si="6"/>
        <v>0</v>
      </c>
      <c r="AO336" s="26">
        <f t="shared" si="7"/>
        <v>0</v>
      </c>
      <c r="AP336" s="114">
        <f t="shared" si="8"/>
        <v>0</v>
      </c>
      <c r="AQ336" s="10"/>
    </row>
    <row r="337">
      <c r="A337" s="29" t="str">
        <f>'MASTER STOCK'!F334</f>
        <v>Catut 9"</v>
      </c>
      <c r="B337" s="30">
        <f>'DES 25'!AJ:AJ</f>
        <v>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23">
        <f t="shared" si="3"/>
        <v>0</v>
      </c>
      <c r="AI337" s="24">
        <v>0.0</v>
      </c>
      <c r="AJ337" s="32">
        <f t="shared" si="4"/>
        <v>1</v>
      </c>
      <c r="AK337" s="32">
        <f t="shared" si="5"/>
        <v>1</v>
      </c>
      <c r="AL337" s="25">
        <f>'MASTER STOCK'!I334</f>
        <v>17000</v>
      </c>
      <c r="AM337" s="27">
        <f>'MASTER STOCK'!L334</f>
        <v>17000</v>
      </c>
      <c r="AN337" s="27">
        <f t="shared" si="6"/>
        <v>0</v>
      </c>
      <c r="AO337" s="26">
        <f t="shared" si="7"/>
        <v>0</v>
      </c>
      <c r="AP337" s="114">
        <f t="shared" si="8"/>
        <v>0</v>
      </c>
      <c r="AQ337" s="10"/>
    </row>
    <row r="338">
      <c r="A338" s="29" t="str">
        <f>'MASTER STOCK'!F335</f>
        <v>Kunci  lemari/laci</v>
      </c>
      <c r="B338" s="30">
        <f>'DES 25'!AJ:AJ</f>
        <v>10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23">
        <f t="shared" si="3"/>
        <v>0</v>
      </c>
      <c r="AI338" s="24">
        <v>0.0</v>
      </c>
      <c r="AJ338" s="32">
        <f t="shared" si="4"/>
        <v>10</v>
      </c>
      <c r="AK338" s="32">
        <f t="shared" si="5"/>
        <v>10</v>
      </c>
      <c r="AL338" s="25">
        <f>'MASTER STOCK'!I335</f>
        <v>20000</v>
      </c>
      <c r="AM338" s="27">
        <f>'MASTER STOCK'!L335</f>
        <v>20000</v>
      </c>
      <c r="AN338" s="27">
        <f t="shared" si="6"/>
        <v>0</v>
      </c>
      <c r="AO338" s="26">
        <f t="shared" si="7"/>
        <v>0</v>
      </c>
      <c r="AP338" s="114">
        <f t="shared" si="8"/>
        <v>0</v>
      </c>
      <c r="AQ338" s="10"/>
    </row>
    <row r="339">
      <c r="A339" s="29" t="str">
        <f>'MASTER STOCK'!F336</f>
        <v>Microphone</v>
      </c>
      <c r="B339" s="30">
        <f>'DES 25'!AJ:AJ</f>
        <v>3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23">
        <f t="shared" si="3"/>
        <v>0</v>
      </c>
      <c r="AI339" s="24">
        <v>0.0</v>
      </c>
      <c r="AJ339" s="32">
        <f t="shared" si="4"/>
        <v>3</v>
      </c>
      <c r="AK339" s="32">
        <f t="shared" si="5"/>
        <v>3</v>
      </c>
      <c r="AL339" s="25">
        <f>'MASTER STOCK'!I336</f>
        <v>75000</v>
      </c>
      <c r="AM339" s="27">
        <f>'MASTER STOCK'!L336</f>
        <v>75000</v>
      </c>
      <c r="AN339" s="27">
        <f t="shared" si="6"/>
        <v>0</v>
      </c>
      <c r="AO339" s="26">
        <f t="shared" si="7"/>
        <v>0</v>
      </c>
      <c r="AP339" s="114">
        <f t="shared" si="8"/>
        <v>0</v>
      </c>
      <c r="AQ339" s="10"/>
    </row>
    <row r="340">
      <c r="A340" s="29" t="str">
        <f>'MASTER STOCK'!F337</f>
        <v>Isolasi kecil</v>
      </c>
      <c r="B340" s="30">
        <f>'DES 25'!AJ:AJ</f>
        <v>2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23">
        <f t="shared" si="3"/>
        <v>0</v>
      </c>
      <c r="AI340" s="24">
        <v>0.0</v>
      </c>
      <c r="AJ340" s="32">
        <f t="shared" si="4"/>
        <v>2</v>
      </c>
      <c r="AK340" s="32">
        <f t="shared" si="5"/>
        <v>2</v>
      </c>
      <c r="AL340" s="25">
        <f>'MASTER STOCK'!I337</f>
        <v>3000</v>
      </c>
      <c r="AM340" s="27">
        <f>'MASTER STOCK'!L337</f>
        <v>3000</v>
      </c>
      <c r="AN340" s="27">
        <f t="shared" si="6"/>
        <v>0</v>
      </c>
      <c r="AO340" s="26">
        <f t="shared" si="7"/>
        <v>0</v>
      </c>
      <c r="AP340" s="114">
        <f t="shared" si="8"/>
        <v>0</v>
      </c>
      <c r="AQ340" s="10"/>
    </row>
    <row r="341">
      <c r="A341" s="29" t="str">
        <f>'MASTER STOCK'!F338</f>
        <v>Lakban coklat</v>
      </c>
      <c r="B341" s="30">
        <f>'DES 25'!AJ:AJ</f>
        <v>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23">
        <f t="shared" si="3"/>
        <v>0</v>
      </c>
      <c r="AI341" s="24">
        <v>0.0</v>
      </c>
      <c r="AJ341" s="32">
        <f t="shared" si="4"/>
        <v>1</v>
      </c>
      <c r="AK341" s="32">
        <f t="shared" si="5"/>
        <v>1</v>
      </c>
      <c r="AL341" s="25">
        <f>'MASTER STOCK'!I338</f>
        <v>15000</v>
      </c>
      <c r="AM341" s="27">
        <f>'MASTER STOCK'!L338</f>
        <v>15000</v>
      </c>
      <c r="AN341" s="27">
        <f t="shared" si="6"/>
        <v>0</v>
      </c>
      <c r="AO341" s="26">
        <f t="shared" si="7"/>
        <v>0</v>
      </c>
      <c r="AP341" s="114">
        <f t="shared" si="8"/>
        <v>0</v>
      </c>
      <c r="AQ341" s="10"/>
    </row>
    <row r="342">
      <c r="A342" s="29" t="str">
        <f>'MASTER STOCK'!F339</f>
        <v>Fiberglass tape</v>
      </c>
      <c r="B342" s="30">
        <f>'DES 25'!AJ:AJ</f>
        <v>5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23">
        <f t="shared" si="3"/>
        <v>0</v>
      </c>
      <c r="AI342" s="24">
        <v>0.0</v>
      </c>
      <c r="AJ342" s="32">
        <f t="shared" si="4"/>
        <v>5</v>
      </c>
      <c r="AK342" s="32">
        <f t="shared" si="5"/>
        <v>5</v>
      </c>
      <c r="AL342" s="25">
        <f>'MASTER STOCK'!I339</f>
        <v>10000</v>
      </c>
      <c r="AM342" s="27">
        <f>'MASTER STOCK'!L339</f>
        <v>10000</v>
      </c>
      <c r="AN342" s="27">
        <f t="shared" si="6"/>
        <v>0</v>
      </c>
      <c r="AO342" s="26">
        <f t="shared" si="7"/>
        <v>0</v>
      </c>
      <c r="AP342" s="114">
        <f t="shared" si="8"/>
        <v>0</v>
      </c>
      <c r="AQ342" s="10"/>
    </row>
    <row r="343">
      <c r="A343" s="29" t="str">
        <f>'MASTER STOCK'!F340</f>
        <v>Gembok 40m</v>
      </c>
      <c r="B343" s="30">
        <f>'DES 25'!AJ:AJ</f>
        <v>4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23">
        <f t="shared" si="3"/>
        <v>0</v>
      </c>
      <c r="AI343" s="24">
        <v>0.0</v>
      </c>
      <c r="AJ343" s="32">
        <f t="shared" si="4"/>
        <v>4</v>
      </c>
      <c r="AK343" s="32">
        <f t="shared" si="5"/>
        <v>4</v>
      </c>
      <c r="AL343" s="25">
        <f>'MASTER STOCK'!I340</f>
        <v>18000</v>
      </c>
      <c r="AM343" s="27">
        <f>'MASTER STOCK'!L340</f>
        <v>18000</v>
      </c>
      <c r="AN343" s="27">
        <f t="shared" si="6"/>
        <v>0</v>
      </c>
      <c r="AO343" s="26">
        <f t="shared" si="7"/>
        <v>0</v>
      </c>
      <c r="AP343" s="114">
        <f t="shared" si="8"/>
        <v>0</v>
      </c>
      <c r="AQ343" s="10"/>
    </row>
    <row r="344">
      <c r="A344" s="29" t="str">
        <f>'MASTER STOCK'!F341</f>
        <v>Gembok 35 m</v>
      </c>
      <c r="B344" s="30">
        <f>'DES 25'!AJ:AJ</f>
        <v>2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23">
        <f t="shared" si="3"/>
        <v>0</v>
      </c>
      <c r="AI344" s="24">
        <v>0.0</v>
      </c>
      <c r="AJ344" s="32">
        <f t="shared" si="4"/>
        <v>2</v>
      </c>
      <c r="AK344" s="32">
        <f t="shared" si="5"/>
        <v>2</v>
      </c>
      <c r="AL344" s="25">
        <f>'MASTER STOCK'!I341</f>
        <v>15000</v>
      </c>
      <c r="AM344" s="27">
        <f>'MASTER STOCK'!L341</f>
        <v>15000</v>
      </c>
      <c r="AN344" s="27">
        <f t="shared" si="6"/>
        <v>0</v>
      </c>
      <c r="AO344" s="26">
        <f t="shared" si="7"/>
        <v>0</v>
      </c>
      <c r="AP344" s="114">
        <f t="shared" si="8"/>
        <v>0</v>
      </c>
      <c r="AQ344" s="10"/>
    </row>
    <row r="345">
      <c r="A345" s="29" t="str">
        <f>'MASTER STOCK'!F342</f>
        <v>Gembok 25mm</v>
      </c>
      <c r="B345" s="30">
        <f>'DES 25'!AJ:AJ</f>
        <v>3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23">
        <f t="shared" si="3"/>
        <v>0</v>
      </c>
      <c r="AI345" s="24">
        <v>0.0</v>
      </c>
      <c r="AJ345" s="32">
        <f t="shared" si="4"/>
        <v>3</v>
      </c>
      <c r="AK345" s="32">
        <f t="shared" si="5"/>
        <v>3</v>
      </c>
      <c r="AL345" s="25">
        <f>'MASTER STOCK'!I342</f>
        <v>13000</v>
      </c>
      <c r="AM345" s="27">
        <f>'MASTER STOCK'!L342</f>
        <v>13000</v>
      </c>
      <c r="AN345" s="27">
        <f t="shared" si="6"/>
        <v>0</v>
      </c>
      <c r="AO345" s="26">
        <f t="shared" si="7"/>
        <v>0</v>
      </c>
      <c r="AP345" s="114">
        <f t="shared" si="8"/>
        <v>0</v>
      </c>
      <c r="AQ345" s="10"/>
    </row>
    <row r="346">
      <c r="A346" s="29" t="str">
        <f>'MASTER STOCK'!F343</f>
        <v>Microphone mini clip</v>
      </c>
      <c r="B346" s="30">
        <f>'DES 25'!AJ:AJ</f>
        <v>2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23">
        <f t="shared" si="3"/>
        <v>0</v>
      </c>
      <c r="AI346" s="24">
        <v>0.0</v>
      </c>
      <c r="AJ346" s="32">
        <f t="shared" si="4"/>
        <v>2</v>
      </c>
      <c r="AK346" s="32">
        <f t="shared" si="5"/>
        <v>2</v>
      </c>
      <c r="AL346" s="25">
        <f>'MASTER STOCK'!I343</f>
        <v>135000</v>
      </c>
      <c r="AM346" s="27">
        <f>'MASTER STOCK'!L343</f>
        <v>135000</v>
      </c>
      <c r="AN346" s="27">
        <f t="shared" si="6"/>
        <v>0</v>
      </c>
      <c r="AO346" s="26">
        <f t="shared" si="7"/>
        <v>0</v>
      </c>
      <c r="AP346" s="114">
        <f t="shared" si="8"/>
        <v>0</v>
      </c>
      <c r="AQ346" s="10"/>
    </row>
    <row r="347">
      <c r="A347" s="29" t="str">
        <f>'MASTER STOCK'!F344</f>
        <v>Double tip foam hitam</v>
      </c>
      <c r="B347" s="30">
        <f>'DES 25'!AJ:AJ</f>
        <v>3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23">
        <f t="shared" si="3"/>
        <v>0</v>
      </c>
      <c r="AI347" s="24">
        <v>0.0</v>
      </c>
      <c r="AJ347" s="32">
        <f t="shared" si="4"/>
        <v>3</v>
      </c>
      <c r="AK347" s="32">
        <f t="shared" si="5"/>
        <v>3</v>
      </c>
      <c r="AL347" s="25">
        <f>'MASTER STOCK'!I344</f>
        <v>6000</v>
      </c>
      <c r="AM347" s="27">
        <f>'MASTER STOCK'!L344</f>
        <v>6000</v>
      </c>
      <c r="AN347" s="27">
        <f t="shared" si="6"/>
        <v>0</v>
      </c>
      <c r="AO347" s="26">
        <f t="shared" si="7"/>
        <v>0</v>
      </c>
      <c r="AP347" s="114">
        <f t="shared" si="8"/>
        <v>0</v>
      </c>
      <c r="AQ347" s="10"/>
    </row>
    <row r="348">
      <c r="A348" s="29" t="str">
        <f>'MASTER STOCK'!F345</f>
        <v>amplass</v>
      </c>
      <c r="B348" s="30">
        <f>'DES 25'!AJ:AJ</f>
        <v>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23">
        <f t="shared" si="3"/>
        <v>0</v>
      </c>
      <c r="AI348" s="24">
        <v>0.0</v>
      </c>
      <c r="AJ348" s="32">
        <f t="shared" si="4"/>
        <v>1</v>
      </c>
      <c r="AK348" s="32">
        <f t="shared" si="5"/>
        <v>1</v>
      </c>
      <c r="AL348" s="25">
        <f>'MASTER STOCK'!I345</f>
        <v>7000</v>
      </c>
      <c r="AM348" s="27">
        <f>'MASTER STOCK'!L345</f>
        <v>7000</v>
      </c>
      <c r="AN348" s="27">
        <f t="shared" si="6"/>
        <v>0</v>
      </c>
      <c r="AO348" s="26">
        <f t="shared" si="7"/>
        <v>0</v>
      </c>
      <c r="AP348" s="114">
        <f t="shared" si="8"/>
        <v>0</v>
      </c>
      <c r="AQ348" s="10"/>
    </row>
    <row r="349">
      <c r="A349" s="29" t="str">
        <f>'MASTER STOCK'!F346</f>
        <v>Tie clip microphone</v>
      </c>
      <c r="B349" s="30">
        <f>'DES 25'!AJ:AJ</f>
        <v>2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23">
        <f t="shared" si="3"/>
        <v>0</v>
      </c>
      <c r="AI349" s="24">
        <v>0.0</v>
      </c>
      <c r="AJ349" s="32">
        <f t="shared" si="4"/>
        <v>2</v>
      </c>
      <c r="AK349" s="32">
        <f t="shared" si="5"/>
        <v>2</v>
      </c>
      <c r="AL349" s="25">
        <f>'MASTER STOCK'!I346</f>
        <v>125000</v>
      </c>
      <c r="AM349" s="27">
        <f>'MASTER STOCK'!L346</f>
        <v>125000</v>
      </c>
      <c r="AN349" s="27">
        <f t="shared" si="6"/>
        <v>0</v>
      </c>
      <c r="AO349" s="26">
        <f t="shared" si="7"/>
        <v>0</v>
      </c>
      <c r="AP349" s="114">
        <f t="shared" si="8"/>
        <v>0</v>
      </c>
      <c r="AQ349" s="10"/>
    </row>
    <row r="350">
      <c r="A350" s="29" t="str">
        <f>'MASTER STOCK'!F347</f>
        <v>Selot besar / grendel 3"</v>
      </c>
      <c r="B350" s="30">
        <f>'DES 25'!AJ:AJ</f>
        <v>3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23">
        <f t="shared" si="3"/>
        <v>0</v>
      </c>
      <c r="AI350" s="24">
        <v>0.0</v>
      </c>
      <c r="AJ350" s="32">
        <f t="shared" si="4"/>
        <v>3</v>
      </c>
      <c r="AK350" s="32">
        <f t="shared" si="5"/>
        <v>3</v>
      </c>
      <c r="AL350" s="25">
        <f>'MASTER STOCK'!I347</f>
        <v>11000</v>
      </c>
      <c r="AM350" s="27">
        <f>'MASTER STOCK'!L347</f>
        <v>11000</v>
      </c>
      <c r="AN350" s="27">
        <f t="shared" si="6"/>
        <v>0</v>
      </c>
      <c r="AO350" s="26">
        <f t="shared" si="7"/>
        <v>0</v>
      </c>
      <c r="AP350" s="114">
        <f t="shared" si="8"/>
        <v>0</v>
      </c>
      <c r="AQ350" s="10"/>
    </row>
    <row r="351">
      <c r="A351" s="29" t="str">
        <f>'MASTER STOCK'!F348</f>
        <v>Tee dos</v>
      </c>
      <c r="B351" s="30">
        <f>'DES 25'!AJ:AJ</f>
        <v>7</v>
      </c>
      <c r="C351" s="22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22">
        <v>1.0</v>
      </c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23">
        <f t="shared" si="3"/>
        <v>1</v>
      </c>
      <c r="AI351" s="24">
        <v>0.0</v>
      </c>
      <c r="AJ351" s="32">
        <f t="shared" si="4"/>
        <v>6</v>
      </c>
      <c r="AK351" s="32">
        <f t="shared" si="5"/>
        <v>6</v>
      </c>
      <c r="AL351" s="25">
        <f>'MASTER STOCK'!I348</f>
        <v>3000</v>
      </c>
      <c r="AM351" s="27">
        <f>'MASTER STOCK'!L348</f>
        <v>3000</v>
      </c>
      <c r="AN351" s="27">
        <f t="shared" si="6"/>
        <v>3000</v>
      </c>
      <c r="AO351" s="26">
        <f t="shared" si="7"/>
        <v>0</v>
      </c>
      <c r="AP351" s="114">
        <f t="shared" si="8"/>
        <v>3000</v>
      </c>
      <c r="AQ351" s="10"/>
    </row>
    <row r="352">
      <c r="A352" s="29" t="str">
        <f>'MASTER STOCK'!F349</f>
        <v>Double tip foam putih</v>
      </c>
      <c r="B352" s="30">
        <f>'DES 25'!AJ:AJ</f>
        <v>0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22"/>
      <c r="AF352" s="10"/>
      <c r="AG352" s="10"/>
      <c r="AH352" s="23">
        <f t="shared" si="3"/>
        <v>0</v>
      </c>
      <c r="AI352" s="24">
        <v>0.0</v>
      </c>
      <c r="AJ352" s="32">
        <f t="shared" si="4"/>
        <v>0</v>
      </c>
      <c r="AK352" s="32">
        <f t="shared" si="5"/>
        <v>0</v>
      </c>
      <c r="AL352" s="25">
        <f>'MASTER STOCK'!I349</f>
        <v>2500</v>
      </c>
      <c r="AM352" s="27">
        <f>'MASTER STOCK'!L349</f>
        <v>2500</v>
      </c>
      <c r="AN352" s="27">
        <f t="shared" si="6"/>
        <v>0</v>
      </c>
      <c r="AO352" s="26">
        <f t="shared" si="7"/>
        <v>0</v>
      </c>
      <c r="AP352" s="114">
        <f t="shared" si="8"/>
        <v>0</v>
      </c>
      <c r="AQ352" s="10"/>
    </row>
    <row r="353">
      <c r="A353" s="29" t="str">
        <f>'MASTER STOCK'!F350</f>
        <v>pegangan pintu putih </v>
      </c>
      <c r="B353" s="30">
        <f>'DES 25'!AJ:AJ</f>
        <v>2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23">
        <f t="shared" si="3"/>
        <v>0</v>
      </c>
      <c r="AI353" s="24">
        <v>0.0</v>
      </c>
      <c r="AJ353" s="32">
        <f t="shared" si="4"/>
        <v>2</v>
      </c>
      <c r="AK353" s="32">
        <f t="shared" si="5"/>
        <v>2</v>
      </c>
      <c r="AL353" s="25">
        <f>'MASTER STOCK'!I350</f>
        <v>16000</v>
      </c>
      <c r="AM353" s="27">
        <f>'MASTER STOCK'!L350</f>
        <v>16000</v>
      </c>
      <c r="AN353" s="27">
        <f t="shared" si="6"/>
        <v>0</v>
      </c>
      <c r="AO353" s="26">
        <f t="shared" si="7"/>
        <v>0</v>
      </c>
      <c r="AP353" s="114">
        <f t="shared" si="8"/>
        <v>0</v>
      </c>
      <c r="AQ353" s="10"/>
    </row>
    <row r="354">
      <c r="A354" s="20" t="str">
        <f>'MASTER STOCK'!F351</f>
        <v>INBOW DUS</v>
      </c>
      <c r="B354" s="21">
        <f>'DES 25'!AJ:AJ</f>
        <v>15</v>
      </c>
      <c r="C354" s="10"/>
      <c r="D354" s="10"/>
      <c r="E354" s="22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23">
        <f t="shared" si="3"/>
        <v>0</v>
      </c>
      <c r="AI354" s="24">
        <v>0.0</v>
      </c>
      <c r="AJ354" s="23">
        <f t="shared" si="4"/>
        <v>15</v>
      </c>
      <c r="AK354" s="23">
        <f t="shared" si="5"/>
        <v>15</v>
      </c>
      <c r="AL354" s="25">
        <f>'MASTER STOCK'!I351</f>
        <v>500</v>
      </c>
      <c r="AM354" s="27">
        <f>'MASTER STOCK'!L351</f>
        <v>1000</v>
      </c>
      <c r="AN354" s="27">
        <f t="shared" si="6"/>
        <v>0</v>
      </c>
      <c r="AO354" s="26">
        <f t="shared" si="7"/>
        <v>0</v>
      </c>
      <c r="AP354" s="114">
        <f t="shared" si="8"/>
        <v>0</v>
      </c>
      <c r="AQ354" s="10"/>
    </row>
    <row r="355">
      <c r="A355" s="20" t="str">
        <f>'MASTER STOCK'!F352</f>
        <v>TEE DOS</v>
      </c>
      <c r="B355" s="21">
        <f>'DES 25'!AJ:AJ</f>
        <v>20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23">
        <f t="shared" si="3"/>
        <v>0</v>
      </c>
      <c r="AI355" s="24">
        <v>0.0</v>
      </c>
      <c r="AJ355" s="23">
        <f t="shared" si="4"/>
        <v>20</v>
      </c>
      <c r="AK355" s="23">
        <f t="shared" si="5"/>
        <v>20</v>
      </c>
      <c r="AL355" s="25">
        <f>'MASTER STOCK'!I352</f>
        <v>500</v>
      </c>
      <c r="AM355" s="27">
        <f>'MASTER STOCK'!L352</f>
        <v>1500</v>
      </c>
      <c r="AN355" s="27">
        <f t="shared" si="6"/>
        <v>0</v>
      </c>
      <c r="AO355" s="26">
        <f t="shared" si="7"/>
        <v>0</v>
      </c>
      <c r="AP355" s="114">
        <f t="shared" si="8"/>
        <v>0</v>
      </c>
      <c r="AQ355" s="10"/>
    </row>
    <row r="356">
      <c r="A356" s="20" t="str">
        <f>'MASTER STOCK'!F353</f>
        <v>LEM TEMBAK</v>
      </c>
      <c r="B356" s="21">
        <f>'DES 25'!AJ:AJ</f>
        <v>71</v>
      </c>
      <c r="C356" s="22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23">
        <f t="shared" si="3"/>
        <v>0</v>
      </c>
      <c r="AI356" s="24">
        <v>0.0</v>
      </c>
      <c r="AJ356" s="23">
        <f t="shared" si="4"/>
        <v>71</v>
      </c>
      <c r="AK356" s="23">
        <f t="shared" si="5"/>
        <v>71</v>
      </c>
      <c r="AL356" s="25">
        <f>'MASTER STOCK'!I353</f>
        <v>700</v>
      </c>
      <c r="AM356" s="27">
        <f>'MASTER STOCK'!L353</f>
        <v>1500</v>
      </c>
      <c r="AN356" s="27">
        <f t="shared" si="6"/>
        <v>0</v>
      </c>
      <c r="AO356" s="26">
        <f t="shared" si="7"/>
        <v>0</v>
      </c>
      <c r="AP356" s="114">
        <f t="shared" si="8"/>
        <v>0</v>
      </c>
      <c r="AQ356" s="10"/>
    </row>
    <row r="357">
      <c r="A357" s="20" t="str">
        <f>'MASTER STOCK'!F354</f>
        <v>STOP KONTAK BROCO TANAM</v>
      </c>
      <c r="B357" s="21">
        <f>'DES 25'!AJ:AJ</f>
        <v>2</v>
      </c>
      <c r="C357" s="10"/>
      <c r="D357" s="10"/>
      <c r="E357" s="10"/>
      <c r="F357" s="10"/>
      <c r="G357" s="10"/>
      <c r="H357" s="10"/>
      <c r="I357" s="10"/>
      <c r="J357" s="10"/>
      <c r="K357" s="22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23">
        <f t="shared" si="3"/>
        <v>0</v>
      </c>
      <c r="AI357" s="24">
        <v>0.0</v>
      </c>
      <c r="AJ357" s="23">
        <f t="shared" si="4"/>
        <v>2</v>
      </c>
      <c r="AK357" s="23">
        <f t="shared" si="5"/>
        <v>2</v>
      </c>
      <c r="AL357" s="25">
        <f>'MASTER STOCK'!I354</f>
        <v>13500</v>
      </c>
      <c r="AM357" s="27">
        <f>'MASTER STOCK'!L354</f>
        <v>16000</v>
      </c>
      <c r="AN357" s="27">
        <f t="shared" si="6"/>
        <v>0</v>
      </c>
      <c r="AO357" s="26">
        <f t="shared" si="7"/>
        <v>0</v>
      </c>
      <c r="AP357" s="114">
        <f t="shared" si="8"/>
        <v>0</v>
      </c>
      <c r="AQ357" s="10"/>
    </row>
    <row r="358">
      <c r="A358" s="20" t="str">
        <f>'MASTER STOCK'!F355</f>
        <v>STOP KONTAK TANAM PANASONIC</v>
      </c>
      <c r="B358" s="21">
        <f>'DES 25'!AJ:AJ</f>
        <v>3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23">
        <f t="shared" si="3"/>
        <v>0</v>
      </c>
      <c r="AI358" s="24">
        <v>0.0</v>
      </c>
      <c r="AJ358" s="23">
        <f t="shared" si="4"/>
        <v>3</v>
      </c>
      <c r="AK358" s="23">
        <f t="shared" si="5"/>
        <v>3</v>
      </c>
      <c r="AL358" s="25">
        <f>'MASTER STOCK'!I355</f>
        <v>15000</v>
      </c>
      <c r="AM358" s="27">
        <f>'MASTER STOCK'!L355</f>
        <v>18000</v>
      </c>
      <c r="AN358" s="27">
        <f t="shared" si="6"/>
        <v>0</v>
      </c>
      <c r="AO358" s="26">
        <f t="shared" si="7"/>
        <v>0</v>
      </c>
      <c r="AP358" s="114">
        <f t="shared" si="8"/>
        <v>0</v>
      </c>
      <c r="AQ358" s="10"/>
    </row>
    <row r="359">
      <c r="A359" s="20" t="str">
        <f>'MASTER STOCK'!F356</f>
        <v>STOP KONTAK INBOW TANAM</v>
      </c>
      <c r="B359" s="21">
        <f>'DES 25'!AJ:AJ</f>
        <v>5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23">
        <f t="shared" si="3"/>
        <v>0</v>
      </c>
      <c r="AI359" s="24">
        <v>0.0</v>
      </c>
      <c r="AJ359" s="23">
        <f t="shared" si="4"/>
        <v>5</v>
      </c>
      <c r="AK359" s="23">
        <f t="shared" si="5"/>
        <v>5</v>
      </c>
      <c r="AL359" s="25">
        <f>'MASTER STOCK'!I356</f>
        <v>6400</v>
      </c>
      <c r="AM359" s="27">
        <f>'MASTER STOCK'!L356</f>
        <v>11000</v>
      </c>
      <c r="AN359" s="27">
        <f t="shared" si="6"/>
        <v>0</v>
      </c>
      <c r="AO359" s="26">
        <f t="shared" si="7"/>
        <v>0</v>
      </c>
      <c r="AP359" s="114">
        <f t="shared" si="8"/>
        <v>0</v>
      </c>
      <c r="AQ359" s="10"/>
    </row>
    <row r="360">
      <c r="A360" s="20" t="str">
        <f>'MASTER STOCK'!F357</f>
        <v>SAKLAR3 CABANG (TEE)</v>
      </c>
      <c r="B360" s="21">
        <f>'DES 25'!AJ:AJ</f>
        <v>2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23">
        <f t="shared" si="3"/>
        <v>0</v>
      </c>
      <c r="AI360" s="24">
        <v>0.0</v>
      </c>
      <c r="AJ360" s="23">
        <f t="shared" si="4"/>
        <v>2</v>
      </c>
      <c r="AK360" s="23">
        <f t="shared" si="5"/>
        <v>2</v>
      </c>
      <c r="AL360" s="25">
        <f>'MASTER STOCK'!I357</f>
        <v>17500</v>
      </c>
      <c r="AM360" s="27">
        <f>'MASTER STOCK'!L357</f>
        <v>18000</v>
      </c>
      <c r="AN360" s="27">
        <f t="shared" si="6"/>
        <v>0</v>
      </c>
      <c r="AO360" s="26">
        <f t="shared" si="7"/>
        <v>0</v>
      </c>
      <c r="AP360" s="114">
        <f t="shared" si="8"/>
        <v>0</v>
      </c>
      <c r="AQ360" s="10"/>
    </row>
    <row r="361">
      <c r="A361" s="20" t="str">
        <f>'MASTER STOCK'!F358</f>
        <v>SAKLAR HOKSUN 3 LUBANG</v>
      </c>
      <c r="B361" s="21">
        <f>'DES 25'!AJ:AJ</f>
        <v>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22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23">
        <f t="shared" si="3"/>
        <v>0</v>
      </c>
      <c r="AI361" s="24">
        <v>0.0</v>
      </c>
      <c r="AJ361" s="23">
        <f t="shared" si="4"/>
        <v>1</v>
      </c>
      <c r="AK361" s="23">
        <f t="shared" si="5"/>
        <v>1</v>
      </c>
      <c r="AL361" s="25">
        <f>'MASTER STOCK'!I358</f>
        <v>15750</v>
      </c>
      <c r="AM361" s="27">
        <f>'MASTER STOCK'!L358</f>
        <v>22000</v>
      </c>
      <c r="AN361" s="27">
        <f t="shared" si="6"/>
        <v>0</v>
      </c>
      <c r="AO361" s="26">
        <f t="shared" si="7"/>
        <v>0</v>
      </c>
      <c r="AP361" s="114">
        <f t="shared" si="8"/>
        <v>0</v>
      </c>
      <c r="AQ361" s="10"/>
    </row>
    <row r="362">
      <c r="A362" s="20" t="str">
        <f>'MASTER STOCK'!F359</f>
        <v>SAKLAR TRM 4 LUBANG</v>
      </c>
      <c r="B362" s="21">
        <f>'DES 25'!AJ:AJ</f>
        <v>2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23">
        <f t="shared" si="3"/>
        <v>0</v>
      </c>
      <c r="AI362" s="24">
        <v>0.0</v>
      </c>
      <c r="AJ362" s="23">
        <f t="shared" si="4"/>
        <v>2</v>
      </c>
      <c r="AK362" s="23">
        <f t="shared" si="5"/>
        <v>2</v>
      </c>
      <c r="AL362" s="25">
        <f>'MASTER STOCK'!I359</f>
        <v>19750</v>
      </c>
      <c r="AM362" s="27">
        <f>'MASTER STOCK'!L359</f>
        <v>26000</v>
      </c>
      <c r="AN362" s="27">
        <f t="shared" si="6"/>
        <v>0</v>
      </c>
      <c r="AO362" s="26">
        <f t="shared" si="7"/>
        <v>0</v>
      </c>
      <c r="AP362" s="114">
        <f t="shared" si="8"/>
        <v>0</v>
      </c>
      <c r="AQ362" s="10"/>
    </row>
    <row r="363">
      <c r="A363" s="20" t="str">
        <f>'MASTER STOCK'!F360</f>
        <v>SEMEN MERAH PUTIH</v>
      </c>
      <c r="B363" s="21">
        <f>'DES 25'!AJ:AJ</f>
        <v>5</v>
      </c>
      <c r="C363" s="22">
        <v>1.0</v>
      </c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23">
        <f t="shared" si="3"/>
        <v>1</v>
      </c>
      <c r="AI363" s="24">
        <v>0.0</v>
      </c>
      <c r="AJ363" s="23">
        <f t="shared" si="4"/>
        <v>4</v>
      </c>
      <c r="AK363" s="23">
        <f t="shared" si="5"/>
        <v>4</v>
      </c>
      <c r="AL363" s="25">
        <f>'MASTER STOCK'!I360</f>
        <v>41000</v>
      </c>
      <c r="AM363" s="27">
        <f>'MASTER STOCK'!L360</f>
        <v>42000</v>
      </c>
      <c r="AN363" s="27">
        <f t="shared" si="6"/>
        <v>42000</v>
      </c>
      <c r="AO363" s="26">
        <f t="shared" si="7"/>
        <v>1000</v>
      </c>
      <c r="AP363" s="114">
        <f t="shared" si="8"/>
        <v>41000</v>
      </c>
      <c r="AQ363" s="10"/>
    </row>
    <row r="364">
      <c r="A364" s="20" t="str">
        <f>'MASTER STOCK'!F361</f>
        <v>SEMEN SINGA MERAH</v>
      </c>
      <c r="B364" s="21">
        <f>'DES 25'!AJ:AJ</f>
        <v>1</v>
      </c>
      <c r="C364" s="22"/>
      <c r="D364" s="10"/>
      <c r="E364" s="22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22"/>
      <c r="AC364" s="10"/>
      <c r="AD364" s="10"/>
      <c r="AE364" s="10"/>
      <c r="AF364" s="10"/>
      <c r="AG364" s="22"/>
      <c r="AH364" s="23">
        <f t="shared" si="3"/>
        <v>0</v>
      </c>
      <c r="AI364" s="24">
        <v>0.0</v>
      </c>
      <c r="AJ364" s="23">
        <f t="shared" si="4"/>
        <v>1</v>
      </c>
      <c r="AK364" s="23">
        <f t="shared" si="5"/>
        <v>1</v>
      </c>
      <c r="AL364" s="25">
        <f>'MASTER STOCK'!I361</f>
        <v>43000</v>
      </c>
      <c r="AM364" s="27">
        <f>'MASTER STOCK'!L361</f>
        <v>44000</v>
      </c>
      <c r="AN364" s="27">
        <f t="shared" si="6"/>
        <v>0</v>
      </c>
      <c r="AO364" s="26">
        <f t="shared" si="7"/>
        <v>0</v>
      </c>
      <c r="AP364" s="114">
        <f t="shared" si="8"/>
        <v>0</v>
      </c>
      <c r="AQ364" s="10"/>
    </row>
    <row r="365">
      <c r="A365" s="20" t="str">
        <f>'MASTER STOCK'!F362</f>
        <v>WATERMUR 3/4</v>
      </c>
      <c r="B365" s="21">
        <f>'DES 25'!AJ:AJ</f>
        <v>5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23">
        <f t="shared" si="3"/>
        <v>0</v>
      </c>
      <c r="AI365" s="24">
        <v>0.0</v>
      </c>
      <c r="AJ365" s="23">
        <f t="shared" si="4"/>
        <v>5</v>
      </c>
      <c r="AK365" s="23">
        <f t="shared" si="5"/>
        <v>5</v>
      </c>
      <c r="AL365" s="25">
        <f>'MASTER STOCK'!I362</f>
        <v>4700</v>
      </c>
      <c r="AM365" s="27">
        <f>'MASTER STOCK'!L362</f>
        <v>7000</v>
      </c>
      <c r="AN365" s="27">
        <f t="shared" si="6"/>
        <v>0</v>
      </c>
      <c r="AO365" s="26">
        <f t="shared" si="7"/>
        <v>0</v>
      </c>
      <c r="AP365" s="114">
        <f t="shared" si="8"/>
        <v>0</v>
      </c>
      <c r="AQ365" s="10"/>
    </row>
    <row r="366">
      <c r="A366" s="20" t="str">
        <f>'MASTER STOCK'!F363</f>
        <v>SOLDER GAGANG KAYU 40W</v>
      </c>
      <c r="B366" s="21">
        <f>'DES 25'!AJ:AJ</f>
        <v>5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23">
        <f t="shared" si="3"/>
        <v>0</v>
      </c>
      <c r="AI366" s="24">
        <v>0.0</v>
      </c>
      <c r="AJ366" s="23">
        <f t="shared" si="4"/>
        <v>5</v>
      </c>
      <c r="AK366" s="23">
        <f t="shared" si="5"/>
        <v>5</v>
      </c>
      <c r="AL366" s="25">
        <f>'MASTER STOCK'!I363</f>
        <v>9000</v>
      </c>
      <c r="AM366" s="27">
        <f>'MASTER STOCK'!L363</f>
        <v>12000</v>
      </c>
      <c r="AN366" s="27">
        <f t="shared" si="6"/>
        <v>0</v>
      </c>
      <c r="AO366" s="26">
        <f t="shared" si="7"/>
        <v>0</v>
      </c>
      <c r="AP366" s="114">
        <f t="shared" si="8"/>
        <v>0</v>
      </c>
      <c r="AQ366" s="10"/>
    </row>
    <row r="367">
      <c r="A367" s="20" t="str">
        <f>'MASTER STOCK'!F364</f>
        <v>KUAS GRT 3"</v>
      </c>
      <c r="B367" s="21">
        <f>'DES 25'!AJ:AJ</f>
        <v>9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22"/>
      <c r="AF367" s="10"/>
      <c r="AG367" s="10"/>
      <c r="AH367" s="23">
        <f t="shared" si="3"/>
        <v>0</v>
      </c>
      <c r="AI367" s="24">
        <v>0.0</v>
      </c>
      <c r="AJ367" s="23">
        <f t="shared" si="4"/>
        <v>9</v>
      </c>
      <c r="AK367" s="23">
        <f t="shared" si="5"/>
        <v>9</v>
      </c>
      <c r="AL367" s="25">
        <f>'MASTER STOCK'!I364</f>
        <v>4000</v>
      </c>
      <c r="AM367" s="27">
        <f>'MASTER STOCK'!L364</f>
        <v>7500</v>
      </c>
      <c r="AN367" s="27">
        <f t="shared" si="6"/>
        <v>0</v>
      </c>
      <c r="AO367" s="26">
        <f t="shared" si="7"/>
        <v>0</v>
      </c>
      <c r="AP367" s="114">
        <f t="shared" si="8"/>
        <v>0</v>
      </c>
      <c r="AQ367" s="10"/>
    </row>
    <row r="368">
      <c r="A368" s="20" t="str">
        <f>'MASTER STOCK'!F365</f>
        <v>PENGAMAN REGULATOR</v>
      </c>
      <c r="B368" s="21">
        <f>'DES 25'!AJ:AJ</f>
        <v>3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23">
        <f t="shared" si="3"/>
        <v>0</v>
      </c>
      <c r="AI368" s="24">
        <v>0.0</v>
      </c>
      <c r="AJ368" s="23">
        <f t="shared" si="4"/>
        <v>3</v>
      </c>
      <c r="AK368" s="23">
        <f t="shared" si="5"/>
        <v>3</v>
      </c>
      <c r="AL368" s="25">
        <f>'MASTER STOCK'!I365</f>
        <v>7500</v>
      </c>
      <c r="AM368" s="27">
        <f>'MASTER STOCK'!L365</f>
        <v>12000</v>
      </c>
      <c r="AN368" s="27">
        <f t="shared" si="6"/>
        <v>0</v>
      </c>
      <c r="AO368" s="26">
        <f t="shared" si="7"/>
        <v>0</v>
      </c>
      <c r="AP368" s="114">
        <f t="shared" si="8"/>
        <v>0</v>
      </c>
      <c r="AQ368" s="10"/>
    </row>
    <row r="369">
      <c r="A369" s="20" t="str">
        <f>'MASTER STOCK'!F366</f>
        <v>KLEM REGULATOR</v>
      </c>
      <c r="B369" s="21">
        <f>'DES 25'!AJ:AJ</f>
        <v>19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22"/>
      <c r="AF369" s="10"/>
      <c r="AG369" s="10"/>
      <c r="AH369" s="23">
        <f t="shared" si="3"/>
        <v>0</v>
      </c>
      <c r="AI369" s="24">
        <v>0.0</v>
      </c>
      <c r="AJ369" s="23">
        <f t="shared" si="4"/>
        <v>19</v>
      </c>
      <c r="AK369" s="23">
        <f t="shared" si="5"/>
        <v>19</v>
      </c>
      <c r="AL369" s="25">
        <f>'MASTER STOCK'!I366</f>
        <v>1200</v>
      </c>
      <c r="AM369" s="27">
        <f>'MASTER STOCK'!L366</f>
        <v>2500</v>
      </c>
      <c r="AN369" s="27">
        <f t="shared" si="6"/>
        <v>0</v>
      </c>
      <c r="AO369" s="26">
        <f t="shared" si="7"/>
        <v>0</v>
      </c>
      <c r="AP369" s="114">
        <f t="shared" si="8"/>
        <v>0</v>
      </c>
      <c r="AQ369" s="10"/>
    </row>
    <row r="370">
      <c r="A370" s="20" t="str">
        <f>'MASTER STOCK'!F367</f>
        <v>TIMBA STANDART</v>
      </c>
      <c r="B370" s="21">
        <f>'DES 25'!AJ:AJ</f>
        <v>8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22"/>
      <c r="Y370" s="10"/>
      <c r="Z370" s="10"/>
      <c r="AA370" s="10"/>
      <c r="AB370" s="10"/>
      <c r="AC370" s="10"/>
      <c r="AD370" s="10"/>
      <c r="AE370" s="22"/>
      <c r="AF370" s="10"/>
      <c r="AG370" s="10"/>
      <c r="AH370" s="23">
        <f t="shared" si="3"/>
        <v>0</v>
      </c>
      <c r="AI370" s="24">
        <v>0.0</v>
      </c>
      <c r="AJ370" s="23">
        <f t="shared" si="4"/>
        <v>8</v>
      </c>
      <c r="AK370" s="23">
        <f t="shared" si="5"/>
        <v>8</v>
      </c>
      <c r="AL370" s="25">
        <f>'MASTER STOCK'!I367</f>
        <v>5000</v>
      </c>
      <c r="AM370" s="27">
        <f>'MASTER STOCK'!L367</f>
        <v>8000</v>
      </c>
      <c r="AN370" s="27">
        <f t="shared" si="6"/>
        <v>0</v>
      </c>
      <c r="AO370" s="26">
        <f t="shared" si="7"/>
        <v>0</v>
      </c>
      <c r="AP370" s="114">
        <f t="shared" si="8"/>
        <v>0</v>
      </c>
      <c r="AQ370" s="10"/>
    </row>
    <row r="371">
      <c r="A371" s="20" t="str">
        <f>'MASTER STOCK'!F368</f>
        <v>KNEE DRAT DALAM 1/2 DIM</v>
      </c>
      <c r="B371" s="21">
        <f>'DES 25'!AJ:AJ</f>
        <v>14</v>
      </c>
      <c r="C371" s="22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23">
        <f t="shared" si="3"/>
        <v>0</v>
      </c>
      <c r="AI371" s="24">
        <v>0.0</v>
      </c>
      <c r="AJ371" s="23">
        <f t="shared" si="4"/>
        <v>14</v>
      </c>
      <c r="AK371" s="23">
        <f t="shared" si="5"/>
        <v>14</v>
      </c>
      <c r="AL371" s="25">
        <f>'MASTER STOCK'!I368</f>
        <v>1400</v>
      </c>
      <c r="AM371" s="27">
        <f>'MASTER STOCK'!L368</f>
        <v>3500</v>
      </c>
      <c r="AN371" s="27">
        <f t="shared" si="6"/>
        <v>0</v>
      </c>
      <c r="AO371" s="26">
        <f t="shared" si="7"/>
        <v>0</v>
      </c>
      <c r="AP371" s="114">
        <f t="shared" si="8"/>
        <v>0</v>
      </c>
      <c r="AQ371" s="10"/>
    </row>
    <row r="372">
      <c r="A372" s="20" t="str">
        <f>'MASTER STOCK'!F369</f>
        <v>AMPLAS UK 60 </v>
      </c>
      <c r="B372" s="21">
        <f>'DES 25'!AJ:AJ</f>
        <v>10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23">
        <f t="shared" si="3"/>
        <v>0</v>
      </c>
      <c r="AI372" s="24">
        <v>0.0</v>
      </c>
      <c r="AJ372" s="23">
        <f t="shared" si="4"/>
        <v>10</v>
      </c>
      <c r="AK372" s="23">
        <f t="shared" si="5"/>
        <v>10</v>
      </c>
      <c r="AL372" s="25">
        <f>'MASTER STOCK'!I369</f>
        <v>4500</v>
      </c>
      <c r="AM372" s="27">
        <f>'MASTER STOCK'!L369</f>
        <v>7000</v>
      </c>
      <c r="AN372" s="27">
        <f t="shared" si="6"/>
        <v>0</v>
      </c>
      <c r="AO372" s="26">
        <f t="shared" si="7"/>
        <v>0</v>
      </c>
      <c r="AP372" s="114">
        <f t="shared" si="8"/>
        <v>0</v>
      </c>
      <c r="AQ372" s="10"/>
    </row>
    <row r="373">
      <c r="A373" s="20" t="str">
        <f>'MASTER STOCK'!F370</f>
        <v>AMPLAS UK 150</v>
      </c>
      <c r="B373" s="21">
        <f>'DES 25'!AJ:AJ</f>
        <v>10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23">
        <f t="shared" si="3"/>
        <v>0</v>
      </c>
      <c r="AI373" s="24">
        <v>0.0</v>
      </c>
      <c r="AJ373" s="23">
        <f t="shared" si="4"/>
        <v>10</v>
      </c>
      <c r="AK373" s="23">
        <f t="shared" si="5"/>
        <v>10</v>
      </c>
      <c r="AL373" s="25">
        <f>'MASTER STOCK'!I370</f>
        <v>4500</v>
      </c>
      <c r="AM373" s="27">
        <f>'MASTER STOCK'!L370</f>
        <v>7000</v>
      </c>
      <c r="AN373" s="27">
        <f t="shared" si="6"/>
        <v>0</v>
      </c>
      <c r="AO373" s="26">
        <f t="shared" si="7"/>
        <v>0</v>
      </c>
      <c r="AP373" s="114">
        <f t="shared" si="8"/>
        <v>0</v>
      </c>
      <c r="AQ373" s="10"/>
    </row>
    <row r="374">
      <c r="A374" s="20" t="str">
        <f>'MASTER STOCK'!F371</f>
        <v>AMPLAS UK 240</v>
      </c>
      <c r="B374" s="21">
        <f>'DES 25'!AJ:AJ</f>
        <v>10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23">
        <f t="shared" si="3"/>
        <v>0</v>
      </c>
      <c r="AI374" s="24">
        <v>0.0</v>
      </c>
      <c r="AJ374" s="23">
        <f t="shared" si="4"/>
        <v>10</v>
      </c>
      <c r="AK374" s="23">
        <f t="shared" si="5"/>
        <v>10</v>
      </c>
      <c r="AL374" s="25">
        <f>'MASTER STOCK'!I371</f>
        <v>4500</v>
      </c>
      <c r="AM374" s="27">
        <f>'MASTER STOCK'!L371</f>
        <v>7000</v>
      </c>
      <c r="AN374" s="27">
        <f t="shared" si="6"/>
        <v>0</v>
      </c>
      <c r="AO374" s="26">
        <f t="shared" si="7"/>
        <v>0</v>
      </c>
      <c r="AP374" s="114">
        <f t="shared" si="8"/>
        <v>0</v>
      </c>
      <c r="AQ374" s="10"/>
    </row>
    <row r="375">
      <c r="A375" s="20" t="str">
        <f>'MASTER STOCK'!F372</f>
        <v>WATERMUR DD 3/4</v>
      </c>
      <c r="B375" s="21">
        <f>'DES 25'!AJ:AJ</f>
        <v>5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23">
        <f t="shared" si="3"/>
        <v>0</v>
      </c>
      <c r="AI375" s="24">
        <v>0.0</v>
      </c>
      <c r="AJ375" s="23">
        <f t="shared" si="4"/>
        <v>5</v>
      </c>
      <c r="AK375" s="23">
        <f t="shared" si="5"/>
        <v>5</v>
      </c>
      <c r="AL375" s="25">
        <f>'MASTER STOCK'!I372</f>
        <v>6000</v>
      </c>
      <c r="AM375" s="27">
        <f>'MASTER STOCK'!L372</f>
        <v>8000</v>
      </c>
      <c r="AN375" s="27">
        <f t="shared" si="6"/>
        <v>0</v>
      </c>
      <c r="AO375" s="26">
        <f t="shared" si="7"/>
        <v>0</v>
      </c>
      <c r="AP375" s="114">
        <f t="shared" si="8"/>
        <v>0</v>
      </c>
      <c r="AQ375" s="10"/>
    </row>
    <row r="376">
      <c r="A376" s="20" t="str">
        <f>'MASTER STOCK'!F373</f>
        <v>BENDRAT 5KG</v>
      </c>
      <c r="B376" s="21">
        <f>'DES 25'!AJ:AJ</f>
        <v>4.75</v>
      </c>
      <c r="C376" s="22">
        <v>1.0</v>
      </c>
      <c r="D376" s="10"/>
      <c r="E376" s="10"/>
      <c r="F376" s="22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23">
        <f t="shared" si="3"/>
        <v>1</v>
      </c>
      <c r="AI376" s="24">
        <v>0.0</v>
      </c>
      <c r="AJ376" s="23">
        <f t="shared" si="4"/>
        <v>3.75</v>
      </c>
      <c r="AK376" s="23">
        <f t="shared" si="5"/>
        <v>3.75</v>
      </c>
      <c r="AL376" s="25">
        <f>'MASTER STOCK'!I373</f>
        <v>19000</v>
      </c>
      <c r="AM376" s="27">
        <f>'MASTER STOCK'!L373</f>
        <v>25000</v>
      </c>
      <c r="AN376" s="27">
        <f t="shared" si="6"/>
        <v>25000</v>
      </c>
      <c r="AO376" s="26">
        <f t="shared" si="7"/>
        <v>6000</v>
      </c>
      <c r="AP376" s="114">
        <f t="shared" si="8"/>
        <v>19000</v>
      </c>
      <c r="AQ376" s="10"/>
    </row>
    <row r="377">
      <c r="A377" s="20" t="str">
        <f>'MASTER STOCK'!F374</f>
        <v>S MERDEKA 5</v>
      </c>
      <c r="B377" s="21">
        <f>'DES 25'!AJ:AJ</f>
        <v>5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22">
        <v>1.0</v>
      </c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23">
        <f t="shared" si="3"/>
        <v>1</v>
      </c>
      <c r="AI377" s="24">
        <v>0.0</v>
      </c>
      <c r="AJ377" s="23">
        <f t="shared" si="4"/>
        <v>4</v>
      </c>
      <c r="AK377" s="23">
        <f t="shared" si="5"/>
        <v>4</v>
      </c>
      <c r="AL377" s="25">
        <f>'MASTER STOCK'!I374</f>
        <v>41500</v>
      </c>
      <c r="AM377" s="27">
        <f>'MASTER STOCK'!L374</f>
        <v>4300</v>
      </c>
      <c r="AN377" s="27">
        <f t="shared" si="6"/>
        <v>4300</v>
      </c>
      <c r="AO377" s="26">
        <f t="shared" si="7"/>
        <v>-37200</v>
      </c>
      <c r="AP377" s="114">
        <f t="shared" si="8"/>
        <v>41500</v>
      </c>
      <c r="AQ377" s="10"/>
    </row>
    <row r="378">
      <c r="A378" s="20" t="str">
        <f>'MASTER STOCK'!F375</f>
        <v/>
      </c>
      <c r="B378" s="21">
        <f>'DES 25'!AJ:AJ</f>
        <v>0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23">
        <f t="shared" si="3"/>
        <v>0</v>
      </c>
      <c r="AI378" s="24">
        <v>0.0</v>
      </c>
      <c r="AJ378" s="23">
        <f t="shared" si="4"/>
        <v>0</v>
      </c>
      <c r="AK378" s="23">
        <f t="shared" si="5"/>
        <v>0</v>
      </c>
      <c r="AL378" s="25" t="str">
        <f>'MASTER STOCK'!I375</f>
        <v/>
      </c>
      <c r="AM378" s="33"/>
      <c r="AN378" s="33"/>
      <c r="AO378" s="114">
        <f t="shared" si="7"/>
        <v>0</v>
      </c>
      <c r="AP378" s="114">
        <f t="shared" si="8"/>
        <v>0</v>
      </c>
      <c r="AQ378" s="10"/>
    </row>
    <row r="379">
      <c r="A379" s="20" t="str">
        <f>'MASTER STOCK'!F376</f>
        <v/>
      </c>
      <c r="B379" s="21" t="str">
        <f>'DES 25'!AJ:AJ</f>
        <v/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33"/>
      <c r="AM379" s="33"/>
      <c r="AN379" s="116"/>
      <c r="AO379" s="117"/>
      <c r="AP379" s="117"/>
      <c r="AQ379" s="10"/>
    </row>
    <row r="380">
      <c r="A380" s="20" t="str">
        <f>'MASTER STOCK'!F377</f>
        <v/>
      </c>
      <c r="B380" s="21" t="str">
        <f>'DES 25'!AJ:AJ</f>
        <v/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33"/>
      <c r="AM380" s="33"/>
      <c r="AN380" s="33"/>
      <c r="AO380" s="23">
        <f t="shared" ref="AO380:AO408" si="9">AN380-(AH380*AL380)</f>
        <v>0</v>
      </c>
      <c r="AP380" s="23">
        <f t="shared" ref="AP380:AP408" si="10">AH380*AL380</f>
        <v>0</v>
      </c>
      <c r="AQ380" s="10"/>
    </row>
    <row r="381">
      <c r="A381" s="20" t="str">
        <f>'MASTER STOCK'!F378</f>
        <v/>
      </c>
      <c r="B381" s="21" t="str">
        <f>'DES 25'!AJ:AJ</f>
        <v/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33"/>
      <c r="AM381" s="33"/>
      <c r="AN381" s="33"/>
      <c r="AO381" s="23">
        <f t="shared" si="9"/>
        <v>0</v>
      </c>
      <c r="AP381" s="23">
        <f t="shared" si="10"/>
        <v>0</v>
      </c>
      <c r="AQ381" s="10"/>
    </row>
    <row r="382">
      <c r="A382" s="20" t="str">
        <f>'MASTER STOCK'!F379</f>
        <v/>
      </c>
      <c r="B382" s="21" t="str">
        <f>'DES 25'!AJ:AJ</f>
        <v/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33"/>
      <c r="AM382" s="33"/>
      <c r="AN382" s="33"/>
      <c r="AO382" s="23">
        <f t="shared" si="9"/>
        <v>0</v>
      </c>
      <c r="AP382" s="23">
        <f t="shared" si="10"/>
        <v>0</v>
      </c>
      <c r="AQ382" s="10"/>
    </row>
    <row r="383">
      <c r="A383" s="20" t="str">
        <f>'MASTER STOCK'!F380</f>
        <v/>
      </c>
      <c r="B383" s="21" t="str">
        <f>'DES 25'!AJ:AJ</f>
        <v/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33"/>
      <c r="AM383" s="33"/>
      <c r="AN383" s="33"/>
      <c r="AO383" s="23">
        <f t="shared" si="9"/>
        <v>0</v>
      </c>
      <c r="AP383" s="23">
        <f t="shared" si="10"/>
        <v>0</v>
      </c>
      <c r="AQ383" s="10"/>
    </row>
    <row r="384">
      <c r="A384" s="20" t="str">
        <f>'MASTER STOCK'!F381</f>
        <v/>
      </c>
      <c r="B384" s="21" t="str">
        <f>'DES 25'!AJ:AJ</f>
        <v/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33"/>
      <c r="AM384" s="33"/>
      <c r="AN384" s="33"/>
      <c r="AO384" s="23">
        <f t="shared" si="9"/>
        <v>0</v>
      </c>
      <c r="AP384" s="23">
        <f t="shared" si="10"/>
        <v>0</v>
      </c>
      <c r="AQ384" s="10"/>
    </row>
    <row r="385">
      <c r="A385" s="20" t="str">
        <f>'MASTER STOCK'!F382</f>
        <v/>
      </c>
      <c r="B385" s="21" t="str">
        <f>'DES 25'!AJ:AJ</f>
        <v/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33"/>
      <c r="AM385" s="33"/>
      <c r="AN385" s="33"/>
      <c r="AO385" s="23">
        <f t="shared" si="9"/>
        <v>0</v>
      </c>
      <c r="AP385" s="23">
        <f t="shared" si="10"/>
        <v>0</v>
      </c>
      <c r="AQ385" s="10"/>
    </row>
    <row r="386">
      <c r="A386" s="20" t="str">
        <f>'MASTER STOCK'!F383</f>
        <v/>
      </c>
      <c r="B386" s="21" t="str">
        <f>'DES 25'!AJ:AJ</f>
        <v/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33"/>
      <c r="AM386" s="33"/>
      <c r="AN386" s="33"/>
      <c r="AO386" s="23">
        <f t="shared" si="9"/>
        <v>0</v>
      </c>
      <c r="AP386" s="23">
        <f t="shared" si="10"/>
        <v>0</v>
      </c>
      <c r="AQ386" s="10"/>
    </row>
    <row r="387">
      <c r="A387" s="20" t="str">
        <f>'MASTER STOCK'!F384</f>
        <v/>
      </c>
      <c r="B387" s="21" t="str">
        <f>'DES 25'!AJ:AJ</f>
        <v/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33"/>
      <c r="AM387" s="33"/>
      <c r="AN387" s="33"/>
      <c r="AO387" s="23">
        <f t="shared" si="9"/>
        <v>0</v>
      </c>
      <c r="AP387" s="23">
        <f t="shared" si="10"/>
        <v>0</v>
      </c>
      <c r="AQ387" s="10"/>
    </row>
    <row r="388">
      <c r="A388" s="20" t="str">
        <f>'MASTER STOCK'!F385</f>
        <v/>
      </c>
      <c r="B388" s="21" t="str">
        <f>'DES 25'!AJ:AJ</f>
        <v/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33"/>
      <c r="AM388" s="33"/>
      <c r="AN388" s="33"/>
      <c r="AO388" s="23">
        <f t="shared" si="9"/>
        <v>0</v>
      </c>
      <c r="AP388" s="23">
        <f t="shared" si="10"/>
        <v>0</v>
      </c>
      <c r="AQ388" s="10"/>
    </row>
    <row r="389">
      <c r="A389" s="20" t="str">
        <f>'MASTER STOCK'!F386</f>
        <v/>
      </c>
      <c r="B389" s="21" t="str">
        <f>'DES 25'!AJ:AJ</f>
        <v/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33"/>
      <c r="AM389" s="33"/>
      <c r="AN389" s="33"/>
      <c r="AO389" s="23">
        <f t="shared" si="9"/>
        <v>0</v>
      </c>
      <c r="AP389" s="23">
        <f t="shared" si="10"/>
        <v>0</v>
      </c>
      <c r="AQ389" s="10"/>
    </row>
    <row r="390">
      <c r="A390" s="20" t="str">
        <f>'MASTER STOCK'!F387</f>
        <v/>
      </c>
      <c r="B390" s="21" t="str">
        <f>'DES 25'!AJ:AJ</f>
        <v/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33"/>
      <c r="AM390" s="33"/>
      <c r="AN390" s="33"/>
      <c r="AO390" s="23">
        <f t="shared" si="9"/>
        <v>0</v>
      </c>
      <c r="AP390" s="23">
        <f t="shared" si="10"/>
        <v>0</v>
      </c>
      <c r="AQ390" s="10"/>
    </row>
    <row r="391">
      <c r="A391" s="20" t="str">
        <f>'MASTER STOCK'!F388</f>
        <v/>
      </c>
      <c r="B391" s="21" t="str">
        <f>'DES 25'!AJ:AJ</f>
        <v/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33"/>
      <c r="AM391" s="33"/>
      <c r="AN391" s="33"/>
      <c r="AO391" s="23">
        <f t="shared" si="9"/>
        <v>0</v>
      </c>
      <c r="AP391" s="23">
        <f t="shared" si="10"/>
        <v>0</v>
      </c>
      <c r="AQ391" s="10"/>
    </row>
    <row r="392">
      <c r="A392" s="20" t="str">
        <f>'MASTER STOCK'!F389</f>
        <v/>
      </c>
      <c r="B392" s="21" t="str">
        <f>'DES 25'!AJ:AJ</f>
        <v/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33"/>
      <c r="AM392" s="33"/>
      <c r="AN392" s="33"/>
      <c r="AO392" s="23">
        <f t="shared" si="9"/>
        <v>0</v>
      </c>
      <c r="AP392" s="23">
        <f t="shared" si="10"/>
        <v>0</v>
      </c>
      <c r="AQ392" s="10"/>
    </row>
    <row r="393">
      <c r="A393" s="20" t="str">
        <f>'MASTER STOCK'!F390</f>
        <v/>
      </c>
      <c r="B393" s="21" t="str">
        <f>'DES 25'!AJ:AJ</f>
        <v/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33"/>
      <c r="AM393" s="33"/>
      <c r="AN393" s="33"/>
      <c r="AO393" s="23">
        <f t="shared" si="9"/>
        <v>0</v>
      </c>
      <c r="AP393" s="23">
        <f t="shared" si="10"/>
        <v>0</v>
      </c>
      <c r="AQ393" s="10"/>
    </row>
    <row r="394">
      <c r="A394" s="20" t="str">
        <f>'MASTER STOCK'!F391</f>
        <v/>
      </c>
      <c r="B394" s="21" t="str">
        <f>'DES 25'!AJ:AJ</f>
        <v/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33"/>
      <c r="AM394" s="33"/>
      <c r="AN394" s="33"/>
      <c r="AO394" s="23">
        <f t="shared" si="9"/>
        <v>0</v>
      </c>
      <c r="AP394" s="23">
        <f t="shared" si="10"/>
        <v>0</v>
      </c>
      <c r="AQ394" s="10"/>
    </row>
    <row r="395">
      <c r="A395" s="20" t="str">
        <f>'MASTER STOCK'!F392</f>
        <v/>
      </c>
      <c r="B395" s="21" t="str">
        <f>'DES 25'!AJ:AJ</f>
        <v/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33"/>
      <c r="AM395" s="33"/>
      <c r="AN395" s="33"/>
      <c r="AO395" s="23">
        <f t="shared" si="9"/>
        <v>0</v>
      </c>
      <c r="AP395" s="23">
        <f t="shared" si="10"/>
        <v>0</v>
      </c>
      <c r="AQ395" s="10"/>
    </row>
    <row r="396">
      <c r="A396" s="20" t="str">
        <f>'MASTER STOCK'!F393</f>
        <v/>
      </c>
      <c r="B396" s="21" t="str">
        <f>'DES 25'!AJ:AJ</f>
        <v/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33"/>
      <c r="AM396" s="33"/>
      <c r="AN396" s="33"/>
      <c r="AO396" s="23">
        <f t="shared" si="9"/>
        <v>0</v>
      </c>
      <c r="AP396" s="23">
        <f t="shared" si="10"/>
        <v>0</v>
      </c>
      <c r="AQ396" s="10"/>
    </row>
    <row r="397">
      <c r="A397" s="20" t="str">
        <f>'MASTER STOCK'!F394</f>
        <v/>
      </c>
      <c r="B397" s="21" t="str">
        <f>'DES 25'!AJ:AJ</f>
        <v/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33"/>
      <c r="AM397" s="33"/>
      <c r="AN397" s="33"/>
      <c r="AO397" s="23">
        <f t="shared" si="9"/>
        <v>0</v>
      </c>
      <c r="AP397" s="23">
        <f t="shared" si="10"/>
        <v>0</v>
      </c>
      <c r="AQ397" s="10"/>
    </row>
    <row r="398">
      <c r="A398" s="20" t="str">
        <f>'MASTER STOCK'!F395</f>
        <v/>
      </c>
      <c r="B398" s="21" t="str">
        <f>'DES 25'!AJ:AJ</f>
        <v/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33"/>
      <c r="AM398" s="33"/>
      <c r="AN398" s="33"/>
      <c r="AO398" s="23">
        <f t="shared" si="9"/>
        <v>0</v>
      </c>
      <c r="AP398" s="23">
        <f t="shared" si="10"/>
        <v>0</v>
      </c>
      <c r="AQ398" s="10"/>
    </row>
    <row r="399">
      <c r="A399" s="20" t="str">
        <f>'MASTER STOCK'!F396</f>
        <v/>
      </c>
      <c r="B399" s="21" t="str">
        <f>'DES 25'!AJ:AJ</f>
        <v/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33"/>
      <c r="AM399" s="33"/>
      <c r="AN399" s="33"/>
      <c r="AO399" s="23">
        <f t="shared" si="9"/>
        <v>0</v>
      </c>
      <c r="AP399" s="23">
        <f t="shared" si="10"/>
        <v>0</v>
      </c>
      <c r="AQ399" s="10"/>
    </row>
    <row r="400">
      <c r="A400" s="10"/>
      <c r="B400" s="21" t="str">
        <f>'DES 25'!AJ:AJ</f>
        <v/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33"/>
      <c r="AM400" s="33"/>
      <c r="AN400" s="33"/>
      <c r="AO400" s="23">
        <f t="shared" si="9"/>
        <v>0</v>
      </c>
      <c r="AP400" s="23">
        <f t="shared" si="10"/>
        <v>0</v>
      </c>
      <c r="AQ400" s="10"/>
    </row>
    <row r="401">
      <c r="A401" s="10"/>
      <c r="B401" s="21" t="str">
        <f>'DES 25'!AJ:AJ</f>
        <v/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33"/>
      <c r="AM401" s="33"/>
      <c r="AN401" s="33"/>
      <c r="AO401" s="23">
        <f t="shared" si="9"/>
        <v>0</v>
      </c>
      <c r="AP401" s="23">
        <f t="shared" si="10"/>
        <v>0</v>
      </c>
      <c r="AQ401" s="10"/>
    </row>
    <row r="402">
      <c r="A402" s="10"/>
      <c r="B402" s="21" t="str">
        <f>'DES 25'!AJ:AJ</f>
        <v/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33"/>
      <c r="AM402" s="33"/>
      <c r="AN402" s="33"/>
      <c r="AO402" s="23">
        <f t="shared" si="9"/>
        <v>0</v>
      </c>
      <c r="AP402" s="23">
        <f t="shared" si="10"/>
        <v>0</v>
      </c>
      <c r="AQ402" s="10"/>
    </row>
    <row r="403">
      <c r="A403" s="10"/>
      <c r="B403" s="21" t="str">
        <f>'DES 25'!AJ:AJ</f>
        <v/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33"/>
      <c r="AM403" s="33"/>
      <c r="AN403" s="33"/>
      <c r="AO403" s="23">
        <f t="shared" si="9"/>
        <v>0</v>
      </c>
      <c r="AP403" s="23">
        <f t="shared" si="10"/>
        <v>0</v>
      </c>
      <c r="AQ403" s="10"/>
    </row>
    <row r="404">
      <c r="A404" s="10"/>
      <c r="B404" s="21" t="str">
        <f>'DES 25'!AJ:AJ</f>
        <v/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33"/>
      <c r="AM404" s="33"/>
      <c r="AN404" s="33"/>
      <c r="AO404" s="23">
        <f t="shared" si="9"/>
        <v>0</v>
      </c>
      <c r="AP404" s="23">
        <f t="shared" si="10"/>
        <v>0</v>
      </c>
      <c r="AQ404" s="10"/>
    </row>
    <row r="405">
      <c r="A405" s="10"/>
      <c r="B405" s="21" t="str">
        <f>'DES 25'!AJ:AJ</f>
        <v/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33"/>
      <c r="AM405" s="33"/>
      <c r="AN405" s="33"/>
      <c r="AO405" s="23">
        <f t="shared" si="9"/>
        <v>0</v>
      </c>
      <c r="AP405" s="23">
        <f t="shared" si="10"/>
        <v>0</v>
      </c>
      <c r="AQ405" s="10"/>
    </row>
    <row r="406">
      <c r="A406" s="10"/>
      <c r="B406" s="21" t="str">
        <f>'DES 25'!AJ:AJ</f>
        <v/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33"/>
      <c r="AM406" s="33"/>
      <c r="AN406" s="33"/>
      <c r="AO406" s="23">
        <f t="shared" si="9"/>
        <v>0</v>
      </c>
      <c r="AP406" s="23">
        <f t="shared" si="10"/>
        <v>0</v>
      </c>
      <c r="AQ406" s="10"/>
    </row>
    <row r="407">
      <c r="A407" s="10"/>
      <c r="B407" s="21" t="str">
        <f>'DES 25'!AJ:AJ</f>
        <v/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33"/>
      <c r="AM407" s="33"/>
      <c r="AN407" s="33"/>
      <c r="AO407" s="23">
        <f t="shared" si="9"/>
        <v>0</v>
      </c>
      <c r="AP407" s="23">
        <f t="shared" si="10"/>
        <v>0</v>
      </c>
      <c r="AQ407" s="10"/>
    </row>
    <row r="408">
      <c r="A408" s="10"/>
      <c r="B408" s="21" t="str">
        <f>'DES 25'!AJ:AJ</f>
        <v/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33"/>
      <c r="AM408" s="33"/>
      <c r="AN408" s="33"/>
      <c r="AO408" s="23">
        <f t="shared" si="9"/>
        <v>0</v>
      </c>
      <c r="AP408" s="23">
        <f t="shared" si="10"/>
        <v>0</v>
      </c>
      <c r="AQ408" s="10"/>
    </row>
    <row r="409">
      <c r="A409" s="40"/>
      <c r="B409" s="42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1"/>
      <c r="AM409" s="41"/>
      <c r="AN409" s="41"/>
      <c r="AO409" s="40"/>
      <c r="AP409" s="40"/>
      <c r="AQ409" s="40"/>
    </row>
    <row r="410">
      <c r="A410" s="40"/>
      <c r="B410" s="42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1"/>
      <c r="AM410" s="41"/>
      <c r="AN410" s="41"/>
      <c r="AO410" s="40"/>
      <c r="AP410" s="40"/>
      <c r="AQ410" s="40"/>
    </row>
    <row r="411">
      <c r="A411" s="40"/>
      <c r="B411" s="42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1"/>
      <c r="AM411" s="41"/>
      <c r="AN411" s="41"/>
      <c r="AO411" s="40"/>
      <c r="AP411" s="40"/>
      <c r="AQ411" s="40"/>
    </row>
    <row r="412">
      <c r="A412" s="40"/>
      <c r="B412" s="42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1"/>
      <c r="AM412" s="41"/>
      <c r="AN412" s="41"/>
      <c r="AO412" s="40"/>
      <c r="AP412" s="40"/>
      <c r="AQ412" s="40"/>
    </row>
    <row r="413">
      <c r="A413" s="40"/>
      <c r="B413" s="42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1"/>
      <c r="AM413" s="41"/>
      <c r="AN413" s="41"/>
      <c r="AO413" s="40"/>
      <c r="AP413" s="40"/>
      <c r="AQ413" s="40"/>
    </row>
    <row r="414">
      <c r="A414" s="40"/>
      <c r="B414" s="42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1"/>
      <c r="AM414" s="41"/>
      <c r="AN414" s="41"/>
      <c r="AO414" s="40"/>
      <c r="AP414" s="40"/>
      <c r="AQ414" s="40"/>
    </row>
    <row r="415">
      <c r="A415" s="40"/>
      <c r="B415" s="42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1"/>
      <c r="AM415" s="41"/>
      <c r="AN415" s="41"/>
      <c r="AO415" s="40"/>
      <c r="AP415" s="40"/>
      <c r="AQ415" s="40"/>
    </row>
    <row r="416">
      <c r="A416" s="40"/>
      <c r="B416" s="42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1"/>
      <c r="AM416" s="41"/>
      <c r="AN416" s="41"/>
      <c r="AO416" s="40"/>
      <c r="AP416" s="40"/>
      <c r="AQ416" s="40"/>
    </row>
    <row r="417">
      <c r="A417" s="40"/>
      <c r="B417" s="42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1"/>
      <c r="AM417" s="41"/>
      <c r="AN417" s="41"/>
      <c r="AO417" s="40"/>
      <c r="AP417" s="40"/>
      <c r="AQ417" s="40"/>
    </row>
    <row r="418">
      <c r="A418" s="40"/>
      <c r="B418" s="42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1"/>
      <c r="AM418" s="41"/>
      <c r="AN418" s="41"/>
      <c r="AO418" s="40"/>
      <c r="AP418" s="40"/>
      <c r="AQ418" s="40"/>
    </row>
    <row r="419">
      <c r="A419" s="40"/>
      <c r="B419" s="42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1"/>
      <c r="AM419" s="41"/>
      <c r="AN419" s="41"/>
      <c r="AO419" s="40"/>
      <c r="AP419" s="40"/>
      <c r="AQ419" s="40"/>
    </row>
    <row r="420">
      <c r="A420" s="40"/>
      <c r="B420" s="42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1"/>
      <c r="AM420" s="41"/>
      <c r="AN420" s="41"/>
      <c r="AO420" s="40"/>
      <c r="AP420" s="40"/>
      <c r="AQ420" s="40"/>
    </row>
    <row r="421">
      <c r="A421" s="40"/>
      <c r="B421" s="42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1"/>
      <c r="AM421" s="41"/>
      <c r="AN421" s="41"/>
      <c r="AO421" s="40"/>
      <c r="AP421" s="40"/>
      <c r="AQ421" s="40"/>
    </row>
    <row r="422">
      <c r="A422" s="40"/>
      <c r="B422" s="42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1"/>
      <c r="AM422" s="41"/>
      <c r="AN422" s="41"/>
      <c r="AO422" s="40"/>
      <c r="AP422" s="40"/>
      <c r="AQ422" s="40"/>
    </row>
    <row r="423">
      <c r="A423" s="40"/>
      <c r="B423" s="42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1"/>
      <c r="AM423" s="41"/>
      <c r="AN423" s="41"/>
      <c r="AO423" s="40"/>
      <c r="AP423" s="40"/>
      <c r="AQ423" s="40"/>
    </row>
    <row r="424">
      <c r="A424" s="40"/>
      <c r="B424" s="42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1"/>
      <c r="AM424" s="41"/>
      <c r="AN424" s="41"/>
      <c r="AO424" s="40"/>
      <c r="AP424" s="40"/>
      <c r="AQ424" s="40"/>
    </row>
    <row r="425">
      <c r="A425" s="40"/>
      <c r="B425" s="42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1"/>
      <c r="AM425" s="41"/>
      <c r="AN425" s="41"/>
      <c r="AO425" s="40"/>
      <c r="AP425" s="40"/>
      <c r="AQ425" s="40"/>
    </row>
    <row r="426">
      <c r="A426" s="40"/>
      <c r="B426" s="42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1"/>
      <c r="AM426" s="41"/>
      <c r="AN426" s="41"/>
      <c r="AO426" s="40"/>
      <c r="AP426" s="40"/>
      <c r="AQ426" s="40"/>
    </row>
    <row r="427">
      <c r="A427" s="40"/>
      <c r="B427" s="42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1"/>
      <c r="AM427" s="41"/>
      <c r="AN427" s="41"/>
      <c r="AO427" s="40"/>
      <c r="AP427" s="40"/>
      <c r="AQ427" s="40"/>
    </row>
    <row r="428">
      <c r="A428" s="40"/>
      <c r="B428" s="42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1"/>
      <c r="AM428" s="41"/>
      <c r="AN428" s="41"/>
      <c r="AO428" s="40"/>
      <c r="AP428" s="40"/>
      <c r="AQ428" s="40"/>
    </row>
    <row r="429">
      <c r="A429" s="40"/>
      <c r="B429" s="42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1"/>
      <c r="AM429" s="41"/>
      <c r="AN429" s="41"/>
      <c r="AO429" s="40"/>
      <c r="AP429" s="40"/>
      <c r="AQ429" s="40"/>
    </row>
    <row r="430">
      <c r="A430" s="40"/>
      <c r="B430" s="42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1"/>
      <c r="AM430" s="41"/>
      <c r="AN430" s="41"/>
      <c r="AO430" s="40"/>
      <c r="AP430" s="40"/>
      <c r="AQ430" s="40"/>
    </row>
    <row r="431">
      <c r="A431" s="40"/>
      <c r="B431" s="42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1"/>
      <c r="AM431" s="41"/>
      <c r="AN431" s="41"/>
      <c r="AO431" s="40"/>
      <c r="AP431" s="40"/>
      <c r="AQ431" s="40"/>
    </row>
    <row r="432">
      <c r="A432" s="40"/>
      <c r="B432" s="42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1"/>
      <c r="AM432" s="41"/>
      <c r="AN432" s="41"/>
      <c r="AO432" s="40"/>
      <c r="AP432" s="40"/>
      <c r="AQ432" s="40"/>
    </row>
    <row r="433">
      <c r="A433" s="40"/>
      <c r="B433" s="42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1"/>
      <c r="AM433" s="41"/>
      <c r="AN433" s="41"/>
      <c r="AO433" s="40"/>
      <c r="AP433" s="40"/>
      <c r="AQ433" s="40"/>
    </row>
    <row r="434">
      <c r="A434" s="40"/>
      <c r="B434" s="42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1"/>
      <c r="AM434" s="41"/>
      <c r="AN434" s="41"/>
      <c r="AO434" s="40"/>
      <c r="AP434" s="40"/>
      <c r="AQ434" s="40"/>
    </row>
    <row r="435">
      <c r="A435" s="40"/>
      <c r="B435" s="42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1"/>
      <c r="AM435" s="41"/>
      <c r="AN435" s="41"/>
      <c r="AO435" s="40"/>
      <c r="AP435" s="40"/>
      <c r="AQ435" s="40"/>
    </row>
    <row r="436">
      <c r="A436" s="40"/>
      <c r="B436" s="42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1"/>
      <c r="AM436" s="41"/>
      <c r="AN436" s="41"/>
      <c r="AO436" s="40"/>
      <c r="AP436" s="40"/>
      <c r="AQ436" s="40"/>
    </row>
    <row r="437">
      <c r="A437" s="40"/>
      <c r="B437" s="42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1"/>
      <c r="AM437" s="41"/>
      <c r="AN437" s="41"/>
      <c r="AO437" s="40"/>
      <c r="AP437" s="40"/>
      <c r="AQ437" s="40"/>
    </row>
    <row r="438">
      <c r="A438" s="40"/>
      <c r="B438" s="42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1"/>
      <c r="AM438" s="41"/>
      <c r="AN438" s="41"/>
      <c r="AO438" s="40"/>
      <c r="AP438" s="40"/>
      <c r="AQ438" s="40"/>
    </row>
    <row r="439">
      <c r="A439" s="40"/>
      <c r="B439" s="42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1"/>
      <c r="AM439" s="41"/>
      <c r="AN439" s="41"/>
      <c r="AO439" s="40"/>
      <c r="AP439" s="40"/>
      <c r="AQ439" s="40"/>
    </row>
    <row r="440">
      <c r="A440" s="40"/>
      <c r="B440" s="42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1"/>
      <c r="AM440" s="41"/>
      <c r="AN440" s="41"/>
      <c r="AO440" s="40"/>
      <c r="AP440" s="40"/>
      <c r="AQ440" s="40"/>
    </row>
    <row r="441">
      <c r="A441" s="40"/>
      <c r="B441" s="42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1"/>
      <c r="AM441" s="41"/>
      <c r="AN441" s="41"/>
      <c r="AO441" s="40"/>
      <c r="AP441" s="40"/>
      <c r="AQ441" s="40"/>
    </row>
    <row r="442">
      <c r="A442" s="40"/>
      <c r="B442" s="42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1"/>
      <c r="AM442" s="41"/>
      <c r="AN442" s="41"/>
      <c r="AO442" s="40"/>
      <c r="AP442" s="40"/>
      <c r="AQ442" s="40"/>
    </row>
    <row r="443">
      <c r="A443" s="40"/>
      <c r="B443" s="42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1"/>
      <c r="AM443" s="41"/>
      <c r="AN443" s="41"/>
      <c r="AO443" s="40"/>
      <c r="AP443" s="40"/>
      <c r="AQ443" s="40"/>
    </row>
    <row r="444">
      <c r="A444" s="40"/>
      <c r="B444" s="42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1"/>
      <c r="AM444" s="41"/>
      <c r="AN444" s="41"/>
      <c r="AO444" s="40"/>
      <c r="AP444" s="40"/>
      <c r="AQ444" s="40"/>
    </row>
    <row r="445">
      <c r="A445" s="40"/>
      <c r="B445" s="42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1"/>
      <c r="AM445" s="41"/>
      <c r="AN445" s="41"/>
      <c r="AO445" s="40"/>
      <c r="AP445" s="40"/>
      <c r="AQ445" s="40"/>
    </row>
    <row r="446">
      <c r="A446" s="40"/>
      <c r="B446" s="42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1"/>
      <c r="AM446" s="41"/>
      <c r="AN446" s="41"/>
      <c r="AO446" s="40"/>
      <c r="AP446" s="40"/>
      <c r="AQ446" s="40"/>
    </row>
    <row r="447">
      <c r="A447" s="40"/>
      <c r="B447" s="42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1"/>
      <c r="AM447" s="41"/>
      <c r="AN447" s="41"/>
      <c r="AO447" s="40"/>
      <c r="AP447" s="40"/>
      <c r="AQ447" s="40"/>
    </row>
    <row r="448">
      <c r="A448" s="40"/>
      <c r="B448" s="42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1"/>
      <c r="AM448" s="41"/>
      <c r="AN448" s="41"/>
      <c r="AO448" s="40"/>
      <c r="AP448" s="40"/>
      <c r="AQ448" s="40"/>
    </row>
    <row r="449">
      <c r="A449" s="40"/>
      <c r="B449" s="42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1"/>
      <c r="AM449" s="41"/>
      <c r="AN449" s="41"/>
      <c r="AO449" s="40"/>
      <c r="AP449" s="40"/>
      <c r="AQ449" s="40"/>
    </row>
    <row r="450">
      <c r="A450" s="40"/>
      <c r="B450" s="42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1"/>
      <c r="AM450" s="41"/>
      <c r="AN450" s="41"/>
      <c r="AO450" s="40"/>
      <c r="AP450" s="40"/>
      <c r="AQ450" s="40"/>
    </row>
    <row r="451">
      <c r="A451" s="40"/>
      <c r="B451" s="42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1"/>
      <c r="AM451" s="41"/>
      <c r="AN451" s="41"/>
      <c r="AO451" s="40"/>
      <c r="AP451" s="40"/>
      <c r="AQ451" s="40"/>
    </row>
    <row r="452">
      <c r="A452" s="40"/>
      <c r="B452" s="42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1"/>
      <c r="AM452" s="41"/>
      <c r="AN452" s="41"/>
      <c r="AO452" s="40"/>
      <c r="AP452" s="40"/>
      <c r="AQ452" s="40"/>
    </row>
    <row r="453">
      <c r="A453" s="40"/>
      <c r="B453" s="42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1"/>
      <c r="AM453" s="41"/>
      <c r="AN453" s="41"/>
      <c r="AO453" s="40"/>
      <c r="AP453" s="40"/>
      <c r="AQ453" s="40"/>
    </row>
    <row r="454">
      <c r="A454" s="40"/>
      <c r="B454" s="42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1"/>
      <c r="AM454" s="41"/>
      <c r="AN454" s="41"/>
      <c r="AO454" s="40"/>
      <c r="AP454" s="40"/>
      <c r="AQ454" s="40"/>
    </row>
    <row r="455">
      <c r="A455" s="40"/>
      <c r="B455" s="42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1"/>
      <c r="AM455" s="41"/>
      <c r="AN455" s="41"/>
      <c r="AO455" s="40"/>
      <c r="AP455" s="40"/>
      <c r="AQ455" s="40"/>
    </row>
    <row r="456">
      <c r="A456" s="40"/>
      <c r="B456" s="42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1"/>
      <c r="AM456" s="41"/>
      <c r="AN456" s="41"/>
      <c r="AO456" s="40"/>
      <c r="AP456" s="40"/>
      <c r="AQ456" s="40"/>
    </row>
    <row r="457">
      <c r="A457" s="40"/>
      <c r="B457" s="42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1"/>
      <c r="AM457" s="41"/>
      <c r="AN457" s="41"/>
      <c r="AO457" s="40"/>
      <c r="AP457" s="40"/>
      <c r="AQ457" s="40"/>
    </row>
    <row r="458">
      <c r="A458" s="40"/>
      <c r="B458" s="42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1"/>
      <c r="AM458" s="41"/>
      <c r="AN458" s="41"/>
      <c r="AO458" s="40"/>
      <c r="AP458" s="40"/>
      <c r="AQ458" s="40"/>
    </row>
    <row r="459">
      <c r="A459" s="40"/>
      <c r="B459" s="42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1"/>
      <c r="AM459" s="41"/>
      <c r="AN459" s="41"/>
      <c r="AO459" s="40"/>
      <c r="AP459" s="40"/>
      <c r="AQ459" s="40"/>
    </row>
    <row r="460">
      <c r="A460" s="40"/>
      <c r="B460" s="42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1"/>
      <c r="AM460" s="41"/>
      <c r="AN460" s="41"/>
      <c r="AO460" s="40"/>
      <c r="AP460" s="40"/>
      <c r="AQ460" s="40"/>
    </row>
    <row r="461">
      <c r="A461" s="40"/>
      <c r="B461" s="42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1"/>
      <c r="AM461" s="41"/>
      <c r="AN461" s="41"/>
      <c r="AO461" s="40"/>
      <c r="AP461" s="40"/>
      <c r="AQ461" s="40"/>
    </row>
    <row r="462">
      <c r="A462" s="40"/>
      <c r="B462" s="42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1"/>
      <c r="AM462" s="41"/>
      <c r="AN462" s="41"/>
      <c r="AO462" s="40"/>
      <c r="AP462" s="40"/>
      <c r="AQ462" s="40"/>
    </row>
    <row r="463">
      <c r="A463" s="40"/>
      <c r="B463" s="42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1"/>
      <c r="AM463" s="41"/>
      <c r="AN463" s="41"/>
      <c r="AO463" s="40"/>
      <c r="AP463" s="40"/>
      <c r="AQ463" s="40"/>
    </row>
    <row r="464">
      <c r="A464" s="40"/>
      <c r="B464" s="42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1"/>
      <c r="AM464" s="41"/>
      <c r="AN464" s="41"/>
      <c r="AO464" s="40"/>
      <c r="AP464" s="40"/>
      <c r="AQ464" s="40"/>
    </row>
    <row r="465">
      <c r="A465" s="40"/>
      <c r="B465" s="42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1"/>
      <c r="AM465" s="41"/>
      <c r="AN465" s="41"/>
      <c r="AO465" s="40"/>
      <c r="AP465" s="40"/>
      <c r="AQ465" s="40"/>
    </row>
    <row r="466">
      <c r="A466" s="40"/>
      <c r="B466" s="42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1"/>
      <c r="AM466" s="41"/>
      <c r="AN466" s="41"/>
      <c r="AO466" s="40"/>
      <c r="AP466" s="40"/>
      <c r="AQ466" s="40"/>
    </row>
    <row r="467">
      <c r="A467" s="40"/>
      <c r="B467" s="42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1"/>
      <c r="AM467" s="41"/>
      <c r="AN467" s="41"/>
      <c r="AO467" s="40"/>
      <c r="AP467" s="40"/>
      <c r="AQ467" s="40"/>
    </row>
    <row r="468">
      <c r="A468" s="40"/>
      <c r="B468" s="42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1"/>
      <c r="AM468" s="41"/>
      <c r="AN468" s="41"/>
      <c r="AO468" s="40"/>
      <c r="AP468" s="40"/>
      <c r="AQ468" s="40"/>
    </row>
    <row r="469">
      <c r="A469" s="40"/>
      <c r="B469" s="42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1"/>
      <c r="AM469" s="41"/>
      <c r="AN469" s="41"/>
      <c r="AO469" s="40"/>
      <c r="AP469" s="40"/>
      <c r="AQ469" s="40"/>
    </row>
    <row r="470">
      <c r="A470" s="40"/>
      <c r="B470" s="42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1"/>
      <c r="AM470" s="41"/>
      <c r="AN470" s="41"/>
      <c r="AO470" s="40"/>
      <c r="AP470" s="40"/>
      <c r="AQ470" s="40"/>
    </row>
    <row r="471">
      <c r="A471" s="40"/>
      <c r="B471" s="42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1"/>
      <c r="AM471" s="41"/>
      <c r="AN471" s="41"/>
      <c r="AO471" s="40"/>
      <c r="AP471" s="40"/>
      <c r="AQ471" s="40"/>
    </row>
    <row r="472">
      <c r="A472" s="40"/>
      <c r="B472" s="42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1"/>
      <c r="AM472" s="41"/>
      <c r="AN472" s="41"/>
      <c r="AO472" s="40"/>
      <c r="AP472" s="40"/>
      <c r="AQ472" s="40"/>
    </row>
    <row r="473">
      <c r="A473" s="40"/>
      <c r="B473" s="42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1"/>
      <c r="AM473" s="41"/>
      <c r="AN473" s="41"/>
      <c r="AO473" s="40"/>
      <c r="AP473" s="40"/>
      <c r="AQ473" s="40"/>
    </row>
    <row r="474">
      <c r="A474" s="40"/>
      <c r="B474" s="42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1"/>
      <c r="AM474" s="41"/>
      <c r="AN474" s="41"/>
      <c r="AO474" s="40"/>
      <c r="AP474" s="40"/>
      <c r="AQ474" s="40"/>
    </row>
    <row r="475">
      <c r="A475" s="40"/>
      <c r="B475" s="42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1"/>
      <c r="AM475" s="41"/>
      <c r="AN475" s="41"/>
      <c r="AO475" s="40"/>
      <c r="AP475" s="40"/>
      <c r="AQ475" s="40"/>
    </row>
    <row r="476">
      <c r="A476" s="40"/>
      <c r="B476" s="42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1"/>
      <c r="AM476" s="41"/>
      <c r="AN476" s="41"/>
      <c r="AO476" s="40"/>
      <c r="AP476" s="40"/>
      <c r="AQ476" s="40"/>
    </row>
    <row r="477">
      <c r="A477" s="40"/>
      <c r="B477" s="42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1"/>
      <c r="AM477" s="41"/>
      <c r="AN477" s="41"/>
      <c r="AO477" s="40"/>
      <c r="AP477" s="40"/>
      <c r="AQ477" s="40"/>
    </row>
    <row r="478">
      <c r="A478" s="40"/>
      <c r="B478" s="42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1"/>
      <c r="AM478" s="41"/>
      <c r="AN478" s="41"/>
      <c r="AO478" s="40"/>
      <c r="AP478" s="40"/>
      <c r="AQ478" s="40"/>
    </row>
    <row r="479">
      <c r="A479" s="40"/>
      <c r="B479" s="42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1"/>
      <c r="AM479" s="41"/>
      <c r="AN479" s="41"/>
      <c r="AO479" s="40"/>
      <c r="AP479" s="40"/>
      <c r="AQ479" s="40"/>
    </row>
    <row r="480">
      <c r="A480" s="40"/>
      <c r="B480" s="42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1"/>
      <c r="AM480" s="41"/>
      <c r="AN480" s="41"/>
      <c r="AO480" s="40"/>
      <c r="AP480" s="40"/>
      <c r="AQ480" s="40"/>
    </row>
    <row r="481">
      <c r="A481" s="40"/>
      <c r="B481" s="42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1"/>
      <c r="AM481" s="41"/>
      <c r="AN481" s="41"/>
      <c r="AO481" s="40"/>
      <c r="AP481" s="40"/>
      <c r="AQ481" s="40"/>
    </row>
    <row r="482">
      <c r="A482" s="40"/>
      <c r="B482" s="42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1"/>
      <c r="AM482" s="41"/>
      <c r="AN482" s="41"/>
      <c r="AO482" s="40"/>
      <c r="AP482" s="40"/>
      <c r="AQ482" s="40"/>
    </row>
    <row r="483">
      <c r="A483" s="40"/>
      <c r="B483" s="42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1"/>
      <c r="AM483" s="41"/>
      <c r="AN483" s="41"/>
      <c r="AO483" s="40"/>
      <c r="AP483" s="40"/>
      <c r="AQ483" s="40"/>
    </row>
    <row r="484">
      <c r="A484" s="40"/>
      <c r="B484" s="42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1"/>
      <c r="AM484" s="41"/>
      <c r="AN484" s="41"/>
      <c r="AO484" s="40"/>
      <c r="AP484" s="40"/>
      <c r="AQ484" s="40"/>
    </row>
    <row r="485">
      <c r="A485" s="40"/>
      <c r="B485" s="42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1"/>
      <c r="AM485" s="41"/>
      <c r="AN485" s="41"/>
      <c r="AO485" s="40"/>
      <c r="AP485" s="40"/>
      <c r="AQ485" s="40"/>
    </row>
    <row r="486">
      <c r="A486" s="40"/>
      <c r="B486" s="42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1"/>
      <c r="AM486" s="41"/>
      <c r="AN486" s="41"/>
      <c r="AO486" s="40"/>
      <c r="AP486" s="40"/>
      <c r="AQ486" s="40"/>
    </row>
    <row r="487">
      <c r="A487" s="40"/>
      <c r="B487" s="42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1"/>
      <c r="AM487" s="41"/>
      <c r="AN487" s="41"/>
      <c r="AO487" s="40"/>
      <c r="AP487" s="40"/>
      <c r="AQ487" s="40"/>
    </row>
    <row r="488">
      <c r="A488" s="40"/>
      <c r="B488" s="42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1"/>
      <c r="AM488" s="41"/>
      <c r="AN488" s="41"/>
      <c r="AO488" s="40"/>
      <c r="AP488" s="40"/>
      <c r="AQ488" s="40"/>
    </row>
    <row r="489">
      <c r="A489" s="40"/>
      <c r="B489" s="42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1"/>
      <c r="AM489" s="41"/>
      <c r="AN489" s="41"/>
      <c r="AO489" s="40"/>
      <c r="AP489" s="40"/>
      <c r="AQ489" s="40"/>
    </row>
    <row r="490">
      <c r="A490" s="40"/>
      <c r="B490" s="42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1"/>
      <c r="AM490" s="41"/>
      <c r="AN490" s="41"/>
      <c r="AO490" s="40"/>
      <c r="AP490" s="40"/>
      <c r="AQ490" s="40"/>
    </row>
    <row r="491">
      <c r="A491" s="40"/>
      <c r="B491" s="42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1"/>
      <c r="AM491" s="41"/>
      <c r="AN491" s="41"/>
      <c r="AO491" s="40"/>
      <c r="AP491" s="40"/>
      <c r="AQ491" s="40"/>
    </row>
    <row r="492">
      <c r="A492" s="40"/>
      <c r="B492" s="42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1"/>
      <c r="AM492" s="41"/>
      <c r="AN492" s="41"/>
      <c r="AO492" s="40"/>
      <c r="AP492" s="40"/>
      <c r="AQ492" s="40"/>
    </row>
    <row r="493">
      <c r="A493" s="40"/>
      <c r="B493" s="42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1"/>
      <c r="AM493" s="41"/>
      <c r="AN493" s="41"/>
      <c r="AO493" s="40"/>
      <c r="AP493" s="40"/>
      <c r="AQ493" s="40"/>
    </row>
    <row r="494">
      <c r="A494" s="40"/>
      <c r="B494" s="42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1"/>
      <c r="AM494" s="41"/>
      <c r="AN494" s="41"/>
      <c r="AO494" s="40"/>
      <c r="AP494" s="40"/>
      <c r="AQ494" s="40"/>
    </row>
    <row r="495">
      <c r="A495" s="40"/>
      <c r="B495" s="42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1"/>
      <c r="AM495" s="41"/>
      <c r="AN495" s="41"/>
      <c r="AO495" s="40"/>
      <c r="AP495" s="40"/>
      <c r="AQ495" s="40"/>
    </row>
    <row r="496">
      <c r="A496" s="40"/>
      <c r="B496" s="42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1"/>
      <c r="AM496" s="41"/>
      <c r="AN496" s="41"/>
      <c r="AO496" s="40"/>
      <c r="AP496" s="40"/>
      <c r="AQ496" s="40"/>
    </row>
    <row r="497">
      <c r="A497" s="40"/>
      <c r="B497" s="42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1"/>
      <c r="AM497" s="41"/>
      <c r="AN497" s="41"/>
      <c r="AO497" s="40"/>
      <c r="AP497" s="40"/>
      <c r="AQ497" s="40"/>
    </row>
    <row r="498">
      <c r="A498" s="40"/>
      <c r="B498" s="42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1"/>
      <c r="AM498" s="41"/>
      <c r="AN498" s="41"/>
      <c r="AO498" s="40"/>
      <c r="AP498" s="40"/>
      <c r="AQ498" s="40"/>
    </row>
    <row r="499">
      <c r="A499" s="40"/>
      <c r="B499" s="42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1"/>
      <c r="AM499" s="41"/>
      <c r="AN499" s="41"/>
      <c r="AO499" s="40"/>
      <c r="AP499" s="40"/>
      <c r="AQ499" s="40"/>
    </row>
    <row r="500">
      <c r="A500" s="40"/>
      <c r="B500" s="42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1"/>
      <c r="AM500" s="41"/>
      <c r="AN500" s="41"/>
      <c r="AO500" s="40"/>
      <c r="AP500" s="40"/>
      <c r="AQ500" s="40"/>
    </row>
    <row r="501">
      <c r="A501" s="40"/>
      <c r="B501" s="42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1"/>
      <c r="AM501" s="41"/>
      <c r="AN501" s="41"/>
      <c r="AO501" s="40"/>
      <c r="AP501" s="40"/>
      <c r="AQ501" s="40"/>
    </row>
    <row r="502">
      <c r="A502" s="40"/>
      <c r="B502" s="42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1"/>
      <c r="AM502" s="41"/>
      <c r="AN502" s="41"/>
      <c r="AO502" s="40"/>
      <c r="AP502" s="40"/>
      <c r="AQ502" s="40"/>
    </row>
    <row r="503">
      <c r="A503" s="40"/>
      <c r="B503" s="42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1"/>
      <c r="AM503" s="41"/>
      <c r="AN503" s="41"/>
      <c r="AO503" s="40"/>
      <c r="AP503" s="40"/>
      <c r="AQ503" s="40"/>
    </row>
    <row r="504">
      <c r="A504" s="40"/>
      <c r="B504" s="42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1"/>
      <c r="AM504" s="41"/>
      <c r="AN504" s="41"/>
      <c r="AO504" s="40"/>
      <c r="AP504" s="40"/>
      <c r="AQ504" s="40"/>
    </row>
    <row r="505">
      <c r="A505" s="40"/>
      <c r="B505" s="42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1"/>
      <c r="AM505" s="41"/>
      <c r="AN505" s="41"/>
      <c r="AO505" s="40"/>
      <c r="AP505" s="40"/>
      <c r="AQ505" s="40"/>
    </row>
    <row r="506">
      <c r="A506" s="40"/>
      <c r="B506" s="42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1"/>
      <c r="AM506" s="41"/>
      <c r="AN506" s="41"/>
      <c r="AO506" s="40"/>
      <c r="AP506" s="40"/>
      <c r="AQ506" s="40"/>
    </row>
    <row r="507">
      <c r="A507" s="40"/>
      <c r="B507" s="42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1"/>
      <c r="AM507" s="41"/>
      <c r="AN507" s="41"/>
      <c r="AO507" s="40"/>
      <c r="AP507" s="40"/>
      <c r="AQ507" s="40"/>
    </row>
    <row r="508">
      <c r="A508" s="40"/>
      <c r="B508" s="42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1"/>
      <c r="AM508" s="41"/>
      <c r="AN508" s="41"/>
      <c r="AO508" s="40"/>
      <c r="AP508" s="40"/>
      <c r="AQ508" s="40"/>
    </row>
    <row r="509">
      <c r="A509" s="40"/>
      <c r="B509" s="42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1"/>
      <c r="AM509" s="41"/>
      <c r="AN509" s="41"/>
      <c r="AO509" s="40"/>
      <c r="AP509" s="40"/>
      <c r="AQ509" s="40"/>
    </row>
    <row r="510">
      <c r="A510" s="40"/>
      <c r="B510" s="42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1"/>
      <c r="AM510" s="41"/>
      <c r="AN510" s="41"/>
      <c r="AO510" s="40"/>
      <c r="AP510" s="40"/>
      <c r="AQ510" s="40"/>
    </row>
    <row r="511">
      <c r="A511" s="40"/>
      <c r="B511" s="42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1"/>
      <c r="AM511" s="41"/>
      <c r="AN511" s="41"/>
      <c r="AO511" s="40"/>
      <c r="AP511" s="40"/>
      <c r="AQ511" s="40"/>
    </row>
    <row r="512">
      <c r="A512" s="40"/>
      <c r="B512" s="42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1"/>
      <c r="AM512" s="41"/>
      <c r="AN512" s="41"/>
      <c r="AO512" s="40"/>
      <c r="AP512" s="40"/>
      <c r="AQ512" s="40"/>
    </row>
    <row r="513">
      <c r="A513" s="40"/>
      <c r="B513" s="42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1"/>
      <c r="AM513" s="41"/>
      <c r="AN513" s="41"/>
      <c r="AO513" s="40"/>
      <c r="AP513" s="40"/>
      <c r="AQ513" s="40"/>
    </row>
    <row r="514">
      <c r="A514" s="40"/>
      <c r="B514" s="42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1"/>
      <c r="AM514" s="41"/>
      <c r="AN514" s="41"/>
      <c r="AO514" s="40"/>
      <c r="AP514" s="40"/>
      <c r="AQ514" s="40"/>
    </row>
    <row r="515">
      <c r="A515" s="40"/>
      <c r="B515" s="42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1"/>
      <c r="AM515" s="41"/>
      <c r="AN515" s="41"/>
      <c r="AO515" s="40"/>
      <c r="AP515" s="40"/>
      <c r="AQ515" s="40"/>
    </row>
    <row r="516">
      <c r="A516" s="40"/>
      <c r="B516" s="42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1"/>
      <c r="AM516" s="41"/>
      <c r="AN516" s="41"/>
      <c r="AO516" s="40"/>
      <c r="AP516" s="40"/>
      <c r="AQ516" s="40"/>
    </row>
    <row r="517">
      <c r="A517" s="40"/>
      <c r="B517" s="42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1"/>
      <c r="AM517" s="41"/>
      <c r="AN517" s="41"/>
      <c r="AO517" s="40"/>
      <c r="AP517" s="40"/>
      <c r="AQ517" s="40"/>
    </row>
    <row r="518">
      <c r="A518" s="40"/>
      <c r="B518" s="42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1"/>
      <c r="AM518" s="41"/>
      <c r="AN518" s="41"/>
      <c r="AO518" s="40"/>
      <c r="AP518" s="40"/>
      <c r="AQ518" s="40"/>
    </row>
    <row r="519">
      <c r="A519" s="40"/>
      <c r="B519" s="42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1"/>
      <c r="AM519" s="41"/>
      <c r="AN519" s="41"/>
      <c r="AO519" s="40"/>
      <c r="AP519" s="40"/>
      <c r="AQ519" s="40"/>
    </row>
    <row r="520">
      <c r="A520" s="40"/>
      <c r="B520" s="42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1"/>
      <c r="AM520" s="41"/>
      <c r="AN520" s="41"/>
      <c r="AO520" s="40"/>
      <c r="AP520" s="40"/>
      <c r="AQ520" s="40"/>
    </row>
    <row r="521">
      <c r="A521" s="40"/>
      <c r="B521" s="42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1"/>
      <c r="AM521" s="41"/>
      <c r="AN521" s="41"/>
      <c r="AO521" s="40"/>
      <c r="AP521" s="40"/>
      <c r="AQ521" s="40"/>
    </row>
    <row r="522">
      <c r="A522" s="40"/>
      <c r="B522" s="42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1"/>
      <c r="AM522" s="41"/>
      <c r="AN522" s="41"/>
      <c r="AO522" s="40"/>
      <c r="AP522" s="40"/>
      <c r="AQ522" s="40"/>
    </row>
    <row r="523">
      <c r="A523" s="40"/>
      <c r="B523" s="42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1"/>
      <c r="AM523" s="41"/>
      <c r="AN523" s="41"/>
      <c r="AO523" s="40"/>
      <c r="AP523" s="40"/>
      <c r="AQ523" s="40"/>
    </row>
    <row r="524">
      <c r="A524" s="40"/>
      <c r="B524" s="42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1"/>
      <c r="AM524" s="41"/>
      <c r="AN524" s="41"/>
      <c r="AO524" s="40"/>
      <c r="AP524" s="40"/>
      <c r="AQ524" s="40"/>
    </row>
    <row r="525">
      <c r="A525" s="40"/>
      <c r="B525" s="42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1"/>
      <c r="AM525" s="41"/>
      <c r="AN525" s="41"/>
      <c r="AO525" s="40"/>
      <c r="AP525" s="40"/>
      <c r="AQ525" s="40"/>
    </row>
    <row r="526">
      <c r="A526" s="40"/>
      <c r="B526" s="42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1"/>
      <c r="AM526" s="41"/>
      <c r="AN526" s="41"/>
      <c r="AO526" s="40"/>
      <c r="AP526" s="40"/>
      <c r="AQ526" s="40"/>
    </row>
    <row r="527">
      <c r="A527" s="40"/>
      <c r="B527" s="42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1"/>
      <c r="AM527" s="41"/>
      <c r="AN527" s="41"/>
      <c r="AO527" s="40"/>
      <c r="AP527" s="40"/>
      <c r="AQ527" s="40"/>
    </row>
    <row r="528">
      <c r="A528" s="40"/>
      <c r="B528" s="42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1"/>
      <c r="AM528" s="41"/>
      <c r="AN528" s="41"/>
      <c r="AO528" s="40"/>
      <c r="AP528" s="40"/>
      <c r="AQ528" s="40"/>
    </row>
    <row r="529">
      <c r="A529" s="40"/>
      <c r="B529" s="42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1"/>
      <c r="AM529" s="41"/>
      <c r="AN529" s="41"/>
      <c r="AO529" s="40"/>
      <c r="AP529" s="40"/>
      <c r="AQ529" s="40"/>
    </row>
    <row r="530">
      <c r="A530" s="40"/>
      <c r="B530" s="42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1"/>
      <c r="AM530" s="41"/>
      <c r="AN530" s="41"/>
      <c r="AO530" s="40"/>
      <c r="AP530" s="40"/>
      <c r="AQ530" s="40"/>
    </row>
    <row r="531">
      <c r="A531" s="40"/>
      <c r="B531" s="42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1"/>
      <c r="AM531" s="41"/>
      <c r="AN531" s="41"/>
      <c r="AO531" s="40"/>
      <c r="AP531" s="40"/>
      <c r="AQ531" s="40"/>
    </row>
    <row r="532">
      <c r="A532" s="40"/>
      <c r="B532" s="42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1"/>
      <c r="AM532" s="41"/>
      <c r="AN532" s="41"/>
      <c r="AO532" s="40"/>
      <c r="AP532" s="40"/>
      <c r="AQ532" s="40"/>
    </row>
    <row r="533">
      <c r="A533" s="40"/>
      <c r="B533" s="42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1"/>
      <c r="AM533" s="41"/>
      <c r="AN533" s="41"/>
      <c r="AO533" s="40"/>
      <c r="AP533" s="40"/>
      <c r="AQ533" s="40"/>
    </row>
    <row r="534">
      <c r="A534" s="40"/>
      <c r="B534" s="42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1"/>
      <c r="AM534" s="41"/>
      <c r="AN534" s="41"/>
      <c r="AO534" s="40"/>
      <c r="AP534" s="40"/>
      <c r="AQ534" s="40"/>
    </row>
    <row r="535">
      <c r="A535" s="40"/>
      <c r="B535" s="42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1"/>
      <c r="AM535" s="41"/>
      <c r="AN535" s="41"/>
      <c r="AO535" s="40"/>
      <c r="AP535" s="40"/>
      <c r="AQ535" s="40"/>
    </row>
    <row r="536">
      <c r="A536" s="40"/>
      <c r="B536" s="42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1"/>
      <c r="AM536" s="41"/>
      <c r="AN536" s="41"/>
      <c r="AO536" s="40"/>
      <c r="AP536" s="40"/>
      <c r="AQ536" s="40"/>
    </row>
    <row r="537">
      <c r="A537" s="40"/>
      <c r="B537" s="42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1"/>
      <c r="AM537" s="41"/>
      <c r="AN537" s="41"/>
      <c r="AO537" s="40"/>
      <c r="AP537" s="40"/>
      <c r="AQ537" s="40"/>
    </row>
    <row r="538">
      <c r="A538" s="40"/>
      <c r="B538" s="42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1"/>
      <c r="AM538" s="41"/>
      <c r="AN538" s="41"/>
      <c r="AO538" s="40"/>
      <c r="AP538" s="40"/>
      <c r="AQ538" s="40"/>
    </row>
    <row r="539">
      <c r="A539" s="40"/>
      <c r="B539" s="42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1"/>
      <c r="AM539" s="41"/>
      <c r="AN539" s="41"/>
      <c r="AO539" s="40"/>
      <c r="AP539" s="40"/>
      <c r="AQ539" s="40"/>
    </row>
    <row r="540">
      <c r="A540" s="40"/>
      <c r="B540" s="42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1"/>
      <c r="AM540" s="41"/>
      <c r="AN540" s="41"/>
      <c r="AO540" s="40"/>
      <c r="AP540" s="40"/>
      <c r="AQ540" s="40"/>
    </row>
    <row r="541">
      <c r="A541" s="40"/>
      <c r="B541" s="42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1"/>
      <c r="AM541" s="41"/>
      <c r="AN541" s="41"/>
      <c r="AO541" s="40"/>
      <c r="AP541" s="40"/>
      <c r="AQ541" s="40"/>
    </row>
    <row r="542">
      <c r="A542" s="40"/>
      <c r="B542" s="42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1"/>
      <c r="AM542" s="41"/>
      <c r="AN542" s="41"/>
      <c r="AO542" s="40"/>
      <c r="AP542" s="40"/>
      <c r="AQ542" s="40"/>
    </row>
    <row r="543">
      <c r="A543" s="40"/>
      <c r="B543" s="42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1"/>
      <c r="AM543" s="41"/>
      <c r="AN543" s="41"/>
      <c r="AO543" s="40"/>
      <c r="AP543" s="40"/>
      <c r="AQ543" s="40"/>
    </row>
    <row r="544">
      <c r="A544" s="40"/>
      <c r="B544" s="42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1"/>
      <c r="AM544" s="41"/>
      <c r="AN544" s="41"/>
      <c r="AO544" s="40"/>
      <c r="AP544" s="40"/>
      <c r="AQ544" s="40"/>
    </row>
    <row r="545">
      <c r="A545" s="40"/>
      <c r="B545" s="42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1"/>
      <c r="AM545" s="41"/>
      <c r="AN545" s="41"/>
      <c r="AO545" s="40"/>
      <c r="AP545" s="40"/>
      <c r="AQ545" s="40"/>
    </row>
    <row r="546">
      <c r="A546" s="40"/>
      <c r="B546" s="42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1"/>
      <c r="AM546" s="41"/>
      <c r="AN546" s="41"/>
      <c r="AO546" s="40"/>
      <c r="AP546" s="40"/>
      <c r="AQ546" s="40"/>
    </row>
    <row r="547">
      <c r="A547" s="40"/>
      <c r="B547" s="42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1"/>
      <c r="AM547" s="41"/>
      <c r="AN547" s="41"/>
      <c r="AO547" s="40"/>
      <c r="AP547" s="40"/>
      <c r="AQ547" s="40"/>
    </row>
    <row r="548">
      <c r="A548" s="40"/>
      <c r="B548" s="42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1"/>
      <c r="AM548" s="41"/>
      <c r="AN548" s="41"/>
      <c r="AO548" s="40"/>
      <c r="AP548" s="40"/>
      <c r="AQ548" s="40"/>
    </row>
    <row r="549">
      <c r="A549" s="40"/>
      <c r="B549" s="42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1"/>
      <c r="AM549" s="41"/>
      <c r="AN549" s="41"/>
      <c r="AO549" s="40"/>
      <c r="AP549" s="40"/>
      <c r="AQ549" s="40"/>
    </row>
    <row r="550">
      <c r="A550" s="40"/>
      <c r="B550" s="42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1"/>
      <c r="AM550" s="41"/>
      <c r="AN550" s="41"/>
      <c r="AO550" s="40"/>
      <c r="AP550" s="40"/>
      <c r="AQ550" s="40"/>
    </row>
    <row r="551">
      <c r="A551" s="40"/>
      <c r="B551" s="42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1"/>
      <c r="AM551" s="41"/>
      <c r="AN551" s="41"/>
      <c r="AO551" s="40"/>
      <c r="AP551" s="40"/>
      <c r="AQ551" s="40"/>
    </row>
    <row r="552">
      <c r="A552" s="40"/>
      <c r="B552" s="42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1"/>
      <c r="AM552" s="41"/>
      <c r="AN552" s="41"/>
      <c r="AO552" s="40"/>
      <c r="AP552" s="40"/>
      <c r="AQ552" s="40"/>
    </row>
    <row r="553">
      <c r="A553" s="40"/>
      <c r="B553" s="42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1"/>
      <c r="AM553" s="41"/>
      <c r="AN553" s="41"/>
      <c r="AO553" s="40"/>
      <c r="AP553" s="40"/>
      <c r="AQ553" s="40"/>
    </row>
    <row r="554">
      <c r="A554" s="40"/>
      <c r="B554" s="42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1"/>
      <c r="AM554" s="41"/>
      <c r="AN554" s="41"/>
      <c r="AO554" s="40"/>
      <c r="AP554" s="40"/>
      <c r="AQ554" s="40"/>
    </row>
    <row r="555">
      <c r="A555" s="40"/>
      <c r="B555" s="42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1"/>
      <c r="AM555" s="41"/>
      <c r="AN555" s="41"/>
      <c r="AO555" s="40"/>
      <c r="AP555" s="40"/>
      <c r="AQ555" s="40"/>
    </row>
    <row r="556">
      <c r="A556" s="40"/>
      <c r="B556" s="42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1"/>
      <c r="AM556" s="41"/>
      <c r="AN556" s="41"/>
      <c r="AO556" s="40"/>
      <c r="AP556" s="40"/>
      <c r="AQ556" s="40"/>
    </row>
    <row r="557">
      <c r="A557" s="40"/>
      <c r="B557" s="42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1"/>
      <c r="AM557" s="41"/>
      <c r="AN557" s="41"/>
      <c r="AO557" s="40"/>
      <c r="AP557" s="40"/>
      <c r="AQ557" s="40"/>
    </row>
    <row r="558">
      <c r="A558" s="40"/>
      <c r="B558" s="42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1"/>
      <c r="AM558" s="41"/>
      <c r="AN558" s="41"/>
      <c r="AO558" s="40"/>
      <c r="AP558" s="40"/>
      <c r="AQ558" s="40"/>
    </row>
    <row r="559">
      <c r="A559" s="40"/>
      <c r="B559" s="42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1"/>
      <c r="AM559" s="41"/>
      <c r="AN559" s="41"/>
      <c r="AO559" s="40"/>
      <c r="AP559" s="40"/>
      <c r="AQ559" s="40"/>
    </row>
    <row r="560">
      <c r="A560" s="40"/>
      <c r="B560" s="42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1"/>
      <c r="AM560" s="41"/>
      <c r="AN560" s="41"/>
      <c r="AO560" s="40"/>
      <c r="AP560" s="40"/>
      <c r="AQ560" s="40"/>
    </row>
    <row r="561">
      <c r="A561" s="40"/>
      <c r="B561" s="42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1"/>
      <c r="AM561" s="41"/>
      <c r="AN561" s="41"/>
      <c r="AO561" s="40"/>
      <c r="AP561" s="40"/>
      <c r="AQ561" s="40"/>
    </row>
    <row r="562">
      <c r="A562" s="40"/>
      <c r="B562" s="42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1"/>
      <c r="AM562" s="41"/>
      <c r="AN562" s="41"/>
      <c r="AO562" s="40"/>
      <c r="AP562" s="40"/>
      <c r="AQ562" s="40"/>
    </row>
    <row r="563">
      <c r="A563" s="40"/>
      <c r="B563" s="42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1"/>
      <c r="AM563" s="41"/>
      <c r="AN563" s="41"/>
      <c r="AO563" s="40"/>
      <c r="AP563" s="40"/>
      <c r="AQ563" s="40"/>
    </row>
    <row r="564">
      <c r="A564" s="40"/>
      <c r="B564" s="42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1"/>
      <c r="AM564" s="41"/>
      <c r="AN564" s="41"/>
      <c r="AO564" s="40"/>
      <c r="AP564" s="40"/>
      <c r="AQ564" s="40"/>
    </row>
    <row r="565">
      <c r="A565" s="40"/>
      <c r="B565" s="42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1"/>
      <c r="AM565" s="41"/>
      <c r="AN565" s="41"/>
      <c r="AO565" s="40"/>
      <c r="AP565" s="40"/>
      <c r="AQ565" s="40"/>
    </row>
    <row r="566">
      <c r="A566" s="40"/>
      <c r="B566" s="42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1"/>
      <c r="AM566" s="41"/>
      <c r="AN566" s="41"/>
      <c r="AO566" s="40"/>
      <c r="AP566" s="40"/>
      <c r="AQ566" s="40"/>
    </row>
    <row r="567">
      <c r="A567" s="40"/>
      <c r="B567" s="42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1"/>
      <c r="AM567" s="41"/>
      <c r="AN567" s="41"/>
      <c r="AO567" s="40"/>
      <c r="AP567" s="40"/>
      <c r="AQ567" s="40"/>
    </row>
    <row r="568">
      <c r="A568" s="40"/>
      <c r="B568" s="42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1"/>
      <c r="AM568" s="41"/>
      <c r="AN568" s="41"/>
      <c r="AO568" s="40"/>
      <c r="AP568" s="40"/>
      <c r="AQ568" s="40"/>
    </row>
    <row r="569">
      <c r="A569" s="40"/>
      <c r="B569" s="42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1"/>
      <c r="AM569" s="41"/>
      <c r="AN569" s="41"/>
      <c r="AO569" s="40"/>
      <c r="AP569" s="40"/>
      <c r="AQ569" s="40"/>
    </row>
    <row r="570">
      <c r="A570" s="40"/>
      <c r="B570" s="42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1"/>
      <c r="AM570" s="41"/>
      <c r="AN570" s="41"/>
      <c r="AO570" s="40"/>
      <c r="AP570" s="40"/>
      <c r="AQ570" s="40"/>
    </row>
    <row r="571">
      <c r="A571" s="40"/>
      <c r="B571" s="42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1"/>
      <c r="AM571" s="41"/>
      <c r="AN571" s="41"/>
      <c r="AO571" s="40"/>
      <c r="AP571" s="40"/>
      <c r="AQ571" s="40"/>
    </row>
    <row r="572">
      <c r="A572" s="40"/>
      <c r="B572" s="42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1"/>
      <c r="AM572" s="41"/>
      <c r="AN572" s="41"/>
      <c r="AO572" s="40"/>
      <c r="AP572" s="40"/>
      <c r="AQ572" s="40"/>
    </row>
    <row r="573">
      <c r="A573" s="40"/>
      <c r="B573" s="42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1"/>
      <c r="AM573" s="41"/>
      <c r="AN573" s="41"/>
      <c r="AO573" s="40"/>
      <c r="AP573" s="40"/>
      <c r="AQ573" s="40"/>
    </row>
    <row r="574">
      <c r="A574" s="40"/>
      <c r="B574" s="42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1"/>
      <c r="AM574" s="41"/>
      <c r="AN574" s="41"/>
      <c r="AO574" s="40"/>
      <c r="AP574" s="40"/>
      <c r="AQ574" s="40"/>
    </row>
    <row r="575">
      <c r="A575" s="40"/>
      <c r="B575" s="42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1"/>
      <c r="AM575" s="41"/>
      <c r="AN575" s="41"/>
      <c r="AO575" s="40"/>
      <c r="AP575" s="40"/>
      <c r="AQ575" s="40"/>
    </row>
    <row r="576">
      <c r="A576" s="40"/>
      <c r="B576" s="42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1"/>
      <c r="AM576" s="41"/>
      <c r="AN576" s="41"/>
      <c r="AO576" s="40"/>
      <c r="AP576" s="40"/>
      <c r="AQ576" s="40"/>
    </row>
    <row r="577">
      <c r="A577" s="40"/>
      <c r="B577" s="42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1"/>
      <c r="AM577" s="41"/>
      <c r="AN577" s="41"/>
      <c r="AO577" s="40"/>
      <c r="AP577" s="40"/>
      <c r="AQ577" s="40"/>
    </row>
    <row r="578">
      <c r="A578" s="40"/>
      <c r="B578" s="42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1"/>
      <c r="AM578" s="41"/>
      <c r="AN578" s="41"/>
      <c r="AO578" s="40"/>
      <c r="AP578" s="40"/>
      <c r="AQ578" s="40"/>
    </row>
    <row r="579">
      <c r="A579" s="40"/>
      <c r="B579" s="42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1"/>
      <c r="AM579" s="41"/>
      <c r="AN579" s="41"/>
      <c r="AO579" s="40"/>
      <c r="AP579" s="40"/>
      <c r="AQ579" s="40"/>
    </row>
    <row r="580">
      <c r="A580" s="40"/>
      <c r="B580" s="42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1"/>
      <c r="AM580" s="41"/>
      <c r="AN580" s="41"/>
      <c r="AO580" s="40"/>
      <c r="AP580" s="40"/>
      <c r="AQ580" s="40"/>
    </row>
    <row r="581">
      <c r="A581" s="40"/>
      <c r="B581" s="42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1"/>
      <c r="AM581" s="41"/>
      <c r="AN581" s="41"/>
      <c r="AO581" s="40"/>
      <c r="AP581" s="40"/>
      <c r="AQ581" s="40"/>
    </row>
    <row r="582">
      <c r="A582" s="40"/>
      <c r="B582" s="42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1"/>
      <c r="AM582" s="41"/>
      <c r="AN582" s="41"/>
      <c r="AO582" s="40"/>
      <c r="AP582" s="40"/>
      <c r="AQ582" s="40"/>
    </row>
    <row r="583">
      <c r="A583" s="40"/>
      <c r="B583" s="42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1"/>
      <c r="AM583" s="41"/>
      <c r="AN583" s="41"/>
      <c r="AO583" s="40"/>
      <c r="AP583" s="40"/>
      <c r="AQ583" s="40"/>
    </row>
    <row r="584">
      <c r="A584" s="40"/>
      <c r="B584" s="42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1"/>
      <c r="AM584" s="41"/>
      <c r="AN584" s="41"/>
      <c r="AO584" s="40"/>
      <c r="AP584" s="40"/>
      <c r="AQ584" s="40"/>
    </row>
    <row r="585">
      <c r="A585" s="40"/>
      <c r="B585" s="42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1"/>
      <c r="AM585" s="41"/>
      <c r="AN585" s="41"/>
      <c r="AO585" s="40"/>
      <c r="AP585" s="40"/>
      <c r="AQ585" s="40"/>
    </row>
    <row r="586">
      <c r="A586" s="40"/>
      <c r="B586" s="42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1"/>
      <c r="AM586" s="41"/>
      <c r="AN586" s="41"/>
      <c r="AO586" s="40"/>
      <c r="AP586" s="40"/>
      <c r="AQ586" s="40"/>
    </row>
    <row r="587">
      <c r="A587" s="40"/>
      <c r="B587" s="42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1"/>
      <c r="AM587" s="41"/>
      <c r="AN587" s="41"/>
      <c r="AO587" s="40"/>
      <c r="AP587" s="40"/>
      <c r="AQ587" s="40"/>
    </row>
    <row r="588">
      <c r="A588" s="40"/>
      <c r="B588" s="42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1"/>
      <c r="AM588" s="41"/>
      <c r="AN588" s="41"/>
      <c r="AO588" s="40"/>
      <c r="AP588" s="40"/>
      <c r="AQ588" s="40"/>
    </row>
    <row r="589">
      <c r="A589" s="40"/>
      <c r="B589" s="42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1"/>
      <c r="AM589" s="41"/>
      <c r="AN589" s="41"/>
      <c r="AO589" s="40"/>
      <c r="AP589" s="40"/>
      <c r="AQ589" s="40"/>
    </row>
    <row r="590">
      <c r="A590" s="40"/>
      <c r="B590" s="42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1"/>
      <c r="AM590" s="41"/>
      <c r="AN590" s="41"/>
      <c r="AO590" s="40"/>
      <c r="AP590" s="40"/>
      <c r="AQ590" s="40"/>
    </row>
    <row r="591">
      <c r="A591" s="40"/>
      <c r="B591" s="42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1"/>
      <c r="AM591" s="41"/>
      <c r="AN591" s="41"/>
      <c r="AO591" s="40"/>
      <c r="AP591" s="40"/>
      <c r="AQ591" s="40"/>
    </row>
    <row r="592">
      <c r="A592" s="40"/>
      <c r="B592" s="42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1"/>
      <c r="AM592" s="41"/>
      <c r="AN592" s="41"/>
      <c r="AO592" s="40"/>
      <c r="AP592" s="40"/>
      <c r="AQ592" s="40"/>
    </row>
    <row r="593">
      <c r="A593" s="40"/>
      <c r="B593" s="42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1"/>
      <c r="AM593" s="41"/>
      <c r="AN593" s="41"/>
      <c r="AO593" s="40"/>
      <c r="AP593" s="40"/>
      <c r="AQ593" s="40"/>
    </row>
    <row r="594">
      <c r="A594" s="40"/>
      <c r="B594" s="42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1"/>
      <c r="AM594" s="41"/>
      <c r="AN594" s="41"/>
      <c r="AO594" s="40"/>
      <c r="AP594" s="40"/>
      <c r="AQ594" s="40"/>
    </row>
    <row r="595">
      <c r="A595" s="40"/>
      <c r="B595" s="42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1"/>
      <c r="AM595" s="41"/>
      <c r="AN595" s="41"/>
      <c r="AO595" s="40"/>
      <c r="AP595" s="40"/>
      <c r="AQ595" s="40"/>
    </row>
    <row r="596">
      <c r="A596" s="40"/>
      <c r="B596" s="42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1"/>
      <c r="AM596" s="41"/>
      <c r="AN596" s="41"/>
      <c r="AO596" s="40"/>
      <c r="AP596" s="40"/>
      <c r="AQ596" s="40"/>
    </row>
    <row r="597">
      <c r="A597" s="40"/>
      <c r="B597" s="42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1"/>
      <c r="AM597" s="41"/>
      <c r="AN597" s="41"/>
      <c r="AO597" s="40"/>
      <c r="AP597" s="40"/>
      <c r="AQ597" s="40"/>
    </row>
    <row r="598">
      <c r="A598" s="40"/>
      <c r="B598" s="42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1"/>
      <c r="AM598" s="41"/>
      <c r="AN598" s="41"/>
      <c r="AO598" s="40"/>
      <c r="AP598" s="40"/>
      <c r="AQ598" s="40"/>
    </row>
    <row r="599">
      <c r="A599" s="40"/>
      <c r="B599" s="42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1"/>
      <c r="AM599" s="41"/>
      <c r="AN599" s="41"/>
      <c r="AO599" s="40"/>
      <c r="AP599" s="40"/>
      <c r="AQ599" s="40"/>
    </row>
    <row r="600">
      <c r="A600" s="40"/>
      <c r="B600" s="42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1"/>
      <c r="AM600" s="41"/>
      <c r="AN600" s="41"/>
      <c r="AO600" s="40"/>
      <c r="AP600" s="40"/>
      <c r="AQ600" s="40"/>
    </row>
    <row r="601">
      <c r="A601" s="40"/>
      <c r="B601" s="42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1"/>
      <c r="AM601" s="41"/>
      <c r="AN601" s="41"/>
      <c r="AO601" s="40"/>
      <c r="AP601" s="40"/>
      <c r="AQ601" s="40"/>
    </row>
    <row r="602">
      <c r="A602" s="40"/>
      <c r="B602" s="42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1"/>
      <c r="AM602" s="41"/>
      <c r="AN602" s="41"/>
      <c r="AO602" s="40"/>
      <c r="AP602" s="40"/>
      <c r="AQ602" s="40"/>
    </row>
    <row r="603">
      <c r="A603" s="40"/>
      <c r="B603" s="42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1"/>
      <c r="AM603" s="41"/>
      <c r="AN603" s="41"/>
      <c r="AO603" s="40"/>
      <c r="AP603" s="40"/>
      <c r="AQ603" s="40"/>
    </row>
    <row r="604">
      <c r="A604" s="40"/>
      <c r="B604" s="42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1"/>
      <c r="AM604" s="41"/>
      <c r="AN604" s="41"/>
      <c r="AO604" s="40"/>
      <c r="AP604" s="40"/>
      <c r="AQ604" s="40"/>
    </row>
    <row r="605">
      <c r="A605" s="40"/>
      <c r="B605" s="42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1"/>
      <c r="AM605" s="41"/>
      <c r="AN605" s="41"/>
      <c r="AO605" s="40"/>
      <c r="AP605" s="40"/>
      <c r="AQ605" s="40"/>
    </row>
    <row r="606">
      <c r="A606" s="40"/>
      <c r="B606" s="42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1"/>
      <c r="AM606" s="41"/>
      <c r="AN606" s="41"/>
      <c r="AO606" s="40"/>
      <c r="AP606" s="40"/>
      <c r="AQ606" s="40"/>
    </row>
    <row r="607">
      <c r="A607" s="40"/>
      <c r="B607" s="42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1"/>
      <c r="AM607" s="41"/>
      <c r="AN607" s="41"/>
      <c r="AO607" s="40"/>
      <c r="AP607" s="40"/>
      <c r="AQ607" s="40"/>
    </row>
    <row r="608">
      <c r="A608" s="40"/>
      <c r="B608" s="42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1"/>
      <c r="AM608" s="41"/>
      <c r="AN608" s="41"/>
      <c r="AO608" s="40"/>
      <c r="AP608" s="40"/>
      <c r="AQ608" s="40"/>
    </row>
    <row r="609">
      <c r="A609" s="40"/>
      <c r="B609" s="42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1"/>
      <c r="AM609" s="41"/>
      <c r="AN609" s="41"/>
      <c r="AO609" s="40"/>
      <c r="AP609" s="40"/>
      <c r="AQ609" s="40"/>
    </row>
    <row r="610">
      <c r="A610" s="40"/>
      <c r="B610" s="42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1"/>
      <c r="AM610" s="41"/>
      <c r="AN610" s="41"/>
      <c r="AO610" s="40"/>
      <c r="AP610" s="40"/>
      <c r="AQ610" s="40"/>
    </row>
    <row r="611">
      <c r="A611" s="40"/>
      <c r="B611" s="42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1"/>
      <c r="AM611" s="41"/>
      <c r="AN611" s="41"/>
      <c r="AO611" s="40"/>
      <c r="AP611" s="40"/>
      <c r="AQ611" s="40"/>
    </row>
    <row r="612">
      <c r="A612" s="40"/>
      <c r="B612" s="42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1"/>
      <c r="AM612" s="41"/>
      <c r="AN612" s="41"/>
      <c r="AO612" s="40"/>
      <c r="AP612" s="40"/>
      <c r="AQ612" s="40"/>
    </row>
    <row r="613">
      <c r="A613" s="40"/>
      <c r="B613" s="42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1"/>
      <c r="AM613" s="41"/>
      <c r="AN613" s="41"/>
      <c r="AO613" s="40"/>
      <c r="AP613" s="40"/>
      <c r="AQ613" s="40"/>
    </row>
    <row r="614">
      <c r="A614" s="40"/>
      <c r="B614" s="42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1"/>
      <c r="AM614" s="41"/>
      <c r="AN614" s="41"/>
      <c r="AO614" s="40"/>
      <c r="AP614" s="40"/>
      <c r="AQ614" s="40"/>
    </row>
    <row r="615">
      <c r="A615" s="40"/>
      <c r="B615" s="42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1"/>
      <c r="AM615" s="41"/>
      <c r="AN615" s="41"/>
      <c r="AO615" s="40"/>
      <c r="AP615" s="40"/>
      <c r="AQ615" s="40"/>
    </row>
    <row r="616">
      <c r="A616" s="40"/>
      <c r="B616" s="42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1"/>
      <c r="AM616" s="41"/>
      <c r="AN616" s="41"/>
      <c r="AO616" s="40"/>
      <c r="AP616" s="40"/>
      <c r="AQ616" s="40"/>
    </row>
    <row r="617">
      <c r="A617" s="40"/>
      <c r="B617" s="42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1"/>
      <c r="AM617" s="41"/>
      <c r="AN617" s="41"/>
      <c r="AO617" s="40"/>
      <c r="AP617" s="40"/>
      <c r="AQ617" s="40"/>
    </row>
    <row r="618">
      <c r="A618" s="40"/>
      <c r="B618" s="42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1"/>
      <c r="AM618" s="41"/>
      <c r="AN618" s="41"/>
      <c r="AO618" s="40"/>
      <c r="AP618" s="40"/>
      <c r="AQ618" s="40"/>
    </row>
    <row r="619">
      <c r="A619" s="40"/>
      <c r="B619" s="42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1"/>
      <c r="AM619" s="41"/>
      <c r="AN619" s="41"/>
      <c r="AO619" s="40"/>
      <c r="AP619" s="40"/>
      <c r="AQ619" s="40"/>
    </row>
    <row r="620">
      <c r="A620" s="40"/>
      <c r="B620" s="42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1"/>
      <c r="AM620" s="41"/>
      <c r="AN620" s="41"/>
      <c r="AO620" s="40"/>
      <c r="AP620" s="40"/>
      <c r="AQ620" s="40"/>
    </row>
    <row r="621">
      <c r="A621" s="40"/>
      <c r="B621" s="42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1"/>
      <c r="AM621" s="41"/>
      <c r="AN621" s="41"/>
      <c r="AO621" s="40"/>
      <c r="AP621" s="40"/>
      <c r="AQ621" s="40"/>
    </row>
    <row r="622">
      <c r="A622" s="40"/>
      <c r="B622" s="42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1"/>
      <c r="AM622" s="41"/>
      <c r="AN622" s="41"/>
      <c r="AO622" s="40"/>
      <c r="AP622" s="40"/>
      <c r="AQ622" s="40"/>
    </row>
    <row r="623">
      <c r="A623" s="40"/>
      <c r="B623" s="42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1"/>
      <c r="AM623" s="41"/>
      <c r="AN623" s="41"/>
      <c r="AO623" s="40"/>
      <c r="AP623" s="40"/>
      <c r="AQ623" s="40"/>
    </row>
    <row r="624">
      <c r="A624" s="40"/>
      <c r="B624" s="42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1"/>
      <c r="AM624" s="41"/>
      <c r="AN624" s="41"/>
      <c r="AO624" s="40"/>
      <c r="AP624" s="40"/>
      <c r="AQ624" s="40"/>
    </row>
    <row r="625">
      <c r="A625" s="40"/>
      <c r="B625" s="42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1"/>
      <c r="AM625" s="41"/>
      <c r="AN625" s="41"/>
      <c r="AO625" s="40"/>
      <c r="AP625" s="40"/>
      <c r="AQ625" s="40"/>
    </row>
    <row r="626">
      <c r="A626" s="40"/>
      <c r="B626" s="42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1"/>
      <c r="AM626" s="41"/>
      <c r="AN626" s="41"/>
      <c r="AO626" s="40"/>
      <c r="AP626" s="40"/>
      <c r="AQ626" s="40"/>
    </row>
    <row r="627">
      <c r="A627" s="40"/>
      <c r="B627" s="42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1"/>
      <c r="AM627" s="41"/>
      <c r="AN627" s="41"/>
      <c r="AO627" s="40"/>
      <c r="AP627" s="40"/>
      <c r="AQ627" s="40"/>
    </row>
    <row r="628">
      <c r="A628" s="40"/>
      <c r="B628" s="42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1"/>
      <c r="AM628" s="41"/>
      <c r="AN628" s="41"/>
      <c r="AO628" s="40"/>
      <c r="AP628" s="40"/>
      <c r="AQ628" s="40"/>
    </row>
    <row r="629">
      <c r="A629" s="40"/>
      <c r="B629" s="42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1"/>
      <c r="AM629" s="41"/>
      <c r="AN629" s="41"/>
      <c r="AO629" s="40"/>
      <c r="AP629" s="40"/>
      <c r="AQ629" s="40"/>
    </row>
    <row r="630">
      <c r="A630" s="40"/>
      <c r="B630" s="42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1"/>
      <c r="AM630" s="41"/>
      <c r="AN630" s="41"/>
      <c r="AO630" s="40"/>
      <c r="AP630" s="40"/>
      <c r="AQ630" s="40"/>
    </row>
    <row r="631">
      <c r="A631" s="40"/>
      <c r="B631" s="42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1"/>
      <c r="AM631" s="41"/>
      <c r="AN631" s="41"/>
      <c r="AO631" s="40"/>
      <c r="AP631" s="40"/>
      <c r="AQ631" s="40"/>
    </row>
    <row r="632">
      <c r="A632" s="40"/>
      <c r="B632" s="42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1"/>
      <c r="AM632" s="41"/>
      <c r="AN632" s="41"/>
      <c r="AO632" s="40"/>
      <c r="AP632" s="40"/>
      <c r="AQ632" s="40"/>
    </row>
    <row r="633">
      <c r="A633" s="40"/>
      <c r="B633" s="42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1"/>
      <c r="AM633" s="41"/>
      <c r="AN633" s="41"/>
      <c r="AO633" s="40"/>
      <c r="AP633" s="40"/>
      <c r="AQ633" s="40"/>
    </row>
    <row r="634">
      <c r="A634" s="40"/>
      <c r="B634" s="42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1"/>
      <c r="AM634" s="41"/>
      <c r="AN634" s="41"/>
      <c r="AO634" s="40"/>
      <c r="AP634" s="40"/>
      <c r="AQ634" s="40"/>
    </row>
    <row r="635">
      <c r="A635" s="40"/>
      <c r="B635" s="42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1"/>
      <c r="AM635" s="41"/>
      <c r="AN635" s="41"/>
      <c r="AO635" s="40"/>
      <c r="AP635" s="40"/>
      <c r="AQ635" s="40"/>
    </row>
    <row r="636">
      <c r="A636" s="40"/>
      <c r="B636" s="42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1"/>
      <c r="AM636" s="41"/>
      <c r="AN636" s="41"/>
      <c r="AO636" s="40"/>
      <c r="AP636" s="40"/>
      <c r="AQ636" s="40"/>
    </row>
    <row r="637">
      <c r="A637" s="40"/>
      <c r="B637" s="42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1"/>
      <c r="AM637" s="41"/>
      <c r="AN637" s="41"/>
      <c r="AO637" s="40"/>
      <c r="AP637" s="40"/>
      <c r="AQ637" s="40"/>
    </row>
    <row r="638">
      <c r="A638" s="40"/>
      <c r="B638" s="42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1"/>
      <c r="AM638" s="41"/>
      <c r="AN638" s="41"/>
      <c r="AO638" s="40"/>
      <c r="AP638" s="40"/>
      <c r="AQ638" s="40"/>
    </row>
    <row r="639">
      <c r="A639" s="40"/>
      <c r="B639" s="42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1"/>
      <c r="AM639" s="41"/>
      <c r="AN639" s="41"/>
      <c r="AO639" s="40"/>
      <c r="AP639" s="40"/>
      <c r="AQ639" s="40"/>
    </row>
    <row r="640">
      <c r="A640" s="40"/>
      <c r="B640" s="42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1"/>
      <c r="AM640" s="41"/>
      <c r="AN640" s="41"/>
      <c r="AO640" s="40"/>
      <c r="AP640" s="40"/>
      <c r="AQ640" s="40"/>
    </row>
    <row r="641">
      <c r="A641" s="40"/>
      <c r="B641" s="42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1"/>
      <c r="AM641" s="41"/>
      <c r="AN641" s="41"/>
      <c r="AO641" s="40"/>
      <c r="AP641" s="40"/>
      <c r="AQ641" s="40"/>
    </row>
    <row r="642">
      <c r="A642" s="40"/>
      <c r="B642" s="42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1"/>
      <c r="AM642" s="41"/>
      <c r="AN642" s="41"/>
      <c r="AO642" s="40"/>
      <c r="AP642" s="40"/>
      <c r="AQ642" s="40"/>
    </row>
    <row r="643">
      <c r="A643" s="40"/>
      <c r="B643" s="42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1"/>
      <c r="AM643" s="41"/>
      <c r="AN643" s="41"/>
      <c r="AO643" s="40"/>
      <c r="AP643" s="40"/>
      <c r="AQ643" s="40"/>
    </row>
    <row r="644">
      <c r="A644" s="40"/>
      <c r="B644" s="42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1"/>
      <c r="AM644" s="41"/>
      <c r="AN644" s="41"/>
      <c r="AO644" s="40"/>
      <c r="AP644" s="40"/>
      <c r="AQ644" s="40"/>
    </row>
    <row r="645">
      <c r="A645" s="40"/>
      <c r="B645" s="42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1"/>
      <c r="AM645" s="41"/>
      <c r="AN645" s="41"/>
      <c r="AO645" s="40"/>
      <c r="AP645" s="40"/>
      <c r="AQ645" s="40"/>
    </row>
    <row r="646">
      <c r="A646" s="40"/>
      <c r="B646" s="42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1"/>
      <c r="AM646" s="41"/>
      <c r="AN646" s="41"/>
      <c r="AO646" s="40"/>
      <c r="AP646" s="40"/>
      <c r="AQ646" s="40"/>
    </row>
    <row r="647">
      <c r="A647" s="40"/>
      <c r="B647" s="42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1"/>
      <c r="AM647" s="41"/>
      <c r="AN647" s="41"/>
      <c r="AO647" s="40"/>
      <c r="AP647" s="40"/>
      <c r="AQ647" s="40"/>
    </row>
    <row r="648">
      <c r="A648" s="40"/>
      <c r="B648" s="42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1"/>
      <c r="AM648" s="41"/>
      <c r="AN648" s="41"/>
      <c r="AO648" s="40"/>
      <c r="AP648" s="40"/>
      <c r="AQ648" s="40"/>
    </row>
    <row r="649">
      <c r="A649" s="40"/>
      <c r="B649" s="42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1"/>
      <c r="AM649" s="41"/>
      <c r="AN649" s="41"/>
      <c r="AO649" s="40"/>
      <c r="AP649" s="40"/>
      <c r="AQ649" s="40"/>
    </row>
    <row r="650">
      <c r="A650" s="40"/>
      <c r="B650" s="42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1"/>
      <c r="AM650" s="41"/>
      <c r="AN650" s="41"/>
      <c r="AO650" s="40"/>
      <c r="AP650" s="40"/>
      <c r="AQ650" s="40"/>
    </row>
    <row r="651">
      <c r="A651" s="40"/>
      <c r="B651" s="42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1"/>
      <c r="AM651" s="41"/>
      <c r="AN651" s="41"/>
      <c r="AO651" s="40"/>
      <c r="AP651" s="40"/>
      <c r="AQ651" s="40"/>
    </row>
    <row r="652">
      <c r="A652" s="40"/>
      <c r="B652" s="42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1"/>
      <c r="AM652" s="41"/>
      <c r="AN652" s="41"/>
      <c r="AO652" s="40"/>
      <c r="AP652" s="40"/>
      <c r="AQ652" s="40"/>
    </row>
    <row r="653">
      <c r="A653" s="40"/>
      <c r="B653" s="42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1"/>
      <c r="AM653" s="41"/>
      <c r="AN653" s="41"/>
      <c r="AO653" s="40"/>
      <c r="AP653" s="40"/>
      <c r="AQ653" s="40"/>
    </row>
    <row r="654">
      <c r="A654" s="40"/>
      <c r="B654" s="42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1"/>
      <c r="AM654" s="41"/>
      <c r="AN654" s="41"/>
      <c r="AO654" s="40"/>
      <c r="AP654" s="40"/>
      <c r="AQ654" s="40"/>
    </row>
    <row r="655">
      <c r="A655" s="40"/>
      <c r="B655" s="42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1"/>
      <c r="AM655" s="41"/>
      <c r="AN655" s="41"/>
      <c r="AO655" s="40"/>
      <c r="AP655" s="40"/>
      <c r="AQ655" s="40"/>
    </row>
    <row r="656">
      <c r="A656" s="40"/>
      <c r="B656" s="42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1"/>
      <c r="AM656" s="41"/>
      <c r="AN656" s="41"/>
      <c r="AO656" s="40"/>
      <c r="AP656" s="40"/>
      <c r="AQ656" s="40"/>
    </row>
    <row r="657">
      <c r="A657" s="40"/>
      <c r="B657" s="42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1"/>
      <c r="AM657" s="41"/>
      <c r="AN657" s="41"/>
      <c r="AO657" s="40"/>
      <c r="AP657" s="40"/>
      <c r="AQ657" s="40"/>
    </row>
    <row r="658">
      <c r="A658" s="40"/>
      <c r="B658" s="42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1"/>
      <c r="AM658" s="41"/>
      <c r="AN658" s="41"/>
      <c r="AO658" s="40"/>
      <c r="AP658" s="40"/>
      <c r="AQ658" s="40"/>
    </row>
    <row r="659">
      <c r="A659" s="40"/>
      <c r="B659" s="42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1"/>
      <c r="AM659" s="41"/>
      <c r="AN659" s="41"/>
      <c r="AO659" s="40"/>
      <c r="AP659" s="40"/>
      <c r="AQ659" s="40"/>
    </row>
    <row r="660">
      <c r="A660" s="40"/>
      <c r="B660" s="42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1"/>
      <c r="AM660" s="41"/>
      <c r="AN660" s="41"/>
      <c r="AO660" s="40"/>
      <c r="AP660" s="40"/>
      <c r="AQ660" s="40"/>
    </row>
    <row r="661">
      <c r="A661" s="40"/>
      <c r="B661" s="42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1"/>
      <c r="AM661" s="41"/>
      <c r="AN661" s="41"/>
      <c r="AO661" s="40"/>
      <c r="AP661" s="40"/>
      <c r="AQ661" s="40"/>
    </row>
    <row r="662">
      <c r="A662" s="40"/>
      <c r="B662" s="42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1"/>
      <c r="AM662" s="41"/>
      <c r="AN662" s="41"/>
      <c r="AO662" s="40"/>
      <c r="AP662" s="40"/>
      <c r="AQ662" s="40"/>
    </row>
    <row r="663">
      <c r="A663" s="40"/>
      <c r="B663" s="42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1"/>
      <c r="AM663" s="41"/>
      <c r="AN663" s="41"/>
      <c r="AO663" s="40"/>
      <c r="AP663" s="40"/>
      <c r="AQ663" s="40"/>
    </row>
    <row r="664">
      <c r="A664" s="40"/>
      <c r="B664" s="42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1"/>
      <c r="AM664" s="41"/>
      <c r="AN664" s="41"/>
      <c r="AO664" s="40"/>
      <c r="AP664" s="40"/>
      <c r="AQ664" s="40"/>
    </row>
    <row r="665">
      <c r="A665" s="40"/>
      <c r="B665" s="42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1"/>
      <c r="AM665" s="41"/>
      <c r="AN665" s="41"/>
      <c r="AO665" s="40"/>
      <c r="AP665" s="40"/>
      <c r="AQ665" s="40"/>
    </row>
    <row r="666">
      <c r="A666" s="40"/>
      <c r="B666" s="42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1"/>
      <c r="AM666" s="41"/>
      <c r="AN666" s="41"/>
      <c r="AO666" s="40"/>
      <c r="AP666" s="40"/>
      <c r="AQ666" s="40"/>
    </row>
    <row r="667">
      <c r="A667" s="40"/>
      <c r="B667" s="42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1"/>
      <c r="AM667" s="41"/>
      <c r="AN667" s="41"/>
      <c r="AO667" s="40"/>
      <c r="AP667" s="40"/>
      <c r="AQ667" s="40"/>
    </row>
    <row r="668">
      <c r="A668" s="40"/>
      <c r="B668" s="42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1"/>
      <c r="AM668" s="41"/>
      <c r="AN668" s="41"/>
      <c r="AO668" s="40"/>
      <c r="AP668" s="40"/>
      <c r="AQ668" s="40"/>
    </row>
    <row r="669">
      <c r="A669" s="40"/>
      <c r="B669" s="42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1"/>
      <c r="AM669" s="41"/>
      <c r="AN669" s="41"/>
      <c r="AO669" s="40"/>
      <c r="AP669" s="40"/>
      <c r="AQ669" s="40"/>
    </row>
    <row r="670">
      <c r="A670" s="40"/>
      <c r="B670" s="42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1"/>
      <c r="AM670" s="41"/>
      <c r="AN670" s="41"/>
      <c r="AO670" s="40"/>
      <c r="AP670" s="40"/>
      <c r="AQ670" s="40"/>
    </row>
    <row r="671">
      <c r="A671" s="40"/>
      <c r="B671" s="42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1"/>
      <c r="AM671" s="41"/>
      <c r="AN671" s="41"/>
      <c r="AO671" s="40"/>
      <c r="AP671" s="40"/>
      <c r="AQ671" s="40"/>
    </row>
    <row r="672">
      <c r="A672" s="40"/>
      <c r="B672" s="42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1"/>
      <c r="AM672" s="41"/>
      <c r="AN672" s="41"/>
      <c r="AO672" s="40"/>
      <c r="AP672" s="40"/>
      <c r="AQ672" s="40"/>
    </row>
    <row r="673">
      <c r="A673" s="40"/>
      <c r="B673" s="42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1"/>
      <c r="AM673" s="41"/>
      <c r="AN673" s="41"/>
      <c r="AO673" s="40"/>
      <c r="AP673" s="40"/>
      <c r="AQ673" s="40"/>
    </row>
    <row r="674">
      <c r="A674" s="40"/>
      <c r="B674" s="42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1"/>
      <c r="AM674" s="41"/>
      <c r="AN674" s="41"/>
      <c r="AO674" s="40"/>
      <c r="AP674" s="40"/>
      <c r="AQ674" s="40"/>
    </row>
    <row r="675">
      <c r="A675" s="40"/>
      <c r="B675" s="42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1"/>
      <c r="AM675" s="41"/>
      <c r="AN675" s="41"/>
      <c r="AO675" s="40"/>
      <c r="AP675" s="40"/>
      <c r="AQ675" s="40"/>
    </row>
    <row r="676">
      <c r="A676" s="40"/>
      <c r="B676" s="42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1"/>
      <c r="AM676" s="41"/>
      <c r="AN676" s="41"/>
      <c r="AO676" s="40"/>
      <c r="AP676" s="40"/>
      <c r="AQ676" s="40"/>
    </row>
    <row r="677">
      <c r="A677" s="40"/>
      <c r="B677" s="42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1"/>
      <c r="AM677" s="41"/>
      <c r="AN677" s="41"/>
      <c r="AO677" s="40"/>
      <c r="AP677" s="40"/>
      <c r="AQ677" s="40"/>
    </row>
    <row r="678">
      <c r="A678" s="40"/>
      <c r="B678" s="42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1"/>
      <c r="AM678" s="41"/>
      <c r="AN678" s="41"/>
      <c r="AO678" s="40"/>
      <c r="AP678" s="40"/>
      <c r="AQ678" s="40"/>
    </row>
    <row r="679">
      <c r="A679" s="40"/>
      <c r="B679" s="42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1"/>
      <c r="AM679" s="41"/>
      <c r="AN679" s="41"/>
      <c r="AO679" s="40"/>
      <c r="AP679" s="40"/>
      <c r="AQ679" s="40"/>
    </row>
    <row r="680">
      <c r="A680" s="40"/>
      <c r="B680" s="42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1"/>
      <c r="AM680" s="41"/>
      <c r="AN680" s="41"/>
      <c r="AO680" s="40"/>
      <c r="AP680" s="40"/>
      <c r="AQ680" s="40"/>
    </row>
    <row r="681">
      <c r="A681" s="40"/>
      <c r="B681" s="42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1"/>
      <c r="AM681" s="41"/>
      <c r="AN681" s="41"/>
      <c r="AO681" s="40"/>
      <c r="AP681" s="40"/>
      <c r="AQ681" s="40"/>
    </row>
    <row r="682">
      <c r="A682" s="40"/>
      <c r="B682" s="42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1"/>
      <c r="AM682" s="41"/>
      <c r="AN682" s="41"/>
      <c r="AO682" s="40"/>
      <c r="AP682" s="40"/>
      <c r="AQ682" s="40"/>
    </row>
    <row r="683">
      <c r="A683" s="40"/>
      <c r="B683" s="42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1"/>
      <c r="AM683" s="41"/>
      <c r="AN683" s="41"/>
      <c r="AO683" s="40"/>
      <c r="AP683" s="40"/>
      <c r="AQ683" s="40"/>
    </row>
    <row r="684">
      <c r="A684" s="40"/>
      <c r="B684" s="42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1"/>
      <c r="AM684" s="41"/>
      <c r="AN684" s="41"/>
      <c r="AO684" s="40"/>
      <c r="AP684" s="40"/>
      <c r="AQ684" s="40"/>
    </row>
    <row r="685">
      <c r="A685" s="40"/>
      <c r="B685" s="42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1"/>
      <c r="AM685" s="41"/>
      <c r="AN685" s="41"/>
      <c r="AO685" s="40"/>
      <c r="AP685" s="40"/>
      <c r="AQ685" s="40"/>
    </row>
    <row r="686">
      <c r="A686" s="40"/>
      <c r="B686" s="42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1"/>
      <c r="AM686" s="41"/>
      <c r="AN686" s="41"/>
      <c r="AO686" s="40"/>
      <c r="AP686" s="40"/>
      <c r="AQ686" s="40"/>
    </row>
    <row r="687">
      <c r="A687" s="40"/>
      <c r="B687" s="42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1"/>
      <c r="AM687" s="41"/>
      <c r="AN687" s="41"/>
      <c r="AO687" s="40"/>
      <c r="AP687" s="40"/>
      <c r="AQ687" s="40"/>
    </row>
    <row r="688">
      <c r="A688" s="40"/>
      <c r="B688" s="42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1"/>
      <c r="AM688" s="41"/>
      <c r="AN688" s="41"/>
      <c r="AO688" s="40"/>
      <c r="AP688" s="40"/>
      <c r="AQ688" s="40"/>
    </row>
    <row r="689">
      <c r="A689" s="40"/>
      <c r="B689" s="42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1"/>
      <c r="AM689" s="41"/>
      <c r="AN689" s="41"/>
      <c r="AO689" s="40"/>
      <c r="AP689" s="40"/>
      <c r="AQ689" s="40"/>
    </row>
    <row r="690">
      <c r="A690" s="40"/>
      <c r="B690" s="42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1"/>
      <c r="AM690" s="41"/>
      <c r="AN690" s="41"/>
      <c r="AO690" s="40"/>
      <c r="AP690" s="40"/>
      <c r="AQ690" s="40"/>
    </row>
    <row r="691">
      <c r="A691" s="40"/>
      <c r="B691" s="42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1"/>
      <c r="AM691" s="41"/>
      <c r="AN691" s="41"/>
      <c r="AO691" s="40"/>
      <c r="AP691" s="40"/>
      <c r="AQ691" s="40"/>
    </row>
    <row r="692">
      <c r="A692" s="40"/>
      <c r="B692" s="42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1"/>
      <c r="AM692" s="41"/>
      <c r="AN692" s="41"/>
      <c r="AO692" s="40"/>
      <c r="AP692" s="40"/>
      <c r="AQ692" s="40"/>
    </row>
    <row r="693">
      <c r="A693" s="40"/>
      <c r="B693" s="42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1"/>
      <c r="AM693" s="41"/>
      <c r="AN693" s="41"/>
      <c r="AO693" s="40"/>
      <c r="AP693" s="40"/>
      <c r="AQ693" s="40"/>
    </row>
    <row r="694">
      <c r="A694" s="40"/>
      <c r="B694" s="42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1"/>
      <c r="AM694" s="41"/>
      <c r="AN694" s="41"/>
      <c r="AO694" s="40"/>
      <c r="AP694" s="40"/>
      <c r="AQ694" s="40"/>
    </row>
    <row r="695">
      <c r="A695" s="40"/>
      <c r="B695" s="42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1"/>
      <c r="AM695" s="41"/>
      <c r="AN695" s="41"/>
      <c r="AO695" s="40"/>
      <c r="AP695" s="40"/>
      <c r="AQ695" s="40"/>
    </row>
    <row r="696">
      <c r="A696" s="40"/>
      <c r="B696" s="42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1"/>
      <c r="AM696" s="41"/>
      <c r="AN696" s="41"/>
      <c r="AO696" s="40"/>
      <c r="AP696" s="40"/>
      <c r="AQ696" s="40"/>
    </row>
    <row r="697">
      <c r="A697" s="40"/>
      <c r="B697" s="42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1"/>
      <c r="AM697" s="41"/>
      <c r="AN697" s="41"/>
      <c r="AO697" s="40"/>
      <c r="AP697" s="40"/>
      <c r="AQ697" s="40"/>
    </row>
    <row r="698">
      <c r="A698" s="40"/>
      <c r="B698" s="42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1"/>
      <c r="AM698" s="41"/>
      <c r="AN698" s="41"/>
      <c r="AO698" s="40"/>
      <c r="AP698" s="40"/>
      <c r="AQ698" s="40"/>
    </row>
    <row r="699">
      <c r="A699" s="40"/>
      <c r="B699" s="42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1"/>
      <c r="AM699" s="41"/>
      <c r="AN699" s="41"/>
      <c r="AO699" s="40"/>
      <c r="AP699" s="40"/>
      <c r="AQ699" s="40"/>
    </row>
    <row r="700">
      <c r="A700" s="40"/>
      <c r="B700" s="42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1"/>
      <c r="AM700" s="41"/>
      <c r="AN700" s="41"/>
      <c r="AO700" s="40"/>
      <c r="AP700" s="40"/>
      <c r="AQ700" s="40"/>
    </row>
    <row r="701">
      <c r="A701" s="40"/>
      <c r="B701" s="42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1"/>
      <c r="AM701" s="41"/>
      <c r="AN701" s="41"/>
      <c r="AO701" s="40"/>
      <c r="AP701" s="40"/>
      <c r="AQ701" s="40"/>
    </row>
    <row r="702">
      <c r="A702" s="40"/>
      <c r="B702" s="42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1"/>
      <c r="AM702" s="41"/>
      <c r="AN702" s="41"/>
      <c r="AO702" s="40"/>
      <c r="AP702" s="40"/>
      <c r="AQ702" s="40"/>
    </row>
    <row r="703">
      <c r="A703" s="40"/>
      <c r="B703" s="42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1"/>
      <c r="AM703" s="41"/>
      <c r="AN703" s="41"/>
      <c r="AO703" s="40"/>
      <c r="AP703" s="40"/>
      <c r="AQ703" s="40"/>
    </row>
    <row r="704">
      <c r="A704" s="40"/>
      <c r="B704" s="42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1"/>
      <c r="AM704" s="41"/>
      <c r="AN704" s="41"/>
      <c r="AO704" s="40"/>
      <c r="AP704" s="40"/>
      <c r="AQ704" s="40"/>
    </row>
    <row r="705">
      <c r="A705" s="40"/>
      <c r="B705" s="42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1"/>
      <c r="AM705" s="41"/>
      <c r="AN705" s="41"/>
      <c r="AO705" s="40"/>
      <c r="AP705" s="40"/>
      <c r="AQ705" s="40"/>
    </row>
    <row r="706">
      <c r="A706" s="40"/>
      <c r="B706" s="42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1"/>
      <c r="AM706" s="41"/>
      <c r="AN706" s="41"/>
      <c r="AO706" s="40"/>
      <c r="AP706" s="40"/>
      <c r="AQ706" s="40"/>
    </row>
    <row r="707">
      <c r="A707" s="40"/>
      <c r="B707" s="42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1"/>
      <c r="AM707" s="41"/>
      <c r="AN707" s="41"/>
      <c r="AO707" s="40"/>
      <c r="AP707" s="40"/>
      <c r="AQ707" s="40"/>
    </row>
    <row r="708">
      <c r="A708" s="40"/>
      <c r="B708" s="42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1"/>
      <c r="AM708" s="41"/>
      <c r="AN708" s="41"/>
      <c r="AO708" s="40"/>
      <c r="AP708" s="40"/>
      <c r="AQ708" s="40"/>
    </row>
    <row r="709">
      <c r="A709" s="40"/>
      <c r="B709" s="42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1"/>
      <c r="AM709" s="41"/>
      <c r="AN709" s="41"/>
      <c r="AO709" s="40"/>
      <c r="AP709" s="40"/>
      <c r="AQ709" s="40"/>
    </row>
    <row r="710">
      <c r="A710" s="40"/>
      <c r="B710" s="42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1"/>
      <c r="AM710" s="41"/>
      <c r="AN710" s="41"/>
      <c r="AO710" s="40"/>
      <c r="AP710" s="40"/>
      <c r="AQ710" s="40"/>
    </row>
    <row r="711">
      <c r="A711" s="40"/>
      <c r="B711" s="42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1"/>
      <c r="AM711" s="41"/>
      <c r="AN711" s="41"/>
      <c r="AO711" s="40"/>
      <c r="AP711" s="40"/>
      <c r="AQ711" s="40"/>
    </row>
    <row r="712">
      <c r="A712" s="40"/>
      <c r="B712" s="42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1"/>
      <c r="AM712" s="41"/>
      <c r="AN712" s="41"/>
      <c r="AO712" s="40"/>
      <c r="AP712" s="40"/>
      <c r="AQ712" s="40"/>
    </row>
    <row r="713">
      <c r="A713" s="40"/>
      <c r="B713" s="42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1"/>
      <c r="AM713" s="41"/>
      <c r="AN713" s="41"/>
      <c r="AO713" s="40"/>
      <c r="AP713" s="40"/>
      <c r="AQ713" s="40"/>
    </row>
    <row r="714">
      <c r="A714" s="40"/>
      <c r="B714" s="42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1"/>
      <c r="AM714" s="41"/>
      <c r="AN714" s="41"/>
      <c r="AO714" s="40"/>
      <c r="AP714" s="40"/>
      <c r="AQ714" s="40"/>
    </row>
    <row r="715">
      <c r="A715" s="40"/>
      <c r="B715" s="42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1"/>
      <c r="AM715" s="41"/>
      <c r="AN715" s="41"/>
      <c r="AO715" s="40"/>
      <c r="AP715" s="40"/>
      <c r="AQ715" s="40"/>
    </row>
    <row r="716">
      <c r="A716" s="40"/>
      <c r="B716" s="42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1"/>
      <c r="AM716" s="41"/>
      <c r="AN716" s="41"/>
      <c r="AO716" s="40"/>
      <c r="AP716" s="40"/>
      <c r="AQ716" s="40"/>
    </row>
    <row r="717">
      <c r="A717" s="40"/>
      <c r="B717" s="42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1"/>
      <c r="AM717" s="41"/>
      <c r="AN717" s="41"/>
      <c r="AO717" s="40"/>
      <c r="AP717" s="40"/>
      <c r="AQ717" s="40"/>
    </row>
    <row r="718">
      <c r="A718" s="40"/>
      <c r="B718" s="42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1"/>
      <c r="AM718" s="41"/>
      <c r="AN718" s="41"/>
      <c r="AO718" s="40"/>
      <c r="AP718" s="40"/>
      <c r="AQ718" s="40"/>
    </row>
    <row r="719">
      <c r="A719" s="40"/>
      <c r="B719" s="42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1"/>
      <c r="AM719" s="41"/>
      <c r="AN719" s="41"/>
      <c r="AO719" s="40"/>
      <c r="AP719" s="40"/>
      <c r="AQ719" s="40"/>
    </row>
    <row r="720">
      <c r="A720" s="40"/>
      <c r="B720" s="42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1"/>
      <c r="AM720" s="41"/>
      <c r="AN720" s="41"/>
      <c r="AO720" s="40"/>
      <c r="AP720" s="40"/>
      <c r="AQ720" s="40"/>
    </row>
    <row r="721">
      <c r="A721" s="40"/>
      <c r="B721" s="42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1"/>
      <c r="AM721" s="41"/>
      <c r="AN721" s="41"/>
      <c r="AO721" s="40"/>
      <c r="AP721" s="40"/>
      <c r="AQ721" s="40"/>
    </row>
    <row r="722">
      <c r="A722" s="40"/>
      <c r="B722" s="42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1"/>
      <c r="AM722" s="41"/>
      <c r="AN722" s="41"/>
      <c r="AO722" s="40"/>
      <c r="AP722" s="40"/>
      <c r="AQ722" s="40"/>
    </row>
    <row r="723">
      <c r="A723" s="40"/>
      <c r="B723" s="42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1"/>
      <c r="AM723" s="41"/>
      <c r="AN723" s="41"/>
      <c r="AO723" s="40"/>
      <c r="AP723" s="40"/>
      <c r="AQ723" s="40"/>
    </row>
    <row r="724">
      <c r="A724" s="40"/>
      <c r="B724" s="42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1"/>
      <c r="AM724" s="41"/>
      <c r="AN724" s="41"/>
      <c r="AO724" s="40"/>
      <c r="AP724" s="40"/>
      <c r="AQ724" s="40"/>
    </row>
    <row r="725">
      <c r="A725" s="40"/>
      <c r="B725" s="42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1"/>
      <c r="AM725" s="41"/>
      <c r="AN725" s="41"/>
      <c r="AO725" s="40"/>
      <c r="AP725" s="40"/>
      <c r="AQ725" s="40"/>
    </row>
    <row r="726">
      <c r="A726" s="40"/>
      <c r="B726" s="42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1"/>
      <c r="AM726" s="41"/>
      <c r="AN726" s="41"/>
      <c r="AO726" s="40"/>
      <c r="AP726" s="40"/>
      <c r="AQ726" s="40"/>
    </row>
    <row r="727">
      <c r="A727" s="40"/>
      <c r="B727" s="42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1"/>
      <c r="AM727" s="41"/>
      <c r="AN727" s="41"/>
      <c r="AO727" s="40"/>
      <c r="AP727" s="40"/>
      <c r="AQ727" s="40"/>
    </row>
    <row r="728">
      <c r="A728" s="40"/>
      <c r="B728" s="42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1"/>
      <c r="AM728" s="41"/>
      <c r="AN728" s="41"/>
      <c r="AO728" s="40"/>
      <c r="AP728" s="40"/>
      <c r="AQ728" s="40"/>
    </row>
    <row r="729">
      <c r="A729" s="40"/>
      <c r="B729" s="42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1"/>
      <c r="AM729" s="41"/>
      <c r="AN729" s="41"/>
      <c r="AO729" s="40"/>
      <c r="AP729" s="40"/>
      <c r="AQ729" s="40"/>
    </row>
    <row r="730">
      <c r="A730" s="40"/>
      <c r="B730" s="42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1"/>
      <c r="AM730" s="41"/>
      <c r="AN730" s="41"/>
      <c r="AO730" s="40"/>
      <c r="AP730" s="40"/>
      <c r="AQ730" s="40"/>
    </row>
    <row r="731">
      <c r="A731" s="40"/>
      <c r="B731" s="42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1"/>
      <c r="AM731" s="41"/>
      <c r="AN731" s="41"/>
      <c r="AO731" s="40"/>
      <c r="AP731" s="40"/>
      <c r="AQ731" s="40"/>
    </row>
    <row r="732">
      <c r="A732" s="40"/>
      <c r="B732" s="42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1"/>
      <c r="AM732" s="41"/>
      <c r="AN732" s="41"/>
      <c r="AO732" s="40"/>
      <c r="AP732" s="40"/>
      <c r="AQ732" s="40"/>
    </row>
    <row r="733">
      <c r="A733" s="40"/>
      <c r="B733" s="42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1"/>
      <c r="AM733" s="41"/>
      <c r="AN733" s="41"/>
      <c r="AO733" s="40"/>
      <c r="AP733" s="40"/>
      <c r="AQ733" s="40"/>
    </row>
    <row r="734">
      <c r="A734" s="40"/>
      <c r="B734" s="42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1"/>
      <c r="AM734" s="41"/>
      <c r="AN734" s="41"/>
      <c r="AO734" s="40"/>
      <c r="AP734" s="40"/>
      <c r="AQ734" s="40"/>
    </row>
    <row r="735">
      <c r="A735" s="40"/>
      <c r="B735" s="42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1"/>
      <c r="AM735" s="41"/>
      <c r="AN735" s="41"/>
      <c r="AO735" s="40"/>
      <c r="AP735" s="40"/>
      <c r="AQ735" s="40"/>
    </row>
    <row r="736">
      <c r="A736" s="40"/>
      <c r="B736" s="42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1"/>
      <c r="AM736" s="41"/>
      <c r="AN736" s="41"/>
      <c r="AO736" s="40"/>
      <c r="AP736" s="40"/>
      <c r="AQ736" s="40"/>
    </row>
    <row r="737">
      <c r="A737" s="40"/>
      <c r="B737" s="42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1"/>
      <c r="AM737" s="41"/>
      <c r="AN737" s="41"/>
      <c r="AO737" s="40"/>
      <c r="AP737" s="40"/>
      <c r="AQ737" s="40"/>
    </row>
    <row r="738">
      <c r="A738" s="40"/>
      <c r="B738" s="42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1"/>
      <c r="AM738" s="41"/>
      <c r="AN738" s="41"/>
      <c r="AO738" s="40"/>
      <c r="AP738" s="40"/>
      <c r="AQ738" s="40"/>
    </row>
    <row r="739">
      <c r="A739" s="40"/>
      <c r="B739" s="42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1"/>
      <c r="AM739" s="41"/>
      <c r="AN739" s="41"/>
      <c r="AO739" s="40"/>
      <c r="AP739" s="40"/>
      <c r="AQ739" s="40"/>
    </row>
    <row r="740">
      <c r="A740" s="40"/>
      <c r="B740" s="42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1"/>
      <c r="AM740" s="41"/>
      <c r="AN740" s="41"/>
      <c r="AO740" s="40"/>
      <c r="AP740" s="40"/>
      <c r="AQ740" s="40"/>
    </row>
    <row r="741">
      <c r="A741" s="40"/>
      <c r="B741" s="42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1"/>
      <c r="AM741" s="41"/>
      <c r="AN741" s="41"/>
      <c r="AO741" s="40"/>
      <c r="AP741" s="40"/>
      <c r="AQ741" s="40"/>
    </row>
    <row r="742">
      <c r="A742" s="40"/>
      <c r="B742" s="42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1"/>
      <c r="AM742" s="41"/>
      <c r="AN742" s="41"/>
      <c r="AO742" s="40"/>
      <c r="AP742" s="40"/>
      <c r="AQ742" s="40"/>
    </row>
    <row r="743">
      <c r="A743" s="40"/>
      <c r="B743" s="42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1"/>
      <c r="AM743" s="41"/>
      <c r="AN743" s="41"/>
      <c r="AO743" s="40"/>
      <c r="AP743" s="40"/>
      <c r="AQ743" s="40"/>
    </row>
    <row r="744">
      <c r="A744" s="40"/>
      <c r="B744" s="42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1"/>
      <c r="AM744" s="41"/>
      <c r="AN744" s="41"/>
      <c r="AO744" s="40"/>
      <c r="AP744" s="40"/>
      <c r="AQ744" s="40"/>
    </row>
    <row r="745">
      <c r="A745" s="40"/>
      <c r="B745" s="42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1"/>
      <c r="AM745" s="41"/>
      <c r="AN745" s="41"/>
      <c r="AO745" s="40"/>
      <c r="AP745" s="40"/>
      <c r="AQ745" s="40"/>
    </row>
    <row r="746">
      <c r="A746" s="40"/>
      <c r="B746" s="42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1"/>
      <c r="AM746" s="41"/>
      <c r="AN746" s="41"/>
      <c r="AO746" s="40"/>
      <c r="AP746" s="40"/>
      <c r="AQ746" s="40"/>
    </row>
    <row r="747">
      <c r="A747" s="40"/>
      <c r="B747" s="42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1"/>
      <c r="AM747" s="41"/>
      <c r="AN747" s="41"/>
      <c r="AO747" s="40"/>
      <c r="AP747" s="40"/>
      <c r="AQ747" s="40"/>
    </row>
    <row r="748">
      <c r="A748" s="40"/>
      <c r="B748" s="42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1"/>
      <c r="AM748" s="41"/>
      <c r="AN748" s="41"/>
      <c r="AO748" s="40"/>
      <c r="AP748" s="40"/>
      <c r="AQ748" s="40"/>
    </row>
    <row r="749">
      <c r="A749" s="40"/>
      <c r="B749" s="42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1"/>
      <c r="AM749" s="41"/>
      <c r="AN749" s="41"/>
      <c r="AO749" s="40"/>
      <c r="AP749" s="40"/>
      <c r="AQ749" s="40"/>
    </row>
    <row r="750">
      <c r="A750" s="40"/>
      <c r="B750" s="42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1"/>
      <c r="AM750" s="41"/>
      <c r="AN750" s="41"/>
      <c r="AO750" s="40"/>
      <c r="AP750" s="40"/>
      <c r="AQ750" s="40"/>
    </row>
    <row r="751">
      <c r="A751" s="40"/>
      <c r="B751" s="42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1"/>
      <c r="AM751" s="41"/>
      <c r="AN751" s="41"/>
      <c r="AO751" s="40"/>
      <c r="AP751" s="40"/>
      <c r="AQ751" s="40"/>
    </row>
    <row r="752">
      <c r="A752" s="40"/>
      <c r="B752" s="42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1"/>
      <c r="AM752" s="41"/>
      <c r="AN752" s="41"/>
      <c r="AO752" s="40"/>
      <c r="AP752" s="40"/>
      <c r="AQ752" s="40"/>
    </row>
    <row r="753">
      <c r="A753" s="40"/>
      <c r="B753" s="42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1"/>
      <c r="AM753" s="41"/>
      <c r="AN753" s="41"/>
      <c r="AO753" s="40"/>
      <c r="AP753" s="40"/>
      <c r="AQ753" s="40"/>
    </row>
    <row r="754">
      <c r="A754" s="40"/>
      <c r="B754" s="42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1"/>
      <c r="AM754" s="41"/>
      <c r="AN754" s="41"/>
      <c r="AO754" s="40"/>
      <c r="AP754" s="40"/>
      <c r="AQ754" s="40"/>
    </row>
    <row r="755">
      <c r="A755" s="40"/>
      <c r="B755" s="42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1"/>
      <c r="AM755" s="41"/>
      <c r="AN755" s="41"/>
      <c r="AO755" s="40"/>
      <c r="AP755" s="40"/>
      <c r="AQ755" s="40"/>
    </row>
    <row r="756">
      <c r="A756" s="40"/>
      <c r="B756" s="42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1"/>
      <c r="AM756" s="41"/>
      <c r="AN756" s="41"/>
      <c r="AO756" s="40"/>
      <c r="AP756" s="40"/>
      <c r="AQ756" s="40"/>
    </row>
    <row r="757">
      <c r="A757" s="40"/>
      <c r="B757" s="42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1"/>
      <c r="AM757" s="41"/>
      <c r="AN757" s="41"/>
      <c r="AO757" s="40"/>
      <c r="AP757" s="40"/>
      <c r="AQ757" s="40"/>
    </row>
    <row r="758">
      <c r="A758" s="40"/>
      <c r="B758" s="42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1"/>
      <c r="AM758" s="41"/>
      <c r="AN758" s="41"/>
      <c r="AO758" s="40"/>
      <c r="AP758" s="40"/>
      <c r="AQ758" s="40"/>
    </row>
    <row r="759">
      <c r="A759" s="40"/>
      <c r="B759" s="42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1"/>
      <c r="AM759" s="41"/>
      <c r="AN759" s="41"/>
      <c r="AO759" s="40"/>
      <c r="AP759" s="40"/>
      <c r="AQ759" s="40"/>
    </row>
    <row r="760">
      <c r="A760" s="40"/>
      <c r="B760" s="42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1"/>
      <c r="AM760" s="41"/>
      <c r="AN760" s="41"/>
      <c r="AO760" s="40"/>
      <c r="AP760" s="40"/>
      <c r="AQ760" s="40"/>
    </row>
    <row r="761">
      <c r="A761" s="40"/>
      <c r="B761" s="42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1"/>
      <c r="AM761" s="41"/>
      <c r="AN761" s="41"/>
      <c r="AO761" s="40"/>
      <c r="AP761" s="40"/>
      <c r="AQ761" s="40"/>
    </row>
    <row r="762">
      <c r="A762" s="40"/>
      <c r="B762" s="42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1"/>
      <c r="AM762" s="41"/>
      <c r="AN762" s="41"/>
      <c r="AO762" s="40"/>
      <c r="AP762" s="40"/>
      <c r="AQ762" s="40"/>
    </row>
    <row r="763">
      <c r="A763" s="40"/>
      <c r="B763" s="42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1"/>
      <c r="AM763" s="41"/>
      <c r="AN763" s="41"/>
      <c r="AO763" s="40"/>
      <c r="AP763" s="40"/>
      <c r="AQ763" s="40"/>
    </row>
    <row r="764">
      <c r="A764" s="40"/>
      <c r="B764" s="42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1"/>
      <c r="AM764" s="41"/>
      <c r="AN764" s="41"/>
      <c r="AO764" s="40"/>
      <c r="AP764" s="40"/>
      <c r="AQ764" s="40"/>
    </row>
    <row r="765">
      <c r="A765" s="40"/>
      <c r="B765" s="42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1"/>
      <c r="AM765" s="41"/>
      <c r="AN765" s="41"/>
      <c r="AO765" s="40"/>
      <c r="AP765" s="40"/>
      <c r="AQ765" s="40"/>
    </row>
    <row r="766">
      <c r="A766" s="40"/>
      <c r="B766" s="42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1"/>
      <c r="AM766" s="41"/>
      <c r="AN766" s="41"/>
      <c r="AO766" s="40"/>
      <c r="AP766" s="40"/>
      <c r="AQ766" s="40"/>
    </row>
    <row r="767">
      <c r="A767" s="40"/>
      <c r="B767" s="42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1"/>
      <c r="AM767" s="41"/>
      <c r="AN767" s="41"/>
      <c r="AO767" s="40"/>
      <c r="AP767" s="40"/>
      <c r="AQ767" s="40"/>
    </row>
    <row r="768">
      <c r="A768" s="40"/>
      <c r="B768" s="42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1"/>
      <c r="AM768" s="41"/>
      <c r="AN768" s="41"/>
      <c r="AO768" s="40"/>
      <c r="AP768" s="40"/>
      <c r="AQ768" s="40"/>
    </row>
    <row r="769">
      <c r="A769" s="40"/>
      <c r="B769" s="42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1"/>
      <c r="AM769" s="41"/>
      <c r="AN769" s="41"/>
      <c r="AO769" s="40"/>
      <c r="AP769" s="40"/>
      <c r="AQ769" s="40"/>
    </row>
    <row r="770">
      <c r="A770" s="40"/>
      <c r="B770" s="42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1"/>
      <c r="AM770" s="41"/>
      <c r="AN770" s="41"/>
      <c r="AO770" s="40"/>
      <c r="AP770" s="40"/>
      <c r="AQ770" s="40"/>
    </row>
    <row r="771">
      <c r="A771" s="40"/>
      <c r="B771" s="42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1"/>
      <c r="AM771" s="41"/>
      <c r="AN771" s="41"/>
      <c r="AO771" s="40"/>
      <c r="AP771" s="40"/>
      <c r="AQ771" s="40"/>
    </row>
    <row r="772">
      <c r="A772" s="40"/>
      <c r="B772" s="42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1"/>
      <c r="AM772" s="41"/>
      <c r="AN772" s="41"/>
      <c r="AO772" s="40"/>
      <c r="AP772" s="40"/>
      <c r="AQ772" s="40"/>
    </row>
    <row r="773">
      <c r="A773" s="40"/>
      <c r="B773" s="42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1"/>
      <c r="AM773" s="41"/>
      <c r="AN773" s="41"/>
      <c r="AO773" s="40"/>
      <c r="AP773" s="40"/>
      <c r="AQ773" s="40"/>
    </row>
    <row r="774">
      <c r="A774" s="40"/>
      <c r="B774" s="42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1"/>
      <c r="AM774" s="41"/>
      <c r="AN774" s="41"/>
      <c r="AO774" s="40"/>
      <c r="AP774" s="40"/>
      <c r="AQ774" s="40"/>
    </row>
    <row r="775">
      <c r="A775" s="40"/>
      <c r="B775" s="42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1"/>
      <c r="AM775" s="41"/>
      <c r="AN775" s="41"/>
      <c r="AO775" s="40"/>
      <c r="AP775" s="40"/>
      <c r="AQ775" s="40"/>
    </row>
    <row r="776">
      <c r="A776" s="40"/>
      <c r="B776" s="42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1"/>
      <c r="AM776" s="41"/>
      <c r="AN776" s="41"/>
      <c r="AO776" s="40"/>
      <c r="AP776" s="40"/>
      <c r="AQ776" s="40"/>
    </row>
    <row r="777">
      <c r="A777" s="40"/>
      <c r="B777" s="42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1"/>
      <c r="AM777" s="41"/>
      <c r="AN777" s="41"/>
      <c r="AO777" s="40"/>
      <c r="AP777" s="40"/>
      <c r="AQ777" s="40"/>
    </row>
    <row r="778">
      <c r="A778" s="40"/>
      <c r="B778" s="42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1"/>
      <c r="AM778" s="41"/>
      <c r="AN778" s="41"/>
      <c r="AO778" s="40"/>
      <c r="AP778" s="40"/>
      <c r="AQ778" s="40"/>
    </row>
    <row r="779">
      <c r="A779" s="40"/>
      <c r="B779" s="42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1"/>
      <c r="AM779" s="41"/>
      <c r="AN779" s="41"/>
      <c r="AO779" s="40"/>
      <c r="AP779" s="40"/>
      <c r="AQ779" s="40"/>
    </row>
    <row r="780">
      <c r="A780" s="40"/>
      <c r="B780" s="42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1"/>
      <c r="AM780" s="41"/>
      <c r="AN780" s="41"/>
      <c r="AO780" s="40"/>
      <c r="AP780" s="40"/>
      <c r="AQ780" s="40"/>
    </row>
    <row r="781">
      <c r="A781" s="40"/>
      <c r="B781" s="42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1"/>
      <c r="AM781" s="41"/>
      <c r="AN781" s="41"/>
      <c r="AO781" s="40"/>
      <c r="AP781" s="40"/>
      <c r="AQ781" s="40"/>
    </row>
    <row r="782">
      <c r="A782" s="40"/>
      <c r="B782" s="42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1"/>
      <c r="AM782" s="41"/>
      <c r="AN782" s="41"/>
      <c r="AO782" s="40"/>
      <c r="AP782" s="40"/>
      <c r="AQ782" s="40"/>
    </row>
    <row r="783">
      <c r="A783" s="40"/>
      <c r="B783" s="42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1"/>
      <c r="AM783" s="41"/>
      <c r="AN783" s="41"/>
      <c r="AO783" s="40"/>
      <c r="AP783" s="40"/>
      <c r="AQ783" s="40"/>
    </row>
    <row r="784">
      <c r="A784" s="40"/>
      <c r="B784" s="42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1"/>
      <c r="AM784" s="41"/>
      <c r="AN784" s="41"/>
      <c r="AO784" s="40"/>
      <c r="AP784" s="40"/>
      <c r="AQ784" s="40"/>
    </row>
    <row r="785">
      <c r="A785" s="40"/>
      <c r="B785" s="42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1"/>
      <c r="AM785" s="41"/>
      <c r="AN785" s="41"/>
      <c r="AO785" s="40"/>
      <c r="AP785" s="40"/>
      <c r="AQ785" s="40"/>
    </row>
    <row r="786">
      <c r="A786" s="40"/>
      <c r="B786" s="42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1"/>
      <c r="AM786" s="41"/>
      <c r="AN786" s="41"/>
      <c r="AO786" s="40"/>
      <c r="AP786" s="40"/>
      <c r="AQ786" s="40"/>
    </row>
    <row r="787">
      <c r="A787" s="40"/>
      <c r="B787" s="42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1"/>
      <c r="AM787" s="41"/>
      <c r="AN787" s="41"/>
      <c r="AO787" s="40"/>
      <c r="AP787" s="40"/>
      <c r="AQ787" s="40"/>
    </row>
    <row r="788">
      <c r="A788" s="40"/>
      <c r="B788" s="42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1"/>
      <c r="AM788" s="41"/>
      <c r="AN788" s="41"/>
      <c r="AO788" s="40"/>
      <c r="AP788" s="40"/>
      <c r="AQ788" s="40"/>
    </row>
    <row r="789">
      <c r="A789" s="40"/>
      <c r="B789" s="42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1"/>
      <c r="AM789" s="41"/>
      <c r="AN789" s="41"/>
      <c r="AO789" s="40"/>
      <c r="AP789" s="40"/>
      <c r="AQ789" s="40"/>
    </row>
    <row r="790">
      <c r="A790" s="40"/>
      <c r="B790" s="42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1"/>
      <c r="AM790" s="41"/>
      <c r="AN790" s="41"/>
      <c r="AO790" s="40"/>
      <c r="AP790" s="40"/>
      <c r="AQ790" s="40"/>
    </row>
    <row r="791">
      <c r="A791" s="40"/>
      <c r="B791" s="42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1"/>
      <c r="AM791" s="41"/>
      <c r="AN791" s="41"/>
      <c r="AO791" s="40"/>
      <c r="AP791" s="40"/>
      <c r="AQ791" s="40"/>
    </row>
    <row r="792">
      <c r="A792" s="40"/>
      <c r="B792" s="42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1"/>
      <c r="AM792" s="41"/>
      <c r="AN792" s="41"/>
      <c r="AO792" s="40"/>
      <c r="AP792" s="40"/>
      <c r="AQ792" s="40"/>
    </row>
    <row r="793">
      <c r="A793" s="40"/>
      <c r="B793" s="42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1"/>
      <c r="AM793" s="41"/>
      <c r="AN793" s="41"/>
      <c r="AO793" s="40"/>
      <c r="AP793" s="40"/>
      <c r="AQ793" s="40"/>
    </row>
    <row r="794">
      <c r="A794" s="40"/>
      <c r="B794" s="42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1"/>
      <c r="AM794" s="41"/>
      <c r="AN794" s="41"/>
      <c r="AO794" s="40"/>
      <c r="AP794" s="40"/>
      <c r="AQ794" s="40"/>
    </row>
    <row r="795">
      <c r="A795" s="40"/>
      <c r="B795" s="42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1"/>
      <c r="AM795" s="41"/>
      <c r="AN795" s="41"/>
      <c r="AO795" s="40"/>
      <c r="AP795" s="40"/>
      <c r="AQ795" s="40"/>
    </row>
    <row r="796">
      <c r="A796" s="40"/>
      <c r="B796" s="42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1"/>
      <c r="AM796" s="41"/>
      <c r="AN796" s="41"/>
      <c r="AO796" s="40"/>
      <c r="AP796" s="40"/>
      <c r="AQ796" s="40"/>
    </row>
    <row r="797">
      <c r="A797" s="40"/>
      <c r="B797" s="42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1"/>
      <c r="AM797" s="41"/>
      <c r="AN797" s="41"/>
      <c r="AO797" s="40"/>
      <c r="AP797" s="40"/>
      <c r="AQ797" s="40"/>
    </row>
    <row r="798">
      <c r="A798" s="40"/>
      <c r="B798" s="42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1"/>
      <c r="AM798" s="41"/>
      <c r="AN798" s="41"/>
      <c r="AO798" s="40"/>
      <c r="AP798" s="40"/>
      <c r="AQ798" s="40"/>
    </row>
    <row r="799">
      <c r="A799" s="40"/>
      <c r="B799" s="42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1"/>
      <c r="AM799" s="41"/>
      <c r="AN799" s="41"/>
      <c r="AO799" s="40"/>
      <c r="AP799" s="40"/>
      <c r="AQ799" s="40"/>
    </row>
    <row r="800">
      <c r="A800" s="40"/>
      <c r="B800" s="42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1"/>
      <c r="AM800" s="41"/>
      <c r="AN800" s="41"/>
      <c r="AO800" s="40"/>
      <c r="AP800" s="40"/>
      <c r="AQ800" s="40"/>
    </row>
    <row r="801">
      <c r="A801" s="40"/>
      <c r="B801" s="42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1"/>
      <c r="AM801" s="41"/>
      <c r="AN801" s="41"/>
      <c r="AO801" s="40"/>
      <c r="AP801" s="40"/>
      <c r="AQ801" s="40"/>
    </row>
    <row r="802">
      <c r="A802" s="40"/>
      <c r="B802" s="42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1"/>
      <c r="AM802" s="41"/>
      <c r="AN802" s="41"/>
      <c r="AO802" s="40"/>
      <c r="AP802" s="40"/>
      <c r="AQ802" s="40"/>
    </row>
    <row r="803">
      <c r="A803" s="40"/>
      <c r="B803" s="42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1"/>
      <c r="AM803" s="41"/>
      <c r="AN803" s="41"/>
      <c r="AO803" s="40"/>
      <c r="AP803" s="40"/>
      <c r="AQ803" s="40"/>
    </row>
    <row r="804">
      <c r="A804" s="40"/>
      <c r="B804" s="42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1"/>
      <c r="AM804" s="41"/>
      <c r="AN804" s="41"/>
      <c r="AO804" s="40"/>
      <c r="AP804" s="40"/>
      <c r="AQ804" s="40"/>
    </row>
    <row r="805">
      <c r="A805" s="40"/>
      <c r="B805" s="42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1"/>
      <c r="AM805" s="41"/>
      <c r="AN805" s="41"/>
      <c r="AO805" s="40"/>
      <c r="AP805" s="40"/>
      <c r="AQ805" s="40"/>
    </row>
    <row r="806">
      <c r="A806" s="40"/>
      <c r="B806" s="42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1"/>
      <c r="AM806" s="41"/>
      <c r="AN806" s="41"/>
      <c r="AO806" s="40"/>
      <c r="AP806" s="40"/>
      <c r="AQ806" s="40"/>
    </row>
    <row r="807">
      <c r="A807" s="40"/>
      <c r="B807" s="42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1"/>
      <c r="AM807" s="41"/>
      <c r="AN807" s="41"/>
      <c r="AO807" s="40"/>
      <c r="AP807" s="40"/>
      <c r="AQ807" s="40"/>
    </row>
    <row r="808">
      <c r="A808" s="40"/>
      <c r="B808" s="42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1"/>
      <c r="AM808" s="41"/>
      <c r="AN808" s="41"/>
      <c r="AO808" s="40"/>
      <c r="AP808" s="40"/>
      <c r="AQ808" s="40"/>
    </row>
    <row r="809">
      <c r="A809" s="40"/>
      <c r="B809" s="42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1"/>
      <c r="AM809" s="41"/>
      <c r="AN809" s="41"/>
      <c r="AO809" s="40"/>
      <c r="AP809" s="40"/>
      <c r="AQ809" s="40"/>
    </row>
    <row r="810">
      <c r="A810" s="40"/>
      <c r="B810" s="42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1"/>
      <c r="AM810" s="41"/>
      <c r="AN810" s="41"/>
      <c r="AO810" s="40"/>
      <c r="AP810" s="40"/>
      <c r="AQ810" s="40"/>
    </row>
    <row r="811">
      <c r="A811" s="40"/>
      <c r="B811" s="42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1"/>
      <c r="AM811" s="41"/>
      <c r="AN811" s="41"/>
      <c r="AO811" s="40"/>
      <c r="AP811" s="40"/>
      <c r="AQ811" s="40"/>
    </row>
    <row r="812">
      <c r="A812" s="40"/>
      <c r="B812" s="42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1"/>
      <c r="AM812" s="41"/>
      <c r="AN812" s="41"/>
      <c r="AO812" s="40"/>
      <c r="AP812" s="40"/>
      <c r="AQ812" s="40"/>
    </row>
    <row r="813">
      <c r="A813" s="40"/>
      <c r="B813" s="42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1"/>
      <c r="AM813" s="41"/>
      <c r="AN813" s="41"/>
      <c r="AO813" s="40"/>
      <c r="AP813" s="40"/>
      <c r="AQ813" s="40"/>
    </row>
    <row r="814">
      <c r="A814" s="40"/>
      <c r="B814" s="42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1"/>
      <c r="AM814" s="41"/>
      <c r="AN814" s="41"/>
      <c r="AO814" s="40"/>
      <c r="AP814" s="40"/>
      <c r="AQ814" s="40"/>
    </row>
    <row r="815">
      <c r="A815" s="40"/>
      <c r="B815" s="42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1"/>
      <c r="AM815" s="41"/>
      <c r="AN815" s="41"/>
      <c r="AO815" s="40"/>
      <c r="AP815" s="40"/>
      <c r="AQ815" s="40"/>
    </row>
    <row r="816">
      <c r="A816" s="40"/>
      <c r="B816" s="42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1"/>
      <c r="AM816" s="41"/>
      <c r="AN816" s="41"/>
      <c r="AO816" s="40"/>
      <c r="AP816" s="40"/>
      <c r="AQ816" s="40"/>
    </row>
    <row r="817">
      <c r="A817" s="40"/>
      <c r="B817" s="42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1"/>
      <c r="AM817" s="41"/>
      <c r="AN817" s="41"/>
      <c r="AO817" s="40"/>
      <c r="AP817" s="40"/>
      <c r="AQ817" s="40"/>
    </row>
    <row r="818">
      <c r="A818" s="40"/>
      <c r="B818" s="42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1"/>
      <c r="AM818" s="41"/>
      <c r="AN818" s="41"/>
      <c r="AO818" s="40"/>
      <c r="AP818" s="40"/>
      <c r="AQ818" s="40"/>
    </row>
    <row r="819">
      <c r="A819" s="40"/>
      <c r="B819" s="42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1"/>
      <c r="AM819" s="41"/>
      <c r="AN819" s="41"/>
      <c r="AO819" s="40"/>
      <c r="AP819" s="40"/>
      <c r="AQ819" s="40"/>
    </row>
    <row r="820">
      <c r="A820" s="40"/>
      <c r="B820" s="42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1"/>
      <c r="AM820" s="41"/>
      <c r="AN820" s="41"/>
      <c r="AO820" s="40"/>
      <c r="AP820" s="40"/>
      <c r="AQ820" s="40"/>
    </row>
    <row r="821">
      <c r="A821" s="40"/>
      <c r="B821" s="42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1"/>
      <c r="AM821" s="41"/>
      <c r="AN821" s="41"/>
      <c r="AO821" s="40"/>
      <c r="AP821" s="40"/>
      <c r="AQ821" s="40"/>
    </row>
    <row r="822">
      <c r="A822" s="40"/>
      <c r="B822" s="42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1"/>
      <c r="AM822" s="41"/>
      <c r="AN822" s="41"/>
      <c r="AO822" s="40"/>
      <c r="AP822" s="40"/>
      <c r="AQ822" s="40"/>
    </row>
    <row r="823">
      <c r="A823" s="40"/>
      <c r="B823" s="42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1"/>
      <c r="AM823" s="41"/>
      <c r="AN823" s="41"/>
      <c r="AO823" s="40"/>
      <c r="AP823" s="40"/>
      <c r="AQ823" s="40"/>
    </row>
    <row r="824">
      <c r="A824" s="40"/>
      <c r="B824" s="42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1"/>
      <c r="AM824" s="41"/>
      <c r="AN824" s="41"/>
      <c r="AO824" s="40"/>
      <c r="AP824" s="40"/>
      <c r="AQ824" s="40"/>
    </row>
    <row r="825">
      <c r="A825" s="40"/>
      <c r="B825" s="42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1"/>
      <c r="AM825" s="41"/>
      <c r="AN825" s="41"/>
      <c r="AO825" s="40"/>
      <c r="AP825" s="40"/>
      <c r="AQ825" s="40"/>
    </row>
    <row r="826">
      <c r="A826" s="40"/>
      <c r="B826" s="42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1"/>
      <c r="AM826" s="41"/>
      <c r="AN826" s="41"/>
      <c r="AO826" s="40"/>
      <c r="AP826" s="40"/>
      <c r="AQ826" s="40"/>
    </row>
    <row r="827">
      <c r="A827" s="40"/>
      <c r="B827" s="42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1"/>
      <c r="AM827" s="41"/>
      <c r="AN827" s="41"/>
      <c r="AO827" s="40"/>
      <c r="AP827" s="40"/>
      <c r="AQ827" s="40"/>
    </row>
    <row r="828">
      <c r="A828" s="40"/>
      <c r="B828" s="42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1"/>
      <c r="AM828" s="41"/>
      <c r="AN828" s="41"/>
      <c r="AO828" s="40"/>
      <c r="AP828" s="40"/>
      <c r="AQ828" s="40"/>
    </row>
    <row r="829">
      <c r="A829" s="40"/>
      <c r="B829" s="42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1"/>
      <c r="AM829" s="41"/>
      <c r="AN829" s="41"/>
      <c r="AO829" s="40"/>
      <c r="AP829" s="40"/>
      <c r="AQ829" s="40"/>
    </row>
    <row r="830">
      <c r="A830" s="40"/>
      <c r="B830" s="42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1"/>
      <c r="AM830" s="41"/>
      <c r="AN830" s="41"/>
      <c r="AO830" s="40"/>
      <c r="AP830" s="40"/>
      <c r="AQ830" s="40"/>
    </row>
    <row r="831">
      <c r="A831" s="40"/>
      <c r="B831" s="42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1"/>
      <c r="AM831" s="41"/>
      <c r="AN831" s="41"/>
      <c r="AO831" s="40"/>
      <c r="AP831" s="40"/>
      <c r="AQ831" s="40"/>
    </row>
    <row r="832">
      <c r="A832" s="40"/>
      <c r="B832" s="42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1"/>
      <c r="AM832" s="41"/>
      <c r="AN832" s="41"/>
      <c r="AO832" s="40"/>
      <c r="AP832" s="40"/>
      <c r="AQ832" s="40"/>
    </row>
    <row r="833">
      <c r="A833" s="40"/>
      <c r="B833" s="42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1"/>
      <c r="AM833" s="41"/>
      <c r="AN833" s="41"/>
      <c r="AO833" s="40"/>
      <c r="AP833" s="40"/>
      <c r="AQ833" s="40"/>
    </row>
    <row r="834">
      <c r="A834" s="40"/>
      <c r="B834" s="42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1"/>
      <c r="AM834" s="41"/>
      <c r="AN834" s="41"/>
      <c r="AO834" s="40"/>
      <c r="AP834" s="40"/>
      <c r="AQ834" s="40"/>
    </row>
    <row r="835">
      <c r="A835" s="40"/>
      <c r="B835" s="42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1"/>
      <c r="AM835" s="41"/>
      <c r="AN835" s="41"/>
      <c r="AO835" s="40"/>
      <c r="AP835" s="40"/>
      <c r="AQ835" s="40"/>
    </row>
    <row r="836">
      <c r="A836" s="40"/>
      <c r="B836" s="42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1"/>
      <c r="AM836" s="41"/>
      <c r="AN836" s="41"/>
      <c r="AO836" s="40"/>
      <c r="AP836" s="40"/>
      <c r="AQ836" s="40"/>
    </row>
    <row r="837">
      <c r="A837" s="40"/>
      <c r="B837" s="42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1"/>
      <c r="AM837" s="41"/>
      <c r="AN837" s="41"/>
      <c r="AO837" s="40"/>
      <c r="AP837" s="40"/>
      <c r="AQ837" s="40"/>
    </row>
    <row r="838">
      <c r="A838" s="40"/>
      <c r="B838" s="42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1"/>
      <c r="AM838" s="41"/>
      <c r="AN838" s="41"/>
      <c r="AO838" s="40"/>
      <c r="AP838" s="40"/>
      <c r="AQ838" s="40"/>
    </row>
    <row r="839">
      <c r="A839" s="40"/>
      <c r="B839" s="42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1"/>
      <c r="AM839" s="41"/>
      <c r="AN839" s="41"/>
      <c r="AO839" s="40"/>
      <c r="AP839" s="40"/>
      <c r="AQ839" s="40"/>
    </row>
    <row r="840">
      <c r="A840" s="40"/>
      <c r="B840" s="42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1"/>
      <c r="AM840" s="41"/>
      <c r="AN840" s="41"/>
      <c r="AO840" s="40"/>
      <c r="AP840" s="40"/>
      <c r="AQ840" s="40"/>
    </row>
    <row r="841">
      <c r="A841" s="40"/>
      <c r="B841" s="42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1"/>
      <c r="AM841" s="41"/>
      <c r="AN841" s="41"/>
      <c r="AO841" s="40"/>
      <c r="AP841" s="40"/>
      <c r="AQ841" s="40"/>
    </row>
    <row r="842">
      <c r="A842" s="40"/>
      <c r="B842" s="42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1"/>
      <c r="AM842" s="41"/>
      <c r="AN842" s="41"/>
      <c r="AO842" s="40"/>
      <c r="AP842" s="40"/>
      <c r="AQ842" s="40"/>
    </row>
    <row r="843">
      <c r="A843" s="40"/>
      <c r="B843" s="42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1"/>
      <c r="AM843" s="41"/>
      <c r="AN843" s="41"/>
      <c r="AO843" s="40"/>
      <c r="AP843" s="40"/>
      <c r="AQ843" s="40"/>
    </row>
    <row r="844">
      <c r="A844" s="40"/>
      <c r="B844" s="42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1"/>
      <c r="AM844" s="41"/>
      <c r="AN844" s="41"/>
      <c r="AO844" s="40"/>
      <c r="AP844" s="40"/>
      <c r="AQ844" s="40"/>
    </row>
    <row r="845">
      <c r="A845" s="40"/>
      <c r="B845" s="42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1"/>
      <c r="AM845" s="41"/>
      <c r="AN845" s="41"/>
      <c r="AO845" s="40"/>
      <c r="AP845" s="40"/>
      <c r="AQ845" s="40"/>
    </row>
    <row r="846">
      <c r="A846" s="40"/>
      <c r="B846" s="42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1"/>
      <c r="AM846" s="41"/>
      <c r="AN846" s="41"/>
      <c r="AO846" s="40"/>
      <c r="AP846" s="40"/>
      <c r="AQ846" s="40"/>
    </row>
    <row r="847">
      <c r="A847" s="40"/>
      <c r="B847" s="42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1"/>
      <c r="AM847" s="41"/>
      <c r="AN847" s="41"/>
      <c r="AO847" s="40"/>
      <c r="AP847" s="40"/>
      <c r="AQ847" s="40"/>
    </row>
    <row r="848">
      <c r="A848" s="40"/>
      <c r="B848" s="42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1"/>
      <c r="AM848" s="41"/>
      <c r="AN848" s="41"/>
      <c r="AO848" s="40"/>
      <c r="AP848" s="40"/>
      <c r="AQ848" s="40"/>
    </row>
    <row r="849">
      <c r="A849" s="40"/>
      <c r="B849" s="42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1"/>
      <c r="AM849" s="41"/>
      <c r="AN849" s="41"/>
      <c r="AO849" s="40"/>
      <c r="AP849" s="40"/>
      <c r="AQ849" s="40"/>
    </row>
    <row r="850">
      <c r="A850" s="40"/>
      <c r="B850" s="42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1"/>
      <c r="AM850" s="41"/>
      <c r="AN850" s="41"/>
      <c r="AO850" s="40"/>
      <c r="AP850" s="40"/>
      <c r="AQ850" s="40"/>
    </row>
    <row r="851">
      <c r="A851" s="40"/>
      <c r="B851" s="42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1"/>
      <c r="AM851" s="41"/>
      <c r="AN851" s="41"/>
      <c r="AO851" s="40"/>
      <c r="AP851" s="40"/>
      <c r="AQ851" s="40"/>
    </row>
    <row r="852">
      <c r="A852" s="40"/>
      <c r="B852" s="42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1"/>
      <c r="AM852" s="41"/>
      <c r="AN852" s="41"/>
      <c r="AO852" s="40"/>
      <c r="AP852" s="40"/>
      <c r="AQ852" s="40"/>
    </row>
    <row r="853">
      <c r="A853" s="40"/>
      <c r="B853" s="42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1"/>
      <c r="AM853" s="41"/>
      <c r="AN853" s="41"/>
      <c r="AO853" s="40"/>
      <c r="AP853" s="40"/>
      <c r="AQ853" s="40"/>
    </row>
    <row r="854">
      <c r="A854" s="40"/>
      <c r="B854" s="42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1"/>
      <c r="AM854" s="41"/>
      <c r="AN854" s="41"/>
      <c r="AO854" s="40"/>
      <c r="AP854" s="40"/>
      <c r="AQ854" s="40"/>
    </row>
    <row r="855">
      <c r="A855" s="40"/>
      <c r="B855" s="42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1"/>
      <c r="AM855" s="41"/>
      <c r="AN855" s="41"/>
      <c r="AO855" s="40"/>
      <c r="AP855" s="40"/>
      <c r="AQ855" s="40"/>
    </row>
    <row r="856">
      <c r="A856" s="40"/>
      <c r="B856" s="42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1"/>
      <c r="AM856" s="41"/>
      <c r="AN856" s="41"/>
      <c r="AO856" s="40"/>
      <c r="AP856" s="40"/>
      <c r="AQ856" s="40"/>
    </row>
    <row r="857">
      <c r="A857" s="40"/>
      <c r="B857" s="42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1"/>
      <c r="AM857" s="41"/>
      <c r="AN857" s="41"/>
      <c r="AO857" s="40"/>
      <c r="AP857" s="40"/>
      <c r="AQ857" s="40"/>
    </row>
    <row r="858">
      <c r="A858" s="40"/>
      <c r="B858" s="42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1"/>
      <c r="AM858" s="41"/>
      <c r="AN858" s="41"/>
      <c r="AO858" s="40"/>
      <c r="AP858" s="40"/>
      <c r="AQ858" s="40"/>
    </row>
    <row r="859">
      <c r="A859" s="40"/>
      <c r="B859" s="42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1"/>
      <c r="AM859" s="41"/>
      <c r="AN859" s="41"/>
      <c r="AO859" s="40"/>
      <c r="AP859" s="40"/>
      <c r="AQ859" s="40"/>
    </row>
    <row r="860">
      <c r="A860" s="40"/>
      <c r="B860" s="42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1"/>
      <c r="AM860" s="41"/>
      <c r="AN860" s="41"/>
      <c r="AO860" s="40"/>
      <c r="AP860" s="40"/>
      <c r="AQ860" s="40"/>
    </row>
    <row r="861">
      <c r="A861" s="40"/>
      <c r="B861" s="42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1"/>
      <c r="AM861" s="41"/>
      <c r="AN861" s="41"/>
      <c r="AO861" s="40"/>
      <c r="AP861" s="40"/>
      <c r="AQ861" s="40"/>
    </row>
    <row r="862">
      <c r="A862" s="40"/>
      <c r="B862" s="42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1"/>
      <c r="AM862" s="41"/>
      <c r="AN862" s="41"/>
      <c r="AO862" s="40"/>
      <c r="AP862" s="40"/>
      <c r="AQ862" s="40"/>
    </row>
    <row r="863">
      <c r="A863" s="40"/>
      <c r="B863" s="42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1"/>
      <c r="AM863" s="41"/>
      <c r="AN863" s="41"/>
      <c r="AO863" s="40"/>
      <c r="AP863" s="40"/>
      <c r="AQ863" s="40"/>
    </row>
    <row r="864">
      <c r="A864" s="40"/>
      <c r="B864" s="42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1"/>
      <c r="AM864" s="41"/>
      <c r="AN864" s="41"/>
      <c r="AO864" s="40"/>
      <c r="AP864" s="40"/>
      <c r="AQ864" s="40"/>
    </row>
    <row r="865">
      <c r="A865" s="40"/>
      <c r="B865" s="42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1"/>
      <c r="AM865" s="41"/>
      <c r="AN865" s="41"/>
      <c r="AO865" s="40"/>
      <c r="AP865" s="40"/>
      <c r="AQ865" s="40"/>
    </row>
    <row r="866">
      <c r="A866" s="40"/>
      <c r="B866" s="42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1"/>
      <c r="AM866" s="41"/>
      <c r="AN866" s="41"/>
      <c r="AO866" s="40"/>
      <c r="AP866" s="40"/>
      <c r="AQ866" s="40"/>
    </row>
    <row r="867">
      <c r="A867" s="40"/>
      <c r="B867" s="42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1"/>
      <c r="AM867" s="41"/>
      <c r="AN867" s="41"/>
      <c r="AO867" s="40"/>
      <c r="AP867" s="40"/>
      <c r="AQ867" s="40"/>
    </row>
    <row r="868">
      <c r="A868" s="40"/>
      <c r="B868" s="42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1"/>
      <c r="AM868" s="41"/>
      <c r="AN868" s="41"/>
      <c r="AO868" s="40"/>
      <c r="AP868" s="40"/>
      <c r="AQ868" s="40"/>
    </row>
    <row r="869">
      <c r="A869" s="40"/>
      <c r="B869" s="42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1"/>
      <c r="AM869" s="41"/>
      <c r="AN869" s="41"/>
      <c r="AO869" s="40"/>
      <c r="AP869" s="40"/>
      <c r="AQ869" s="40"/>
    </row>
    <row r="870">
      <c r="A870" s="40"/>
      <c r="B870" s="42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1"/>
      <c r="AM870" s="41"/>
      <c r="AN870" s="41"/>
      <c r="AO870" s="40"/>
      <c r="AP870" s="40"/>
      <c r="AQ870" s="40"/>
    </row>
    <row r="871">
      <c r="A871" s="40"/>
      <c r="B871" s="42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1"/>
      <c r="AM871" s="41"/>
      <c r="AN871" s="41"/>
      <c r="AO871" s="40"/>
      <c r="AP871" s="40"/>
      <c r="AQ871" s="40"/>
    </row>
    <row r="872">
      <c r="A872" s="40"/>
      <c r="B872" s="42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1"/>
      <c r="AM872" s="41"/>
      <c r="AN872" s="41"/>
      <c r="AO872" s="40"/>
      <c r="AP872" s="40"/>
      <c r="AQ872" s="40"/>
    </row>
    <row r="873">
      <c r="A873" s="40"/>
      <c r="B873" s="42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1"/>
      <c r="AM873" s="41"/>
      <c r="AN873" s="41"/>
      <c r="AO873" s="40"/>
      <c r="AP873" s="40"/>
      <c r="AQ873" s="40"/>
    </row>
    <row r="874">
      <c r="A874" s="40"/>
      <c r="B874" s="42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1"/>
      <c r="AM874" s="41"/>
      <c r="AN874" s="41"/>
      <c r="AO874" s="40"/>
      <c r="AP874" s="40"/>
      <c r="AQ874" s="40"/>
    </row>
    <row r="875">
      <c r="A875" s="40"/>
      <c r="B875" s="42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1"/>
      <c r="AM875" s="41"/>
      <c r="AN875" s="41"/>
      <c r="AO875" s="40"/>
      <c r="AP875" s="40"/>
      <c r="AQ875" s="40"/>
    </row>
    <row r="876">
      <c r="A876" s="40"/>
      <c r="B876" s="42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1"/>
      <c r="AM876" s="41"/>
      <c r="AN876" s="41"/>
      <c r="AO876" s="40"/>
      <c r="AP876" s="40"/>
      <c r="AQ876" s="40"/>
    </row>
    <row r="877">
      <c r="A877" s="40"/>
      <c r="B877" s="42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1"/>
      <c r="AM877" s="41"/>
      <c r="AN877" s="41"/>
      <c r="AO877" s="40"/>
      <c r="AP877" s="40"/>
      <c r="AQ877" s="40"/>
    </row>
    <row r="878">
      <c r="A878" s="40"/>
      <c r="B878" s="42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1"/>
      <c r="AM878" s="41"/>
      <c r="AN878" s="41"/>
      <c r="AO878" s="40"/>
      <c r="AP878" s="40"/>
      <c r="AQ878" s="40"/>
    </row>
    <row r="879">
      <c r="A879" s="40"/>
      <c r="B879" s="42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1"/>
      <c r="AM879" s="41"/>
      <c r="AN879" s="41"/>
      <c r="AO879" s="40"/>
      <c r="AP879" s="40"/>
      <c r="AQ879" s="40"/>
    </row>
    <row r="880">
      <c r="A880" s="40"/>
      <c r="B880" s="42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1"/>
      <c r="AM880" s="41"/>
      <c r="AN880" s="41"/>
      <c r="AO880" s="40"/>
      <c r="AP880" s="40"/>
      <c r="AQ880" s="40"/>
    </row>
    <row r="881">
      <c r="A881" s="40"/>
      <c r="B881" s="42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1"/>
      <c r="AM881" s="41"/>
      <c r="AN881" s="41"/>
      <c r="AO881" s="40"/>
      <c r="AP881" s="40"/>
      <c r="AQ881" s="40"/>
    </row>
    <row r="882">
      <c r="A882" s="40"/>
      <c r="B882" s="42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1"/>
      <c r="AM882" s="41"/>
      <c r="AN882" s="41"/>
      <c r="AO882" s="40"/>
      <c r="AP882" s="40"/>
      <c r="AQ882" s="40"/>
    </row>
    <row r="883">
      <c r="A883" s="40"/>
      <c r="B883" s="42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1"/>
      <c r="AM883" s="41"/>
      <c r="AN883" s="41"/>
      <c r="AO883" s="40"/>
      <c r="AP883" s="40"/>
      <c r="AQ883" s="40"/>
    </row>
    <row r="884">
      <c r="A884" s="40"/>
      <c r="B884" s="42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1"/>
      <c r="AM884" s="41"/>
      <c r="AN884" s="41"/>
      <c r="AO884" s="40"/>
      <c r="AP884" s="40"/>
      <c r="AQ884" s="40"/>
    </row>
    <row r="885">
      <c r="A885" s="40"/>
      <c r="B885" s="42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1"/>
      <c r="AM885" s="41"/>
      <c r="AN885" s="41"/>
      <c r="AO885" s="40"/>
      <c r="AP885" s="40"/>
      <c r="AQ885" s="40"/>
    </row>
    <row r="886">
      <c r="A886" s="40"/>
      <c r="B886" s="42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1"/>
      <c r="AM886" s="41"/>
      <c r="AN886" s="41"/>
      <c r="AO886" s="40"/>
      <c r="AP886" s="40"/>
      <c r="AQ886" s="40"/>
    </row>
    <row r="887">
      <c r="A887" s="40"/>
      <c r="B887" s="42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1"/>
      <c r="AM887" s="41"/>
      <c r="AN887" s="41"/>
      <c r="AO887" s="40"/>
      <c r="AP887" s="40"/>
      <c r="AQ887" s="40"/>
    </row>
    <row r="888">
      <c r="A888" s="40"/>
      <c r="B888" s="42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1"/>
      <c r="AM888" s="41"/>
      <c r="AN888" s="41"/>
      <c r="AO888" s="40"/>
      <c r="AP888" s="40"/>
      <c r="AQ888" s="40"/>
    </row>
    <row r="889">
      <c r="A889" s="40"/>
      <c r="B889" s="42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1"/>
      <c r="AM889" s="41"/>
      <c r="AN889" s="41"/>
      <c r="AO889" s="40"/>
      <c r="AP889" s="40"/>
      <c r="AQ889" s="40"/>
    </row>
    <row r="890">
      <c r="A890" s="40"/>
      <c r="B890" s="42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1"/>
      <c r="AM890" s="41"/>
      <c r="AN890" s="41"/>
      <c r="AO890" s="40"/>
      <c r="AP890" s="40"/>
      <c r="AQ890" s="40"/>
    </row>
    <row r="891">
      <c r="A891" s="40"/>
      <c r="B891" s="42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1"/>
      <c r="AM891" s="41"/>
      <c r="AN891" s="41"/>
      <c r="AO891" s="40"/>
      <c r="AP891" s="40"/>
      <c r="AQ891" s="40"/>
    </row>
    <row r="892">
      <c r="A892" s="40"/>
      <c r="B892" s="42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1"/>
      <c r="AM892" s="41"/>
      <c r="AN892" s="41"/>
      <c r="AO892" s="40"/>
      <c r="AP892" s="40"/>
      <c r="AQ892" s="40"/>
    </row>
    <row r="893">
      <c r="A893" s="40"/>
      <c r="B893" s="42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1"/>
      <c r="AM893" s="41"/>
      <c r="AN893" s="41"/>
      <c r="AO893" s="40"/>
      <c r="AP893" s="40"/>
      <c r="AQ893" s="40"/>
    </row>
    <row r="894">
      <c r="A894" s="40"/>
      <c r="B894" s="42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1"/>
      <c r="AM894" s="41"/>
      <c r="AN894" s="41"/>
      <c r="AO894" s="40"/>
      <c r="AP894" s="40"/>
      <c r="AQ894" s="40"/>
    </row>
    <row r="895">
      <c r="A895" s="40"/>
      <c r="B895" s="42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1"/>
      <c r="AM895" s="41"/>
      <c r="AN895" s="41"/>
      <c r="AO895" s="40"/>
      <c r="AP895" s="40"/>
      <c r="AQ895" s="40"/>
    </row>
    <row r="896">
      <c r="A896" s="40"/>
      <c r="B896" s="42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1"/>
      <c r="AM896" s="41"/>
      <c r="AN896" s="41"/>
      <c r="AO896" s="40"/>
      <c r="AP896" s="40"/>
      <c r="AQ896" s="40"/>
    </row>
    <row r="897">
      <c r="A897" s="40"/>
      <c r="B897" s="42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1"/>
      <c r="AM897" s="41"/>
      <c r="AN897" s="41"/>
      <c r="AO897" s="40"/>
      <c r="AP897" s="40"/>
      <c r="AQ897" s="40"/>
    </row>
    <row r="898">
      <c r="A898" s="40"/>
      <c r="B898" s="42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1"/>
      <c r="AM898" s="41"/>
      <c r="AN898" s="41"/>
      <c r="AO898" s="40"/>
      <c r="AP898" s="40"/>
      <c r="AQ898" s="40"/>
    </row>
    <row r="899">
      <c r="A899" s="40"/>
      <c r="B899" s="42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1"/>
      <c r="AM899" s="41"/>
      <c r="AN899" s="41"/>
      <c r="AO899" s="40"/>
      <c r="AP899" s="40"/>
      <c r="AQ899" s="40"/>
    </row>
    <row r="900">
      <c r="A900" s="40"/>
      <c r="B900" s="42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1"/>
      <c r="AM900" s="41"/>
      <c r="AN900" s="41"/>
      <c r="AO900" s="40"/>
      <c r="AP900" s="40"/>
      <c r="AQ900" s="40"/>
    </row>
    <row r="901">
      <c r="A901" s="40"/>
      <c r="B901" s="42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1"/>
      <c r="AM901" s="41"/>
      <c r="AN901" s="41"/>
      <c r="AO901" s="40"/>
      <c r="AP901" s="40"/>
      <c r="AQ901" s="40"/>
    </row>
    <row r="902">
      <c r="A902" s="40"/>
      <c r="B902" s="42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1"/>
      <c r="AM902" s="41"/>
      <c r="AN902" s="41"/>
      <c r="AO902" s="40"/>
      <c r="AP902" s="40"/>
      <c r="AQ902" s="40"/>
    </row>
    <row r="903">
      <c r="A903" s="40"/>
      <c r="B903" s="42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1"/>
      <c r="AM903" s="41"/>
      <c r="AN903" s="41"/>
      <c r="AO903" s="40"/>
      <c r="AP903" s="40"/>
      <c r="AQ903" s="40"/>
    </row>
    <row r="904">
      <c r="A904" s="40"/>
      <c r="B904" s="42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1"/>
      <c r="AM904" s="41"/>
      <c r="AN904" s="41"/>
      <c r="AO904" s="40"/>
      <c r="AP904" s="40"/>
      <c r="AQ904" s="40"/>
    </row>
    <row r="905">
      <c r="A905" s="40"/>
      <c r="B905" s="42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1"/>
      <c r="AM905" s="41"/>
      <c r="AN905" s="41"/>
      <c r="AO905" s="40"/>
      <c r="AP905" s="40"/>
      <c r="AQ905" s="40"/>
    </row>
    <row r="906">
      <c r="A906" s="40"/>
      <c r="B906" s="42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1"/>
      <c r="AM906" s="41"/>
      <c r="AN906" s="41"/>
      <c r="AO906" s="40"/>
      <c r="AP906" s="40"/>
      <c r="AQ906" s="40"/>
    </row>
    <row r="907">
      <c r="A907" s="40"/>
      <c r="B907" s="42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1"/>
      <c r="AM907" s="41"/>
      <c r="AN907" s="41"/>
      <c r="AO907" s="40"/>
      <c r="AP907" s="40"/>
      <c r="AQ907" s="40"/>
    </row>
    <row r="908">
      <c r="A908" s="40"/>
      <c r="B908" s="42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1"/>
      <c r="AM908" s="41"/>
      <c r="AN908" s="41"/>
      <c r="AO908" s="40"/>
      <c r="AP908" s="40"/>
      <c r="AQ908" s="40"/>
    </row>
    <row r="909">
      <c r="A909" s="40"/>
      <c r="B909" s="42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1"/>
      <c r="AM909" s="41"/>
      <c r="AN909" s="41"/>
      <c r="AO909" s="40"/>
      <c r="AP909" s="40"/>
      <c r="AQ909" s="40"/>
    </row>
    <row r="910">
      <c r="A910" s="40"/>
      <c r="B910" s="42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1"/>
      <c r="AM910" s="41"/>
      <c r="AN910" s="41"/>
      <c r="AO910" s="40"/>
      <c r="AP910" s="40"/>
      <c r="AQ910" s="40"/>
    </row>
    <row r="911">
      <c r="A911" s="40"/>
      <c r="B911" s="42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1"/>
      <c r="AM911" s="41"/>
      <c r="AN911" s="41"/>
      <c r="AO911" s="40"/>
      <c r="AP911" s="40"/>
      <c r="AQ911" s="40"/>
    </row>
    <row r="912">
      <c r="A912" s="40"/>
      <c r="B912" s="42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1"/>
      <c r="AM912" s="41"/>
      <c r="AN912" s="41"/>
      <c r="AO912" s="40"/>
      <c r="AP912" s="40"/>
      <c r="AQ912" s="40"/>
    </row>
    <row r="913">
      <c r="A913" s="40"/>
      <c r="B913" s="42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1"/>
      <c r="AM913" s="41"/>
      <c r="AN913" s="41"/>
      <c r="AO913" s="40"/>
      <c r="AP913" s="40"/>
      <c r="AQ913" s="40"/>
    </row>
    <row r="914">
      <c r="A914" s="40"/>
      <c r="B914" s="42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1"/>
      <c r="AM914" s="41"/>
      <c r="AN914" s="41"/>
      <c r="AO914" s="40"/>
      <c r="AP914" s="40"/>
      <c r="AQ914" s="40"/>
    </row>
    <row r="915">
      <c r="A915" s="40"/>
      <c r="B915" s="42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1"/>
      <c r="AM915" s="41"/>
      <c r="AN915" s="41"/>
      <c r="AO915" s="40"/>
      <c r="AP915" s="40"/>
      <c r="AQ915" s="40"/>
    </row>
    <row r="916">
      <c r="A916" s="40"/>
      <c r="B916" s="42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1"/>
      <c r="AM916" s="41"/>
      <c r="AN916" s="41"/>
      <c r="AO916" s="40"/>
      <c r="AP916" s="40"/>
      <c r="AQ916" s="40"/>
    </row>
    <row r="917">
      <c r="A917" s="40"/>
      <c r="B917" s="42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1"/>
      <c r="AM917" s="41"/>
      <c r="AN917" s="41"/>
      <c r="AO917" s="40"/>
      <c r="AP917" s="40"/>
      <c r="AQ917" s="40"/>
    </row>
    <row r="918">
      <c r="A918" s="40"/>
      <c r="B918" s="42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1"/>
      <c r="AM918" s="41"/>
      <c r="AN918" s="41"/>
      <c r="AO918" s="40"/>
      <c r="AP918" s="40"/>
      <c r="AQ918" s="40"/>
    </row>
    <row r="919">
      <c r="A919" s="40"/>
      <c r="B919" s="42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1"/>
      <c r="AM919" s="41"/>
      <c r="AN919" s="41"/>
      <c r="AO919" s="40"/>
      <c r="AP919" s="40"/>
      <c r="AQ919" s="40"/>
    </row>
    <row r="920">
      <c r="A920" s="40"/>
      <c r="B920" s="42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1"/>
      <c r="AM920" s="41"/>
      <c r="AN920" s="41"/>
      <c r="AO920" s="40"/>
      <c r="AP920" s="40"/>
      <c r="AQ920" s="40"/>
    </row>
    <row r="921">
      <c r="A921" s="40"/>
      <c r="B921" s="42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1"/>
      <c r="AM921" s="41"/>
      <c r="AN921" s="41"/>
      <c r="AO921" s="40"/>
      <c r="AP921" s="40"/>
      <c r="AQ921" s="40"/>
    </row>
    <row r="922">
      <c r="A922" s="40"/>
      <c r="B922" s="42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1"/>
      <c r="AM922" s="41"/>
      <c r="AN922" s="41"/>
      <c r="AO922" s="40"/>
      <c r="AP922" s="40"/>
      <c r="AQ922" s="40"/>
    </row>
    <row r="923">
      <c r="A923" s="40"/>
      <c r="B923" s="42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1"/>
      <c r="AM923" s="41"/>
      <c r="AN923" s="41"/>
      <c r="AO923" s="40"/>
      <c r="AP923" s="40"/>
      <c r="AQ923" s="40"/>
    </row>
    <row r="924">
      <c r="A924" s="40"/>
      <c r="B924" s="42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1"/>
      <c r="AM924" s="41"/>
      <c r="AN924" s="41"/>
      <c r="AO924" s="40"/>
      <c r="AP924" s="40"/>
      <c r="AQ924" s="40"/>
    </row>
    <row r="925">
      <c r="A925" s="40"/>
      <c r="B925" s="42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1"/>
      <c r="AM925" s="41"/>
      <c r="AN925" s="41"/>
      <c r="AO925" s="40"/>
      <c r="AP925" s="40"/>
      <c r="AQ925" s="40"/>
    </row>
    <row r="926">
      <c r="A926" s="40"/>
      <c r="B926" s="42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1"/>
      <c r="AM926" s="41"/>
      <c r="AN926" s="41"/>
      <c r="AO926" s="40"/>
      <c r="AP926" s="40"/>
      <c r="AQ926" s="40"/>
    </row>
    <row r="927">
      <c r="A927" s="40"/>
      <c r="B927" s="42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1"/>
      <c r="AM927" s="41"/>
      <c r="AN927" s="41"/>
      <c r="AO927" s="40"/>
      <c r="AP927" s="40"/>
      <c r="AQ927" s="40"/>
    </row>
    <row r="928">
      <c r="A928" s="40"/>
      <c r="B928" s="42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1"/>
      <c r="AM928" s="41"/>
      <c r="AN928" s="41"/>
      <c r="AO928" s="40"/>
      <c r="AP928" s="40"/>
      <c r="AQ928" s="40"/>
    </row>
    <row r="929">
      <c r="A929" s="40"/>
      <c r="B929" s="42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1"/>
      <c r="AM929" s="41"/>
      <c r="AN929" s="41"/>
      <c r="AO929" s="40"/>
      <c r="AP929" s="40"/>
      <c r="AQ929" s="40"/>
    </row>
    <row r="930">
      <c r="A930" s="40"/>
      <c r="B930" s="42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1"/>
      <c r="AM930" s="41"/>
      <c r="AN930" s="41"/>
      <c r="AO930" s="40"/>
      <c r="AP930" s="40"/>
      <c r="AQ930" s="40"/>
    </row>
    <row r="931">
      <c r="A931" s="40"/>
      <c r="B931" s="42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1"/>
      <c r="AM931" s="41"/>
      <c r="AN931" s="41"/>
      <c r="AO931" s="40"/>
      <c r="AP931" s="40"/>
      <c r="AQ931" s="40"/>
    </row>
    <row r="932">
      <c r="A932" s="40"/>
      <c r="B932" s="42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1"/>
      <c r="AM932" s="41"/>
      <c r="AN932" s="41"/>
      <c r="AO932" s="40"/>
      <c r="AP932" s="40"/>
      <c r="AQ932" s="40"/>
    </row>
    <row r="933">
      <c r="A933" s="40"/>
      <c r="B933" s="42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1"/>
      <c r="AM933" s="41"/>
      <c r="AN933" s="41"/>
      <c r="AO933" s="40"/>
      <c r="AP933" s="40"/>
      <c r="AQ933" s="40"/>
    </row>
    <row r="934">
      <c r="A934" s="40"/>
      <c r="B934" s="42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1"/>
      <c r="AM934" s="41"/>
      <c r="AN934" s="41"/>
      <c r="AO934" s="40"/>
      <c r="AP934" s="40"/>
      <c r="AQ934" s="40"/>
    </row>
    <row r="935">
      <c r="A935" s="40"/>
      <c r="B935" s="42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1"/>
      <c r="AM935" s="41"/>
      <c r="AN935" s="41"/>
      <c r="AO935" s="40"/>
      <c r="AP935" s="40"/>
      <c r="AQ935" s="40"/>
    </row>
    <row r="936">
      <c r="A936" s="40"/>
      <c r="B936" s="42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1"/>
      <c r="AM936" s="41"/>
      <c r="AN936" s="41"/>
      <c r="AO936" s="40"/>
      <c r="AP936" s="40"/>
      <c r="AQ936" s="40"/>
    </row>
    <row r="937">
      <c r="A937" s="40"/>
      <c r="B937" s="42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1"/>
      <c r="AM937" s="41"/>
      <c r="AN937" s="41"/>
      <c r="AO937" s="40"/>
      <c r="AP937" s="40"/>
      <c r="AQ937" s="40"/>
    </row>
    <row r="938">
      <c r="A938" s="40"/>
      <c r="B938" s="42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1"/>
      <c r="AM938" s="41"/>
      <c r="AN938" s="41"/>
      <c r="AO938" s="40"/>
      <c r="AP938" s="40"/>
      <c r="AQ938" s="40"/>
    </row>
    <row r="939">
      <c r="A939" s="40"/>
      <c r="B939" s="42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1"/>
      <c r="AM939" s="41"/>
      <c r="AN939" s="41"/>
      <c r="AO939" s="40"/>
      <c r="AP939" s="40"/>
      <c r="AQ939" s="40"/>
    </row>
    <row r="940">
      <c r="A940" s="40"/>
      <c r="B940" s="42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1"/>
      <c r="AM940" s="41"/>
      <c r="AN940" s="41"/>
      <c r="AO940" s="40"/>
      <c r="AP940" s="40"/>
      <c r="AQ940" s="40"/>
    </row>
    <row r="941">
      <c r="A941" s="40"/>
      <c r="B941" s="42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1"/>
      <c r="AM941" s="41"/>
      <c r="AN941" s="41"/>
      <c r="AO941" s="40"/>
      <c r="AP941" s="40"/>
      <c r="AQ941" s="40"/>
    </row>
    <row r="942">
      <c r="A942" s="40"/>
      <c r="B942" s="42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1"/>
      <c r="AM942" s="41"/>
      <c r="AN942" s="41"/>
      <c r="AO942" s="40"/>
      <c r="AP942" s="40"/>
      <c r="AQ942" s="40"/>
    </row>
    <row r="943">
      <c r="A943" s="40"/>
      <c r="B943" s="42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1"/>
      <c r="AM943" s="41"/>
      <c r="AN943" s="41"/>
      <c r="AO943" s="40"/>
      <c r="AP943" s="40"/>
      <c r="AQ943" s="40"/>
    </row>
    <row r="944">
      <c r="A944" s="40"/>
      <c r="B944" s="42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1"/>
      <c r="AM944" s="41"/>
      <c r="AN944" s="41"/>
      <c r="AO944" s="40"/>
      <c r="AP944" s="40"/>
      <c r="AQ944" s="40"/>
    </row>
    <row r="945">
      <c r="A945" s="40"/>
      <c r="B945" s="42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1"/>
      <c r="AM945" s="41"/>
      <c r="AN945" s="41"/>
      <c r="AO945" s="40"/>
      <c r="AP945" s="40"/>
      <c r="AQ945" s="40"/>
    </row>
    <row r="946">
      <c r="A946" s="40"/>
      <c r="B946" s="42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1"/>
      <c r="AM946" s="41"/>
      <c r="AN946" s="41"/>
      <c r="AO946" s="40"/>
      <c r="AP946" s="40"/>
      <c r="AQ946" s="40"/>
    </row>
    <row r="947">
      <c r="A947" s="40"/>
      <c r="B947" s="42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1"/>
      <c r="AM947" s="41"/>
      <c r="AN947" s="41"/>
      <c r="AO947" s="40"/>
      <c r="AP947" s="40"/>
      <c r="AQ947" s="40"/>
    </row>
    <row r="948">
      <c r="A948" s="40"/>
      <c r="B948" s="42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1"/>
      <c r="AM948" s="41"/>
      <c r="AN948" s="41"/>
      <c r="AO948" s="40"/>
      <c r="AP948" s="40"/>
      <c r="AQ948" s="40"/>
    </row>
    <row r="949">
      <c r="A949" s="40"/>
      <c r="B949" s="42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1"/>
      <c r="AM949" s="41"/>
      <c r="AN949" s="41"/>
      <c r="AO949" s="40"/>
      <c r="AP949" s="40"/>
      <c r="AQ949" s="40"/>
    </row>
    <row r="950">
      <c r="A950" s="40"/>
      <c r="B950" s="42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1"/>
      <c r="AM950" s="41"/>
      <c r="AN950" s="41"/>
      <c r="AO950" s="40"/>
      <c r="AP950" s="40"/>
      <c r="AQ950" s="40"/>
    </row>
    <row r="951">
      <c r="A951" s="40"/>
      <c r="B951" s="42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1"/>
      <c r="AM951" s="41"/>
      <c r="AN951" s="41"/>
      <c r="AO951" s="40"/>
      <c r="AP951" s="40"/>
      <c r="AQ951" s="40"/>
    </row>
    <row r="952">
      <c r="A952" s="40"/>
      <c r="B952" s="42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1"/>
      <c r="AM952" s="41"/>
      <c r="AN952" s="41"/>
      <c r="AO952" s="40"/>
      <c r="AP952" s="40"/>
      <c r="AQ952" s="40"/>
    </row>
    <row r="953">
      <c r="A953" s="40"/>
      <c r="B953" s="42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1"/>
      <c r="AM953" s="41"/>
      <c r="AN953" s="41"/>
      <c r="AO953" s="40"/>
      <c r="AP953" s="40"/>
      <c r="AQ953" s="40"/>
    </row>
    <row r="954">
      <c r="A954" s="40"/>
      <c r="B954" s="42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1"/>
      <c r="AM954" s="41"/>
      <c r="AN954" s="41"/>
      <c r="AO954" s="40"/>
      <c r="AP954" s="40"/>
      <c r="AQ954" s="40"/>
    </row>
    <row r="955">
      <c r="A955" s="40"/>
      <c r="B955" s="42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1"/>
      <c r="AM955" s="41"/>
      <c r="AN955" s="41"/>
      <c r="AO955" s="40"/>
      <c r="AP955" s="40"/>
      <c r="AQ955" s="40"/>
    </row>
    <row r="956">
      <c r="A956" s="40"/>
      <c r="B956" s="42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1"/>
      <c r="AM956" s="41"/>
      <c r="AN956" s="41"/>
      <c r="AO956" s="40"/>
      <c r="AP956" s="40"/>
      <c r="AQ956" s="40"/>
    </row>
    <row r="957">
      <c r="A957" s="40"/>
      <c r="B957" s="42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1"/>
      <c r="AM957" s="41"/>
      <c r="AN957" s="41"/>
      <c r="AO957" s="40"/>
      <c r="AP957" s="40"/>
      <c r="AQ957" s="40"/>
    </row>
    <row r="958">
      <c r="A958" s="40"/>
      <c r="B958" s="42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1"/>
      <c r="AM958" s="41"/>
      <c r="AN958" s="41"/>
      <c r="AO958" s="40"/>
      <c r="AP958" s="40"/>
      <c r="AQ958" s="40"/>
    </row>
    <row r="959">
      <c r="A959" s="40"/>
      <c r="B959" s="42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1"/>
      <c r="AM959" s="41"/>
      <c r="AN959" s="41"/>
      <c r="AO959" s="40"/>
      <c r="AP959" s="40"/>
      <c r="AQ959" s="40"/>
    </row>
    <row r="960">
      <c r="A960" s="40"/>
      <c r="B960" s="42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1"/>
      <c r="AM960" s="41"/>
      <c r="AN960" s="41"/>
      <c r="AO960" s="40"/>
      <c r="AP960" s="40"/>
      <c r="AQ960" s="40"/>
    </row>
    <row r="961">
      <c r="A961" s="40"/>
      <c r="B961" s="42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1"/>
      <c r="AM961" s="41"/>
      <c r="AN961" s="41"/>
      <c r="AO961" s="40"/>
      <c r="AP961" s="40"/>
      <c r="AQ961" s="40"/>
    </row>
    <row r="962">
      <c r="A962" s="40"/>
      <c r="B962" s="42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1"/>
      <c r="AM962" s="41"/>
      <c r="AN962" s="41"/>
      <c r="AO962" s="40"/>
      <c r="AP962" s="40"/>
      <c r="AQ962" s="40"/>
    </row>
    <row r="963">
      <c r="A963" s="40"/>
      <c r="B963" s="42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1"/>
      <c r="AM963" s="41"/>
      <c r="AN963" s="41"/>
      <c r="AO963" s="40"/>
      <c r="AP963" s="40"/>
      <c r="AQ963" s="40"/>
    </row>
    <row r="964">
      <c r="A964" s="40"/>
      <c r="B964" s="42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1"/>
      <c r="AM964" s="41"/>
      <c r="AN964" s="41"/>
      <c r="AO964" s="40"/>
      <c r="AP964" s="40"/>
      <c r="AQ964" s="40"/>
    </row>
    <row r="965">
      <c r="A965" s="40"/>
      <c r="B965" s="42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1"/>
      <c r="AM965" s="41"/>
      <c r="AN965" s="41"/>
      <c r="AO965" s="40"/>
      <c r="AP965" s="40"/>
      <c r="AQ965" s="40"/>
    </row>
    <row r="966">
      <c r="A966" s="40"/>
      <c r="B966" s="42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1"/>
      <c r="AM966" s="41"/>
      <c r="AN966" s="41"/>
      <c r="AO966" s="40"/>
      <c r="AP966" s="40"/>
      <c r="AQ966" s="40"/>
    </row>
    <row r="967">
      <c r="A967" s="40"/>
      <c r="B967" s="42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1"/>
      <c r="AM967" s="41"/>
      <c r="AN967" s="41"/>
      <c r="AO967" s="40"/>
      <c r="AP967" s="40"/>
      <c r="AQ967" s="40"/>
    </row>
    <row r="968">
      <c r="A968" s="40"/>
      <c r="B968" s="42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1"/>
      <c r="AM968" s="41"/>
      <c r="AN968" s="41"/>
      <c r="AO968" s="40"/>
      <c r="AP968" s="40"/>
      <c r="AQ968" s="40"/>
    </row>
    <row r="969">
      <c r="A969" s="40"/>
      <c r="B969" s="42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1"/>
      <c r="AM969" s="41"/>
      <c r="AN969" s="41"/>
      <c r="AO969" s="40"/>
      <c r="AP969" s="40"/>
      <c r="AQ969" s="40"/>
    </row>
    <row r="970">
      <c r="A970" s="40"/>
      <c r="B970" s="42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1"/>
      <c r="AM970" s="41"/>
      <c r="AN970" s="41"/>
      <c r="AO970" s="40"/>
      <c r="AP970" s="40"/>
      <c r="AQ970" s="40"/>
    </row>
    <row r="971">
      <c r="A971" s="40"/>
      <c r="B971" s="42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1"/>
      <c r="AM971" s="41"/>
      <c r="AN971" s="41"/>
      <c r="AO971" s="40"/>
      <c r="AP971" s="40"/>
      <c r="AQ971" s="40"/>
    </row>
    <row r="972">
      <c r="A972" s="40"/>
      <c r="B972" s="42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1"/>
      <c r="AM972" s="41"/>
      <c r="AN972" s="41"/>
      <c r="AO972" s="40"/>
      <c r="AP972" s="40"/>
      <c r="AQ972" s="40"/>
    </row>
    <row r="973">
      <c r="A973" s="40"/>
      <c r="B973" s="42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1"/>
      <c r="AM973" s="41"/>
      <c r="AN973" s="41"/>
      <c r="AO973" s="40"/>
      <c r="AP973" s="40"/>
      <c r="AQ973" s="40"/>
    </row>
    <row r="974">
      <c r="A974" s="40"/>
      <c r="B974" s="42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1"/>
      <c r="AM974" s="41"/>
      <c r="AN974" s="41"/>
      <c r="AO974" s="40"/>
      <c r="AP974" s="40"/>
      <c r="AQ974" s="40"/>
    </row>
    <row r="975">
      <c r="A975" s="40"/>
      <c r="B975" s="42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1"/>
      <c r="AM975" s="41"/>
      <c r="AN975" s="41"/>
      <c r="AO975" s="40"/>
      <c r="AP975" s="40"/>
      <c r="AQ975" s="40"/>
    </row>
    <row r="976">
      <c r="A976" s="40"/>
      <c r="B976" s="42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1"/>
      <c r="AM976" s="41"/>
      <c r="AN976" s="41"/>
      <c r="AO976" s="40"/>
      <c r="AP976" s="40"/>
      <c r="AQ976" s="40"/>
    </row>
    <row r="977">
      <c r="A977" s="40"/>
      <c r="B977" s="42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1"/>
      <c r="AM977" s="41"/>
      <c r="AN977" s="41"/>
      <c r="AO977" s="40"/>
      <c r="AP977" s="40"/>
      <c r="AQ977" s="40"/>
    </row>
    <row r="978">
      <c r="A978" s="40"/>
      <c r="B978" s="42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1"/>
      <c r="AM978" s="41"/>
      <c r="AN978" s="41"/>
      <c r="AO978" s="40"/>
      <c r="AP978" s="40"/>
      <c r="AQ978" s="40"/>
    </row>
    <row r="979">
      <c r="A979" s="40"/>
      <c r="B979" s="42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1"/>
      <c r="AM979" s="41"/>
      <c r="AN979" s="41"/>
      <c r="AO979" s="40"/>
      <c r="AP979" s="40"/>
      <c r="AQ979" s="40"/>
    </row>
    <row r="980">
      <c r="A980" s="40"/>
      <c r="B980" s="42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1"/>
      <c r="AM980" s="41"/>
      <c r="AN980" s="41"/>
      <c r="AO980" s="40"/>
      <c r="AP980" s="40"/>
      <c r="AQ980" s="40"/>
    </row>
    <row r="981">
      <c r="A981" s="40"/>
      <c r="B981" s="42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1"/>
      <c r="AM981" s="41"/>
      <c r="AN981" s="41"/>
      <c r="AO981" s="40"/>
      <c r="AP981" s="40"/>
      <c r="AQ981" s="40"/>
    </row>
    <row r="982">
      <c r="A982" s="40"/>
      <c r="B982" s="42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1"/>
      <c r="AM982" s="41"/>
      <c r="AN982" s="41"/>
      <c r="AO982" s="40"/>
      <c r="AP982" s="40"/>
      <c r="AQ982" s="40"/>
    </row>
    <row r="983">
      <c r="A983" s="40"/>
      <c r="B983" s="42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1"/>
      <c r="AM983" s="41"/>
      <c r="AN983" s="41"/>
      <c r="AO983" s="40"/>
      <c r="AP983" s="40"/>
      <c r="AQ983" s="40"/>
    </row>
    <row r="984">
      <c r="A984" s="40"/>
      <c r="B984" s="42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1"/>
      <c r="AM984" s="41"/>
      <c r="AN984" s="41"/>
      <c r="AO984" s="40"/>
      <c r="AP984" s="40"/>
      <c r="AQ984" s="40"/>
    </row>
    <row r="985">
      <c r="A985" s="40"/>
      <c r="B985" s="42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1"/>
      <c r="AM985" s="41"/>
      <c r="AN985" s="41"/>
      <c r="AO985" s="40"/>
      <c r="AP985" s="40"/>
      <c r="AQ985" s="40"/>
    </row>
    <row r="986">
      <c r="A986" s="40"/>
      <c r="B986" s="42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1"/>
      <c r="AM986" s="41"/>
      <c r="AN986" s="41"/>
      <c r="AO986" s="40"/>
      <c r="AP986" s="40"/>
      <c r="AQ986" s="40"/>
    </row>
    <row r="987">
      <c r="A987" s="40"/>
      <c r="B987" s="42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1"/>
      <c r="AM987" s="41"/>
      <c r="AN987" s="41"/>
      <c r="AO987" s="40"/>
      <c r="AP987" s="40"/>
      <c r="AQ987" s="40"/>
    </row>
    <row r="988">
      <c r="A988" s="40"/>
      <c r="B988" s="42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1"/>
      <c r="AM988" s="41"/>
      <c r="AN988" s="41"/>
      <c r="AO988" s="40"/>
      <c r="AP988" s="40"/>
      <c r="AQ988" s="40"/>
    </row>
    <row r="989">
      <c r="A989" s="40"/>
      <c r="B989" s="42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1"/>
      <c r="AM989" s="41"/>
      <c r="AN989" s="41"/>
      <c r="AO989" s="40"/>
      <c r="AP989" s="40"/>
      <c r="AQ989" s="40"/>
    </row>
    <row r="990">
      <c r="A990" s="40"/>
      <c r="B990" s="42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1"/>
      <c r="AM990" s="41"/>
      <c r="AN990" s="41"/>
      <c r="AO990" s="40"/>
      <c r="AP990" s="40"/>
      <c r="AQ990" s="40"/>
    </row>
    <row r="991">
      <c r="A991" s="40"/>
      <c r="B991" s="42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1"/>
      <c r="AM991" s="41"/>
      <c r="AN991" s="41"/>
      <c r="AO991" s="40"/>
      <c r="AP991" s="40"/>
      <c r="AQ991" s="40"/>
    </row>
    <row r="992">
      <c r="A992" s="40"/>
      <c r="B992" s="42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1"/>
      <c r="AM992" s="41"/>
      <c r="AN992" s="41"/>
      <c r="AO992" s="40"/>
      <c r="AP992" s="40"/>
      <c r="AQ992" s="40"/>
    </row>
    <row r="993">
      <c r="A993" s="40"/>
      <c r="B993" s="42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1"/>
      <c r="AM993" s="41"/>
      <c r="AN993" s="41"/>
      <c r="AO993" s="40"/>
      <c r="AP993" s="40"/>
      <c r="AQ993" s="40"/>
    </row>
    <row r="994">
      <c r="A994" s="40"/>
      <c r="B994" s="42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1"/>
      <c r="AM994" s="41"/>
      <c r="AN994" s="41"/>
      <c r="AO994" s="40"/>
      <c r="AP994" s="40"/>
      <c r="AQ994" s="40"/>
    </row>
    <row r="995">
      <c r="A995" s="40"/>
      <c r="B995" s="42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1"/>
      <c r="AM995" s="41"/>
      <c r="AN995" s="41"/>
      <c r="AO995" s="40"/>
      <c r="AP995" s="40"/>
      <c r="AQ995" s="40"/>
    </row>
    <row r="996">
      <c r="B996" s="39"/>
      <c r="AL996" s="43"/>
      <c r="AM996" s="43"/>
      <c r="AN996" s="43"/>
    </row>
    <row r="997">
      <c r="B997" s="39"/>
      <c r="AL997" s="43"/>
      <c r="AM997" s="43"/>
      <c r="AN997" s="43"/>
    </row>
    <row r="998">
      <c r="B998" s="39"/>
      <c r="AL998" s="43"/>
      <c r="AM998" s="43"/>
      <c r="AN998" s="43"/>
    </row>
  </sheetData>
  <mergeCells count="4">
    <mergeCell ref="A1:AK1"/>
    <mergeCell ref="A2:A4"/>
    <mergeCell ref="B2:B4"/>
    <mergeCell ref="C2:AK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11.5"/>
    <col customWidth="1" min="3" max="3" width="4.13"/>
    <col customWidth="1" min="4" max="4" width="55.75"/>
    <col customWidth="1" min="5" max="5" width="12.5"/>
    <col customWidth="1" min="6" max="6" width="14.88"/>
    <col customWidth="1" min="7" max="7" width="12.5"/>
    <col customWidth="1" min="8" max="8" width="3.63"/>
    <col customWidth="1" min="9" max="9" width="4.25"/>
    <col customWidth="1" min="10" max="10" width="8.63"/>
    <col customWidth="1" min="11" max="11" width="13.63"/>
    <col customWidth="1" min="12" max="12" width="21.88"/>
    <col customWidth="1" min="13" max="13" width="13.88"/>
    <col customWidth="1" min="14" max="14" width="14.5"/>
    <col customWidth="1" min="15" max="15" width="3.88"/>
    <col customWidth="1" min="16" max="16" width="9.63"/>
    <col customWidth="1" min="17" max="17" width="4.13"/>
    <col customWidth="1" min="18" max="18" width="19.75"/>
  </cols>
  <sheetData>
    <row r="1">
      <c r="A1" s="118" t="s">
        <v>11</v>
      </c>
      <c r="B1" s="119" t="s">
        <v>12</v>
      </c>
      <c r="C1" s="118" t="s">
        <v>510</v>
      </c>
      <c r="D1" s="118" t="s">
        <v>511</v>
      </c>
      <c r="E1" s="120" t="s">
        <v>512</v>
      </c>
      <c r="F1" s="121" t="s">
        <v>513</v>
      </c>
      <c r="G1" s="118" t="s">
        <v>514</v>
      </c>
      <c r="H1" s="122"/>
      <c r="I1" s="118" t="s">
        <v>11</v>
      </c>
      <c r="J1" s="123" t="s">
        <v>515</v>
      </c>
      <c r="K1" s="124" t="s">
        <v>516</v>
      </c>
      <c r="L1" s="124" t="s">
        <v>517</v>
      </c>
      <c r="M1" s="121" t="s">
        <v>518</v>
      </c>
      <c r="N1" s="121" t="s">
        <v>519</v>
      </c>
      <c r="O1" s="125"/>
      <c r="P1" s="118" t="s">
        <v>520</v>
      </c>
      <c r="Q1" s="118" t="s">
        <v>510</v>
      </c>
      <c r="R1" s="126"/>
    </row>
    <row r="2">
      <c r="A2" s="52">
        <v>1.0</v>
      </c>
      <c r="B2" s="127">
        <v>45861.0</v>
      </c>
      <c r="C2" s="52">
        <v>15.0</v>
      </c>
      <c r="D2" s="52" t="s">
        <v>521</v>
      </c>
      <c r="E2" s="128">
        <v>1.8232E7</v>
      </c>
      <c r="F2" s="129">
        <v>0.0</v>
      </c>
      <c r="G2" s="130">
        <f>E2-F2</f>
        <v>18232000</v>
      </c>
      <c r="H2" s="131"/>
      <c r="I2" s="52">
        <v>1.0</v>
      </c>
      <c r="J2" s="132">
        <v>45844.0</v>
      </c>
      <c r="K2" s="133">
        <f>SUMIFS(E:E, C:C, "11", B:B, "&gt;=01/07/2025", B:B, "&lt;=31/07/2025")</f>
        <v>150000</v>
      </c>
      <c r="L2" s="134">
        <f>SUMIFS(F:F, C:C, "12", B:B, "&gt;=01/07/2025", B:B, "&lt;=31/07/2025") + SUMIFS(F:F, C:C, "14", B:B, "&gt;=01/07/2025", B:B, "&lt;=31/07/2025")
</f>
        <v>151000</v>
      </c>
      <c r="M2" s="129">
        <f>SUM('JULI 25'!AP:AP)</f>
        <v>33300</v>
      </c>
      <c r="N2" s="129">
        <f t="shared" ref="N2:N8" si="1">K2-(L2+M2)</f>
        <v>-34300</v>
      </c>
      <c r="O2" s="135"/>
      <c r="P2" s="52" t="s">
        <v>522</v>
      </c>
      <c r="Q2" s="52">
        <v>11.0</v>
      </c>
      <c r="R2" s="126"/>
    </row>
    <row r="3">
      <c r="A3" s="52">
        <v>2.0</v>
      </c>
      <c r="B3" s="127">
        <v>45861.0</v>
      </c>
      <c r="C3" s="52">
        <v>13.0</v>
      </c>
      <c r="D3" s="52" t="s">
        <v>523</v>
      </c>
      <c r="E3" s="130"/>
      <c r="F3" s="129">
        <v>950500.0</v>
      </c>
      <c r="G3" s="130">
        <f t="shared" ref="G3:G142" si="2">IF(AND(E3="",F3=""),"",G2+E3-F3)</f>
        <v>17281500</v>
      </c>
      <c r="H3" s="131"/>
      <c r="I3" s="52">
        <v>2.0</v>
      </c>
      <c r="J3" s="132">
        <v>45876.0</v>
      </c>
      <c r="K3" s="133">
        <f>SUMIFS(E:E, C:C, "11", B:B, "&gt;=01/08/2025", B:B, "&lt;=30/08/2025")</f>
        <v>1790000</v>
      </c>
      <c r="L3" s="134">
        <f>SUMIFS(F:F, C:C, "12", B:B, "&gt;=01/08/2025", B:B, "&lt;=31/08/2025") + SUMIFS(F:F, C:C, "14", B:B, "&gt;=01/08/2025", B:B, "&lt;=31/08/2025")
</f>
        <v>818000</v>
      </c>
      <c r="M3" s="129">
        <f>SUM('AGS 25'!AP:AP)</f>
        <v>702305</v>
      </c>
      <c r="N3" s="129">
        <f t="shared" si="1"/>
        <v>269695</v>
      </c>
      <c r="O3" s="135"/>
      <c r="P3" s="52" t="s">
        <v>524</v>
      </c>
      <c r="Q3" s="52">
        <v>12.0</v>
      </c>
      <c r="R3" s="126"/>
    </row>
    <row r="4">
      <c r="A4" s="52">
        <v>3.0</v>
      </c>
      <c r="B4" s="127">
        <v>45861.0</v>
      </c>
      <c r="C4" s="52">
        <v>13.0</v>
      </c>
      <c r="D4" s="52" t="s">
        <v>525</v>
      </c>
      <c r="E4" s="130"/>
      <c r="F4" s="129">
        <v>189900.0</v>
      </c>
      <c r="G4" s="130">
        <f t="shared" si="2"/>
        <v>17091600</v>
      </c>
      <c r="H4" s="131"/>
      <c r="I4" s="52">
        <v>3.0</v>
      </c>
      <c r="J4" s="132">
        <v>45908.0</v>
      </c>
      <c r="K4" s="133">
        <f>SUMIFS(E:E, C:C, "11", B:B, "&gt;=01/09/2025", B:B, "&lt;=26/09/2025")</f>
        <v>3576000</v>
      </c>
      <c r="L4" s="134">
        <f>SUMIFS(F:F, C:C, "12", B:B, "&gt;=01/09/2025", B:B, "&lt;=26/09/2025") + SUMIFS(F:F, C:C, "14", B:B, "&gt;=01/09/2025", B:B, "&lt;=26/09/2025")
</f>
        <v>136500</v>
      </c>
      <c r="M4" s="129">
        <f>SUM('SEP 25'!AP:AP)</f>
        <v>2272715</v>
      </c>
      <c r="N4" s="129">
        <f t="shared" si="1"/>
        <v>1166785</v>
      </c>
      <c r="O4" s="135"/>
      <c r="P4" s="52" t="s">
        <v>526</v>
      </c>
      <c r="Q4" s="52">
        <v>13.0</v>
      </c>
      <c r="R4" s="126"/>
    </row>
    <row r="5">
      <c r="A5" s="52">
        <v>4.0</v>
      </c>
      <c r="B5" s="127">
        <v>45861.0</v>
      </c>
      <c r="C5" s="52">
        <v>14.0</v>
      </c>
      <c r="D5" s="52" t="s">
        <v>527</v>
      </c>
      <c r="E5" s="130"/>
      <c r="F5" s="129">
        <v>11500.0</v>
      </c>
      <c r="G5" s="130">
        <f t="shared" si="2"/>
        <v>17080100</v>
      </c>
      <c r="H5" s="131"/>
      <c r="I5" s="52">
        <v>4.0</v>
      </c>
      <c r="J5" s="132">
        <v>45939.0</v>
      </c>
      <c r="K5" s="133">
        <f>SUMIFS(E:E, C:C, "11", B:B, "&gt;=01/10/2025", B:B, "&lt;=31/10/2025")</f>
        <v>4050000</v>
      </c>
      <c r="L5" s="134">
        <f>SUMIFS(F:F, C:C, "12", B:B, "&gt;=01/10/2025", B:B, "&lt;=31/10/2025") + SUMIFS(F:F, C:C, "14", B:B, "&gt;=01/10/2025", B:B, "&lt;=31/10/2025")
</f>
        <v>282000</v>
      </c>
      <c r="M5" s="129">
        <f>SUM('OKT 25'!AP:AP)</f>
        <v>2873105</v>
      </c>
      <c r="N5" s="129">
        <f t="shared" si="1"/>
        <v>894895</v>
      </c>
      <c r="O5" s="135"/>
      <c r="P5" s="52" t="s">
        <v>528</v>
      </c>
      <c r="Q5" s="52">
        <v>14.0</v>
      </c>
      <c r="R5" s="126"/>
    </row>
    <row r="6">
      <c r="A6" s="52">
        <v>5.0</v>
      </c>
      <c r="B6" s="127">
        <v>45861.0</v>
      </c>
      <c r="C6" s="52">
        <v>14.0</v>
      </c>
      <c r="D6" s="52" t="s">
        <v>529</v>
      </c>
      <c r="E6" s="130"/>
      <c r="F6" s="129">
        <v>29000.0</v>
      </c>
      <c r="G6" s="130">
        <f t="shared" si="2"/>
        <v>17051100</v>
      </c>
      <c r="H6" s="131"/>
      <c r="I6" s="52">
        <v>5.0</v>
      </c>
      <c r="J6" s="132">
        <v>45971.0</v>
      </c>
      <c r="K6" s="133">
        <f>SUMIFS(E:E, C:C, "11", B:B, "&gt;=01/11/2025", B:B, "&lt;=30/11/2025")</f>
        <v>2446000</v>
      </c>
      <c r="L6" s="134">
        <f>SUMIFS(F:F, C:C, "12", B:B, "&gt;=01/11/2025", B:B, "&lt;=30/11/2025") + SUMIFS(F:F, C:C, "14", B:B, "&gt;=01/11/2025", B:B, "&lt;=30/11/2025")
</f>
        <v>774799</v>
      </c>
      <c r="M6" s="129">
        <f>sum('NOV 25'!AP:AP)</f>
        <v>1258210</v>
      </c>
      <c r="N6" s="129">
        <f t="shared" si="1"/>
        <v>412991</v>
      </c>
      <c r="O6" s="135"/>
      <c r="P6" s="52" t="s">
        <v>530</v>
      </c>
      <c r="Q6" s="52">
        <v>15.0</v>
      </c>
      <c r="R6" s="126"/>
    </row>
    <row r="7">
      <c r="A7" s="52">
        <v>6.0</v>
      </c>
      <c r="B7" s="127">
        <v>45862.0</v>
      </c>
      <c r="C7" s="52">
        <v>13.0</v>
      </c>
      <c r="D7" s="52" t="s">
        <v>531</v>
      </c>
      <c r="E7" s="130"/>
      <c r="F7" s="129">
        <v>113408.0</v>
      </c>
      <c r="G7" s="130">
        <f t="shared" si="2"/>
        <v>16937692</v>
      </c>
      <c r="H7" s="131"/>
      <c r="I7" s="52">
        <v>6.0</v>
      </c>
      <c r="J7" s="132">
        <v>46002.0</v>
      </c>
      <c r="K7" s="133">
        <f>SUMIFS(E:E, C:C, "11", B:B, "&gt;=01/12/2025", B:B, "&lt;=31/12/2025")</f>
        <v>960000</v>
      </c>
      <c r="L7" s="134">
        <f>SUMIFS(F:F, C:C, "12", B:B, "&gt;=01/12/2025", B:B, "&lt;=31/12/2025") + SUMIFS(F:F, C:C, "14", B:B, "&gt;=01/12/2025", B:B, "&lt;=31/12/2025")
</f>
        <v>592800</v>
      </c>
      <c r="M7" s="129">
        <f>sum('DES 25'!AP:AP)</f>
        <v>476270</v>
      </c>
      <c r="N7" s="129">
        <f t="shared" si="1"/>
        <v>-109070</v>
      </c>
      <c r="O7" s="136"/>
      <c r="P7" s="52" t="s">
        <v>532</v>
      </c>
      <c r="Q7" s="52">
        <v>16.0</v>
      </c>
      <c r="R7" s="126"/>
    </row>
    <row r="8">
      <c r="A8" s="52">
        <v>7.0</v>
      </c>
      <c r="B8" s="127">
        <v>45862.0</v>
      </c>
      <c r="C8" s="52">
        <v>13.0</v>
      </c>
      <c r="D8" s="52" t="s">
        <v>533</v>
      </c>
      <c r="E8" s="130"/>
      <c r="F8" s="129">
        <v>43500.0</v>
      </c>
      <c r="G8" s="130">
        <f t="shared" si="2"/>
        <v>16894192</v>
      </c>
      <c r="H8" s="131"/>
      <c r="I8" s="52">
        <v>7.0</v>
      </c>
      <c r="J8" s="132">
        <v>46023.0</v>
      </c>
      <c r="K8" s="133">
        <f>SUMIFS(E:E, C:C, "11", B:B, "&gt;=01/01/2026", B:B, "&lt;=31/01/2026")</f>
        <v>2582000</v>
      </c>
      <c r="L8" s="134">
        <f>SUMIFS(F:F, C:C, "12", B:B, "&gt;=01/01/2026", B:B, "&lt;=31/01/2026") + SUMIFS(F:F, C:C, "14", B:B, "&gt;=01/01/2026", B:B, "&lt;=31/01/2026")
</f>
        <v>524000</v>
      </c>
      <c r="M8" s="129">
        <f>sum('JAN 26'!AP:AP)</f>
        <v>1201315</v>
      </c>
      <c r="N8" s="129">
        <f t="shared" si="1"/>
        <v>856685</v>
      </c>
      <c r="O8" s="136"/>
      <c r="P8" s="52" t="s">
        <v>534</v>
      </c>
      <c r="Q8" s="52">
        <v>17.0</v>
      </c>
    </row>
    <row r="9">
      <c r="A9" s="52">
        <v>8.0</v>
      </c>
      <c r="B9" s="127">
        <v>45862.0</v>
      </c>
      <c r="C9" s="52">
        <v>13.0</v>
      </c>
      <c r="D9" s="52" t="s">
        <v>535</v>
      </c>
      <c r="E9" s="130"/>
      <c r="F9" s="129">
        <v>33475.0</v>
      </c>
      <c r="G9" s="130">
        <f t="shared" si="2"/>
        <v>16860717</v>
      </c>
      <c r="H9" s="131"/>
      <c r="I9" s="61"/>
      <c r="J9" s="61"/>
      <c r="K9" s="134"/>
      <c r="L9" s="134"/>
      <c r="M9" s="61"/>
      <c r="N9" s="61"/>
      <c r="O9" s="136"/>
    </row>
    <row r="10">
      <c r="A10" s="52">
        <v>9.0</v>
      </c>
      <c r="B10" s="127">
        <v>45864.0</v>
      </c>
      <c r="C10" s="52">
        <v>11.0</v>
      </c>
      <c r="D10" s="52" t="s">
        <v>536</v>
      </c>
      <c r="E10" s="128">
        <v>150000.0</v>
      </c>
      <c r="F10" s="129"/>
      <c r="G10" s="130">
        <f t="shared" si="2"/>
        <v>17010717</v>
      </c>
      <c r="H10" s="131"/>
      <c r="I10" s="61"/>
      <c r="J10" s="61"/>
      <c r="K10" s="134"/>
      <c r="L10" s="134"/>
      <c r="M10" s="61"/>
      <c r="N10" s="61"/>
      <c r="O10" s="136"/>
    </row>
    <row r="11">
      <c r="A11" s="52">
        <v>10.0</v>
      </c>
      <c r="B11" s="127">
        <v>45865.0</v>
      </c>
      <c r="C11" s="52">
        <v>14.0</v>
      </c>
      <c r="D11" s="52" t="s">
        <v>537</v>
      </c>
      <c r="E11" s="130"/>
      <c r="F11" s="129">
        <v>12000.0</v>
      </c>
      <c r="G11" s="130">
        <f t="shared" si="2"/>
        <v>16998717</v>
      </c>
      <c r="H11" s="131"/>
      <c r="K11" s="137"/>
      <c r="L11" s="137"/>
      <c r="O11" s="136"/>
    </row>
    <row r="12">
      <c r="A12" s="52">
        <v>11.0</v>
      </c>
      <c r="B12" s="127">
        <v>45866.0</v>
      </c>
      <c r="C12" s="52">
        <v>16.0</v>
      </c>
      <c r="D12" s="52" t="s">
        <v>538</v>
      </c>
      <c r="E12" s="128">
        <v>1.45E7</v>
      </c>
      <c r="F12" s="129">
        <v>1.45E7</v>
      </c>
      <c r="G12" s="130">
        <f t="shared" si="2"/>
        <v>16998717</v>
      </c>
      <c r="H12" s="131"/>
      <c r="K12" s="137"/>
      <c r="L12" s="137"/>
      <c r="O12" s="136"/>
    </row>
    <row r="13">
      <c r="A13" s="52">
        <v>12.0</v>
      </c>
      <c r="B13" s="127">
        <v>45866.0</v>
      </c>
      <c r="C13" s="52">
        <v>16.0</v>
      </c>
      <c r="D13" s="52" t="s">
        <v>539</v>
      </c>
      <c r="E13" s="128">
        <v>500000.0</v>
      </c>
      <c r="F13" s="129">
        <v>500000.0</v>
      </c>
      <c r="G13" s="130">
        <f t="shared" si="2"/>
        <v>16998717</v>
      </c>
      <c r="H13" s="131"/>
      <c r="K13" s="137"/>
      <c r="L13" s="137"/>
      <c r="O13" s="136"/>
      <c r="R13" s="126"/>
    </row>
    <row r="14">
      <c r="A14" s="52">
        <v>13.0</v>
      </c>
      <c r="B14" s="138">
        <v>45866.0</v>
      </c>
      <c r="C14" s="52">
        <v>14.0</v>
      </c>
      <c r="D14" s="52" t="s">
        <v>540</v>
      </c>
      <c r="E14" s="128">
        <v>32000.0</v>
      </c>
      <c r="F14" s="129">
        <v>32000.0</v>
      </c>
      <c r="G14" s="130">
        <f t="shared" si="2"/>
        <v>16998717</v>
      </c>
      <c r="H14" s="131"/>
      <c r="K14" s="137"/>
      <c r="L14" s="137"/>
      <c r="O14" s="136"/>
      <c r="R14" s="126"/>
    </row>
    <row r="15">
      <c r="A15" s="52">
        <v>14.0</v>
      </c>
      <c r="B15" s="138">
        <v>45868.0</v>
      </c>
      <c r="C15" s="52">
        <v>13.0</v>
      </c>
      <c r="D15" s="52" t="s">
        <v>541</v>
      </c>
      <c r="E15" s="130"/>
      <c r="F15" s="129">
        <v>952500.0</v>
      </c>
      <c r="G15" s="130">
        <f t="shared" si="2"/>
        <v>16046217</v>
      </c>
      <c r="H15" s="131"/>
      <c r="K15" s="137"/>
      <c r="L15" s="137"/>
      <c r="O15" s="136"/>
      <c r="R15" s="126"/>
    </row>
    <row r="16">
      <c r="A16" s="52">
        <v>15.0</v>
      </c>
      <c r="B16" s="138">
        <v>45868.0</v>
      </c>
      <c r="C16" s="52">
        <v>13.0</v>
      </c>
      <c r="D16" s="52" t="s">
        <v>542</v>
      </c>
      <c r="E16" s="130"/>
      <c r="F16" s="129">
        <v>1957500.0</v>
      </c>
      <c r="G16" s="130">
        <f t="shared" si="2"/>
        <v>14088717</v>
      </c>
      <c r="H16" s="131"/>
      <c r="K16" s="137"/>
      <c r="L16" s="137"/>
      <c r="O16" s="136"/>
      <c r="R16" s="126"/>
    </row>
    <row r="17">
      <c r="A17" s="52">
        <v>16.0</v>
      </c>
      <c r="B17" s="127">
        <v>45869.0</v>
      </c>
      <c r="C17" s="52">
        <v>13.0</v>
      </c>
      <c r="D17" s="52" t="s">
        <v>543</v>
      </c>
      <c r="E17" s="130"/>
      <c r="F17" s="129">
        <v>2400000.0</v>
      </c>
      <c r="G17" s="130">
        <f t="shared" si="2"/>
        <v>11688717</v>
      </c>
      <c r="H17" s="131"/>
      <c r="K17" s="137"/>
      <c r="L17" s="137"/>
      <c r="O17" s="136"/>
      <c r="R17" s="126"/>
    </row>
    <row r="18">
      <c r="A18" s="52">
        <v>17.0</v>
      </c>
      <c r="B18" s="127">
        <v>45869.0</v>
      </c>
      <c r="C18" s="52">
        <v>14.0</v>
      </c>
      <c r="D18" s="52" t="s">
        <v>544</v>
      </c>
      <c r="E18" s="130"/>
      <c r="F18" s="129">
        <v>6500.0</v>
      </c>
      <c r="G18" s="130">
        <f t="shared" si="2"/>
        <v>11682217</v>
      </c>
      <c r="H18" s="131"/>
      <c r="K18" s="137"/>
      <c r="L18" s="137"/>
      <c r="O18" s="136"/>
      <c r="R18" s="126"/>
    </row>
    <row r="19">
      <c r="A19" s="52">
        <v>18.0</v>
      </c>
      <c r="B19" s="127">
        <v>45869.0</v>
      </c>
      <c r="C19" s="52">
        <v>14.0</v>
      </c>
      <c r="D19" s="52" t="s">
        <v>545</v>
      </c>
      <c r="E19" s="130"/>
      <c r="F19" s="129">
        <v>60000.0</v>
      </c>
      <c r="G19" s="130">
        <f t="shared" si="2"/>
        <v>11622217</v>
      </c>
      <c r="H19" s="131"/>
      <c r="K19" s="137"/>
      <c r="L19" s="137"/>
      <c r="O19" s="136"/>
      <c r="R19" s="126"/>
    </row>
    <row r="20">
      <c r="A20" s="52">
        <v>19.0</v>
      </c>
      <c r="B20" s="127">
        <v>45870.0</v>
      </c>
      <c r="C20" s="52">
        <v>12.0</v>
      </c>
      <c r="D20" s="52" t="s">
        <v>546</v>
      </c>
      <c r="E20" s="130"/>
      <c r="F20" s="129">
        <v>330000.0</v>
      </c>
      <c r="G20" s="130">
        <f t="shared" si="2"/>
        <v>11292217</v>
      </c>
      <c r="H20" s="131"/>
      <c r="K20" s="137"/>
      <c r="L20" s="137"/>
      <c r="O20" s="136"/>
      <c r="R20" s="126"/>
    </row>
    <row r="21">
      <c r="A21" s="52">
        <v>20.0</v>
      </c>
      <c r="B21" s="127">
        <v>45871.0</v>
      </c>
      <c r="C21" s="52">
        <v>11.0</v>
      </c>
      <c r="D21" s="52" t="s">
        <v>536</v>
      </c>
      <c r="E21" s="128">
        <v>150000.0</v>
      </c>
      <c r="F21" s="139"/>
      <c r="G21" s="130">
        <f t="shared" si="2"/>
        <v>11442217</v>
      </c>
      <c r="H21" s="131"/>
      <c r="K21" s="137"/>
      <c r="L21" s="137"/>
      <c r="O21" s="136"/>
      <c r="R21" s="126"/>
    </row>
    <row r="22">
      <c r="A22" s="52">
        <v>21.0</v>
      </c>
      <c r="B22" s="127">
        <v>45875.0</v>
      </c>
      <c r="C22" s="52">
        <v>13.0</v>
      </c>
      <c r="D22" s="52" t="s">
        <v>547</v>
      </c>
      <c r="E22" s="130"/>
      <c r="F22" s="129">
        <v>1285000.0</v>
      </c>
      <c r="G22" s="130">
        <f t="shared" si="2"/>
        <v>10157217</v>
      </c>
      <c r="H22" s="131"/>
      <c r="K22" s="137"/>
      <c r="L22" s="137"/>
      <c r="O22" s="136"/>
      <c r="R22" s="126"/>
    </row>
    <row r="23">
      <c r="A23" s="52">
        <v>22.0</v>
      </c>
      <c r="B23" s="127">
        <v>45879.0</v>
      </c>
      <c r="C23" s="52">
        <v>13.0</v>
      </c>
      <c r="D23" s="52" t="s">
        <v>548</v>
      </c>
      <c r="E23" s="130"/>
      <c r="F23" s="129">
        <v>2740000.0</v>
      </c>
      <c r="G23" s="130">
        <f t="shared" si="2"/>
        <v>7417217</v>
      </c>
      <c r="H23" s="131"/>
      <c r="K23" s="137"/>
      <c r="L23" s="137"/>
      <c r="O23" s="136"/>
      <c r="R23" s="126"/>
    </row>
    <row r="24">
      <c r="A24" s="52">
        <v>23.0</v>
      </c>
      <c r="B24" s="127">
        <v>45880.0</v>
      </c>
      <c r="C24" s="52">
        <v>13.0</v>
      </c>
      <c r="D24" s="52" t="s">
        <v>549</v>
      </c>
      <c r="E24" s="130"/>
      <c r="F24" s="129">
        <v>1700000.0</v>
      </c>
      <c r="G24" s="130">
        <f t="shared" si="2"/>
        <v>5717217</v>
      </c>
      <c r="H24" s="131"/>
      <c r="K24" s="137"/>
      <c r="L24" s="137"/>
      <c r="O24" s="136"/>
      <c r="R24" s="126"/>
    </row>
    <row r="25">
      <c r="A25" s="52">
        <v>24.0</v>
      </c>
      <c r="B25" s="127">
        <v>45881.0</v>
      </c>
      <c r="C25" s="52">
        <v>11.0</v>
      </c>
      <c r="D25" s="52" t="s">
        <v>536</v>
      </c>
      <c r="E25" s="128">
        <v>230000.0</v>
      </c>
      <c r="F25" s="129"/>
      <c r="G25" s="130">
        <f t="shared" si="2"/>
        <v>5947217</v>
      </c>
      <c r="H25" s="131"/>
      <c r="K25" s="137"/>
      <c r="L25" s="137"/>
      <c r="O25" s="136"/>
      <c r="R25" s="126"/>
    </row>
    <row r="26">
      <c r="A26" s="52">
        <v>25.0</v>
      </c>
      <c r="B26" s="127">
        <v>45881.0</v>
      </c>
      <c r="C26" s="52">
        <v>13.0</v>
      </c>
      <c r="D26" s="52" t="s">
        <v>550</v>
      </c>
      <c r="E26" s="130"/>
      <c r="F26" s="129">
        <v>1000000.0</v>
      </c>
      <c r="G26" s="130">
        <f t="shared" si="2"/>
        <v>4947217</v>
      </c>
      <c r="H26" s="131"/>
      <c r="K26" s="137"/>
      <c r="L26" s="137"/>
      <c r="O26" s="136"/>
      <c r="R26" s="126"/>
    </row>
    <row r="27">
      <c r="A27" s="52">
        <v>26.0</v>
      </c>
      <c r="B27" s="127">
        <v>45884.0</v>
      </c>
      <c r="C27" s="52">
        <v>13.0</v>
      </c>
      <c r="D27" s="52" t="s">
        <v>551</v>
      </c>
      <c r="E27" s="130"/>
      <c r="F27" s="129">
        <v>147543.0</v>
      </c>
      <c r="G27" s="130">
        <f t="shared" si="2"/>
        <v>4799674</v>
      </c>
      <c r="H27" s="131"/>
      <c r="K27" s="137"/>
      <c r="L27" s="137"/>
      <c r="O27" s="136"/>
      <c r="R27" s="126"/>
    </row>
    <row r="28">
      <c r="A28" s="52">
        <v>27.0</v>
      </c>
      <c r="B28" s="127">
        <v>45884.0</v>
      </c>
      <c r="C28" s="52">
        <v>13.0</v>
      </c>
      <c r="D28" s="52" t="s">
        <v>552</v>
      </c>
      <c r="E28" s="130"/>
      <c r="F28" s="129">
        <v>187200.0</v>
      </c>
      <c r="G28" s="130">
        <f t="shared" si="2"/>
        <v>4612474</v>
      </c>
      <c r="H28" s="131"/>
      <c r="K28" s="137"/>
      <c r="L28" s="137"/>
      <c r="O28" s="136"/>
      <c r="R28" s="126"/>
    </row>
    <row r="29">
      <c r="A29" s="52">
        <v>28.0</v>
      </c>
      <c r="B29" s="127">
        <v>45885.0</v>
      </c>
      <c r="C29" s="52">
        <v>14.0</v>
      </c>
      <c r="D29" s="52" t="s">
        <v>553</v>
      </c>
      <c r="E29" s="130"/>
      <c r="F29" s="129">
        <v>9000.0</v>
      </c>
      <c r="G29" s="130">
        <f t="shared" si="2"/>
        <v>4603474</v>
      </c>
      <c r="H29" s="131"/>
      <c r="K29" s="137"/>
      <c r="L29" s="137"/>
      <c r="O29" s="136"/>
      <c r="R29" s="126"/>
    </row>
    <row r="30">
      <c r="A30" s="52">
        <v>29.0</v>
      </c>
      <c r="B30" s="127">
        <v>45887.0</v>
      </c>
      <c r="C30" s="52">
        <v>11.0</v>
      </c>
      <c r="D30" s="52" t="s">
        <v>554</v>
      </c>
      <c r="E30" s="128">
        <v>230000.0</v>
      </c>
      <c r="F30" s="139"/>
      <c r="G30" s="130">
        <f t="shared" si="2"/>
        <v>4833474</v>
      </c>
      <c r="H30" s="131"/>
      <c r="K30" s="137"/>
      <c r="L30" s="137"/>
      <c r="O30" s="136"/>
      <c r="R30" s="126"/>
    </row>
    <row r="31">
      <c r="A31" s="52">
        <v>30.0</v>
      </c>
      <c r="B31" s="127">
        <v>45887.0</v>
      </c>
      <c r="C31" s="52">
        <v>13.0</v>
      </c>
      <c r="D31" s="52" t="s">
        <v>555</v>
      </c>
      <c r="E31" s="130"/>
      <c r="F31" s="129">
        <v>62225.0</v>
      </c>
      <c r="G31" s="130">
        <f t="shared" si="2"/>
        <v>4771249</v>
      </c>
      <c r="H31" s="131"/>
      <c r="K31" s="137"/>
      <c r="L31" s="137"/>
      <c r="O31" s="136"/>
      <c r="R31" s="126"/>
    </row>
    <row r="32">
      <c r="A32" s="52">
        <v>31.0</v>
      </c>
      <c r="B32" s="127">
        <v>45890.0</v>
      </c>
      <c r="C32" s="52">
        <v>13.0</v>
      </c>
      <c r="D32" s="52" t="s">
        <v>556</v>
      </c>
      <c r="E32" s="130"/>
      <c r="F32" s="129">
        <v>86500.0</v>
      </c>
      <c r="G32" s="130">
        <f t="shared" si="2"/>
        <v>4684749</v>
      </c>
      <c r="H32" s="131"/>
      <c r="K32" s="137"/>
      <c r="L32" s="137"/>
      <c r="O32" s="136"/>
      <c r="R32" s="126"/>
    </row>
    <row r="33">
      <c r="A33" s="52">
        <v>32.0</v>
      </c>
      <c r="B33" s="127">
        <v>45890.0</v>
      </c>
      <c r="C33" s="52">
        <v>13.0</v>
      </c>
      <c r="D33" s="52" t="s">
        <v>557</v>
      </c>
      <c r="E33" s="130"/>
      <c r="F33" s="129">
        <v>269800.0</v>
      </c>
      <c r="G33" s="130">
        <f t="shared" si="2"/>
        <v>4414949</v>
      </c>
      <c r="H33" s="131"/>
      <c r="K33" s="137"/>
      <c r="L33" s="137"/>
      <c r="O33" s="136"/>
      <c r="R33" s="126"/>
    </row>
    <row r="34">
      <c r="A34" s="52">
        <v>33.0</v>
      </c>
      <c r="B34" s="127">
        <v>45892.0</v>
      </c>
      <c r="C34" s="52">
        <v>11.0</v>
      </c>
      <c r="D34" s="52" t="s">
        <v>554</v>
      </c>
      <c r="E34" s="128">
        <v>680000.0</v>
      </c>
      <c r="F34" s="139"/>
      <c r="G34" s="130">
        <f t="shared" si="2"/>
        <v>5094949</v>
      </c>
      <c r="H34" s="131"/>
      <c r="K34" s="137"/>
      <c r="L34" s="137"/>
      <c r="O34" s="136"/>
      <c r="R34" s="126"/>
    </row>
    <row r="35">
      <c r="A35" s="52">
        <v>34.0</v>
      </c>
      <c r="B35" s="127">
        <v>45892.0</v>
      </c>
      <c r="C35" s="52">
        <v>14.0</v>
      </c>
      <c r="D35" s="52" t="s">
        <v>558</v>
      </c>
      <c r="E35" s="130"/>
      <c r="F35" s="129">
        <v>18000.0</v>
      </c>
      <c r="G35" s="130">
        <f t="shared" si="2"/>
        <v>5076949</v>
      </c>
      <c r="H35" s="131"/>
      <c r="K35" s="137"/>
      <c r="L35" s="137"/>
      <c r="O35" s="136"/>
      <c r="R35" s="126"/>
    </row>
    <row r="36">
      <c r="A36" s="52">
        <v>35.0</v>
      </c>
      <c r="B36" s="127">
        <v>45896.0</v>
      </c>
      <c r="C36" s="52">
        <v>14.0</v>
      </c>
      <c r="D36" s="52" t="s">
        <v>559</v>
      </c>
      <c r="E36" s="130"/>
      <c r="F36" s="129">
        <v>158500.0</v>
      </c>
      <c r="G36" s="130">
        <f t="shared" si="2"/>
        <v>4918449</v>
      </c>
      <c r="H36" s="131"/>
      <c r="K36" s="137"/>
      <c r="L36" s="137"/>
      <c r="O36" s="136"/>
      <c r="R36" s="126"/>
    </row>
    <row r="37">
      <c r="A37" s="52">
        <v>36.0</v>
      </c>
      <c r="B37" s="127">
        <v>45898.0</v>
      </c>
      <c r="C37" s="52">
        <v>14.0</v>
      </c>
      <c r="D37" s="52" t="s">
        <v>560</v>
      </c>
      <c r="E37" s="130"/>
      <c r="F37" s="129">
        <v>32500.0</v>
      </c>
      <c r="G37" s="130">
        <f t="shared" si="2"/>
        <v>4885949</v>
      </c>
      <c r="H37" s="131"/>
      <c r="K37" s="137"/>
      <c r="L37" s="137"/>
      <c r="O37" s="136"/>
      <c r="R37" s="126"/>
    </row>
    <row r="38">
      <c r="A38" s="52">
        <v>37.0</v>
      </c>
      <c r="B38" s="127">
        <v>45899.0</v>
      </c>
      <c r="C38" s="52">
        <v>11.0</v>
      </c>
      <c r="D38" s="52" t="s">
        <v>554</v>
      </c>
      <c r="E38" s="128">
        <v>500000.0</v>
      </c>
      <c r="F38" s="139"/>
      <c r="G38" s="130">
        <f t="shared" si="2"/>
        <v>5385949</v>
      </c>
      <c r="H38" s="131"/>
      <c r="K38" s="137"/>
      <c r="L38" s="137"/>
      <c r="O38" s="136"/>
      <c r="R38" s="126"/>
    </row>
    <row r="39">
      <c r="A39" s="52">
        <v>38.0</v>
      </c>
      <c r="B39" s="127">
        <v>45899.0</v>
      </c>
      <c r="C39" s="52">
        <v>12.0</v>
      </c>
      <c r="D39" s="52" t="s">
        <v>561</v>
      </c>
      <c r="E39" s="130"/>
      <c r="F39" s="129">
        <v>270000.0</v>
      </c>
      <c r="G39" s="130">
        <f t="shared" si="2"/>
        <v>5115949</v>
      </c>
      <c r="H39" s="131"/>
      <c r="K39" s="137"/>
      <c r="L39" s="137"/>
      <c r="O39" s="136"/>
      <c r="R39" s="126"/>
    </row>
    <row r="40">
      <c r="A40" s="52">
        <v>39.0</v>
      </c>
      <c r="B40" s="127">
        <v>45901.0</v>
      </c>
      <c r="C40" s="52">
        <v>13.0</v>
      </c>
      <c r="D40" s="52" t="s">
        <v>562</v>
      </c>
      <c r="E40" s="130"/>
      <c r="F40" s="129">
        <v>195217.0</v>
      </c>
      <c r="G40" s="130">
        <f t="shared" si="2"/>
        <v>4920732</v>
      </c>
      <c r="H40" s="131"/>
      <c r="K40" s="137"/>
      <c r="L40" s="137"/>
      <c r="O40" s="136"/>
      <c r="R40" s="126"/>
    </row>
    <row r="41">
      <c r="A41" s="52">
        <v>40.0</v>
      </c>
      <c r="B41" s="127">
        <v>45901.0</v>
      </c>
      <c r="C41" s="52">
        <v>13.0</v>
      </c>
      <c r="D41" s="52" t="s">
        <v>563</v>
      </c>
      <c r="E41" s="130"/>
      <c r="F41" s="129">
        <v>107448.0</v>
      </c>
      <c r="G41" s="130">
        <f t="shared" si="2"/>
        <v>4813284</v>
      </c>
      <c r="H41" s="131"/>
      <c r="K41" s="137"/>
      <c r="L41" s="137"/>
      <c r="O41" s="136"/>
      <c r="R41" s="126"/>
    </row>
    <row r="42">
      <c r="A42" s="52">
        <v>41.0</v>
      </c>
      <c r="B42" s="127">
        <v>45901.0</v>
      </c>
      <c r="C42" s="52">
        <v>13.0</v>
      </c>
      <c r="D42" s="52" t="s">
        <v>564</v>
      </c>
      <c r="E42" s="130"/>
      <c r="F42" s="129">
        <v>115000.0</v>
      </c>
      <c r="G42" s="130">
        <f t="shared" si="2"/>
        <v>4698284</v>
      </c>
      <c r="H42" s="131"/>
      <c r="K42" s="137"/>
      <c r="L42" s="137"/>
      <c r="O42" s="136"/>
      <c r="R42" s="126"/>
    </row>
    <row r="43">
      <c r="A43" s="52">
        <v>42.0</v>
      </c>
      <c r="B43" s="127">
        <v>45901.0</v>
      </c>
      <c r="C43" s="52">
        <v>13.0</v>
      </c>
      <c r="D43" s="52" t="s">
        <v>565</v>
      </c>
      <c r="E43" s="130"/>
      <c r="F43" s="129">
        <v>1442500.0</v>
      </c>
      <c r="G43" s="130">
        <f t="shared" si="2"/>
        <v>3255784</v>
      </c>
      <c r="H43" s="131"/>
      <c r="K43" s="137"/>
      <c r="L43" s="137"/>
      <c r="O43" s="136"/>
      <c r="R43" s="126"/>
    </row>
    <row r="44">
      <c r="A44" s="52">
        <v>43.0</v>
      </c>
      <c r="B44" s="127">
        <v>45901.0</v>
      </c>
      <c r="C44" s="52">
        <v>13.0</v>
      </c>
      <c r="D44" s="52" t="s">
        <v>566</v>
      </c>
      <c r="E44" s="128"/>
      <c r="F44" s="129">
        <v>83655.0</v>
      </c>
      <c r="G44" s="130">
        <f t="shared" si="2"/>
        <v>3172129</v>
      </c>
      <c r="H44" s="131"/>
      <c r="K44" s="137"/>
      <c r="L44" s="137"/>
      <c r="O44" s="136"/>
      <c r="R44" s="126"/>
    </row>
    <row r="45">
      <c r="A45" s="52">
        <v>44.0</v>
      </c>
      <c r="B45" s="127">
        <v>45905.0</v>
      </c>
      <c r="C45" s="52">
        <v>13.0</v>
      </c>
      <c r="D45" s="52" t="s">
        <v>567</v>
      </c>
      <c r="E45" s="128">
        <v>24150.0</v>
      </c>
      <c r="F45" s="129">
        <v>24150.0</v>
      </c>
      <c r="G45" s="130">
        <f t="shared" si="2"/>
        <v>3172129</v>
      </c>
      <c r="H45" s="131"/>
      <c r="K45" s="137"/>
      <c r="L45" s="137"/>
      <c r="O45" s="136"/>
      <c r="R45" s="126"/>
    </row>
    <row r="46">
      <c r="A46" s="52">
        <v>45.0</v>
      </c>
      <c r="B46" s="127">
        <v>45906.0</v>
      </c>
      <c r="C46" s="52">
        <v>11.0</v>
      </c>
      <c r="D46" s="52" t="s">
        <v>554</v>
      </c>
      <c r="E46" s="128">
        <v>480000.0</v>
      </c>
      <c r="F46" s="139"/>
      <c r="G46" s="130">
        <f t="shared" si="2"/>
        <v>3652129</v>
      </c>
      <c r="H46" s="131"/>
      <c r="K46" s="137"/>
      <c r="L46" s="137"/>
      <c r="O46" s="136"/>
      <c r="R46" s="126"/>
    </row>
    <row r="47">
      <c r="A47" s="52">
        <v>46.0</v>
      </c>
      <c r="B47" s="127">
        <v>45908.0</v>
      </c>
      <c r="C47" s="52">
        <v>13.0</v>
      </c>
      <c r="D47" s="52" t="s">
        <v>568</v>
      </c>
      <c r="E47" s="128"/>
      <c r="F47" s="129">
        <v>19800.0</v>
      </c>
      <c r="G47" s="130">
        <f t="shared" si="2"/>
        <v>3632329</v>
      </c>
      <c r="H47" s="131"/>
      <c r="K47" s="137"/>
      <c r="L47" s="137"/>
      <c r="O47" s="136"/>
      <c r="R47" s="126"/>
    </row>
    <row r="48">
      <c r="A48" s="52">
        <v>47.0</v>
      </c>
      <c r="B48" s="127">
        <v>45908.0</v>
      </c>
      <c r="C48" s="52">
        <v>13.0</v>
      </c>
      <c r="D48" s="52" t="s">
        <v>569</v>
      </c>
      <c r="E48" s="128"/>
      <c r="F48" s="129">
        <v>43150.0</v>
      </c>
      <c r="G48" s="130">
        <f t="shared" si="2"/>
        <v>3589179</v>
      </c>
      <c r="H48" s="131"/>
      <c r="K48" s="137"/>
      <c r="L48" s="137"/>
      <c r="O48" s="136"/>
      <c r="R48" s="126"/>
    </row>
    <row r="49">
      <c r="A49" s="52">
        <v>48.0</v>
      </c>
      <c r="B49" s="127">
        <v>45908.0</v>
      </c>
      <c r="C49" s="52">
        <v>13.0</v>
      </c>
      <c r="D49" s="52" t="s">
        <v>570</v>
      </c>
      <c r="E49" s="128"/>
      <c r="F49" s="129">
        <v>32100.0</v>
      </c>
      <c r="G49" s="130">
        <f t="shared" si="2"/>
        <v>3557079</v>
      </c>
      <c r="H49" s="131"/>
      <c r="K49" s="137"/>
      <c r="L49" s="137"/>
      <c r="O49" s="136"/>
      <c r="R49" s="126"/>
    </row>
    <row r="50">
      <c r="A50" s="52">
        <v>49.0</v>
      </c>
      <c r="B50" s="127">
        <v>45908.0</v>
      </c>
      <c r="C50" s="52">
        <v>13.0</v>
      </c>
      <c r="D50" s="52" t="s">
        <v>571</v>
      </c>
      <c r="E50" s="128"/>
      <c r="F50" s="129">
        <v>45622.0</v>
      </c>
      <c r="G50" s="130">
        <f t="shared" si="2"/>
        <v>3511457</v>
      </c>
      <c r="H50" s="131"/>
      <c r="K50" s="137"/>
      <c r="L50" s="137"/>
      <c r="O50" s="136"/>
      <c r="R50" s="126"/>
    </row>
    <row r="51">
      <c r="A51" s="52">
        <v>50.0</v>
      </c>
      <c r="B51" s="127">
        <v>45913.0</v>
      </c>
      <c r="C51" s="52">
        <v>11.0</v>
      </c>
      <c r="D51" s="52" t="s">
        <v>554</v>
      </c>
      <c r="E51" s="128">
        <v>220000.0</v>
      </c>
      <c r="F51" s="139"/>
      <c r="G51" s="130">
        <f t="shared" si="2"/>
        <v>3731457</v>
      </c>
      <c r="H51" s="131"/>
      <c r="K51" s="137"/>
      <c r="L51" s="137"/>
      <c r="O51" s="136"/>
      <c r="R51" s="126"/>
    </row>
    <row r="52">
      <c r="A52" s="52">
        <v>51.0</v>
      </c>
      <c r="B52" s="127">
        <v>45916.0</v>
      </c>
      <c r="C52" s="52">
        <v>14.0</v>
      </c>
      <c r="D52" s="52" t="s">
        <v>553</v>
      </c>
      <c r="E52" s="128"/>
      <c r="F52" s="129">
        <v>9000.0</v>
      </c>
      <c r="G52" s="130">
        <f t="shared" si="2"/>
        <v>3722457</v>
      </c>
      <c r="H52" s="131"/>
      <c r="K52" s="137"/>
      <c r="L52" s="137"/>
      <c r="O52" s="136"/>
      <c r="R52" s="126"/>
    </row>
    <row r="53">
      <c r="A53" s="52">
        <v>52.0</v>
      </c>
      <c r="B53" s="127">
        <v>45918.0</v>
      </c>
      <c r="C53" s="52">
        <v>11.0</v>
      </c>
      <c r="D53" s="52" t="s">
        <v>572</v>
      </c>
      <c r="E53" s="128">
        <v>1725000.0</v>
      </c>
      <c r="F53" s="139"/>
      <c r="G53" s="130">
        <f t="shared" si="2"/>
        <v>5447457</v>
      </c>
      <c r="H53" s="131"/>
      <c r="K53" s="137"/>
      <c r="L53" s="137"/>
      <c r="O53" s="136"/>
      <c r="R53" s="126"/>
    </row>
    <row r="54">
      <c r="A54" s="52">
        <v>53.0</v>
      </c>
      <c r="B54" s="127">
        <v>45918.0</v>
      </c>
      <c r="C54" s="52">
        <v>12.0</v>
      </c>
      <c r="D54" s="52" t="s">
        <v>573</v>
      </c>
      <c r="E54" s="130"/>
      <c r="F54" s="129">
        <v>110000.0</v>
      </c>
      <c r="G54" s="130">
        <f t="shared" si="2"/>
        <v>5337457</v>
      </c>
      <c r="H54" s="131"/>
      <c r="K54" s="137"/>
      <c r="L54" s="137"/>
      <c r="O54" s="136"/>
      <c r="R54" s="126"/>
    </row>
    <row r="55">
      <c r="A55" s="52">
        <v>54.0</v>
      </c>
      <c r="B55" s="127">
        <v>45918.0</v>
      </c>
      <c r="C55" s="52">
        <v>11.0</v>
      </c>
      <c r="D55" s="52" t="s">
        <v>574</v>
      </c>
      <c r="E55" s="128">
        <v>511000.0</v>
      </c>
      <c r="F55" s="139"/>
      <c r="G55" s="130">
        <f t="shared" si="2"/>
        <v>5848457</v>
      </c>
      <c r="H55" s="131"/>
      <c r="K55" s="137"/>
      <c r="L55" s="137"/>
      <c r="O55" s="136"/>
      <c r="R55" s="126"/>
    </row>
    <row r="56">
      <c r="A56" s="52">
        <v>55.0</v>
      </c>
      <c r="B56" s="127">
        <v>45918.0</v>
      </c>
      <c r="C56" s="52">
        <v>11.0</v>
      </c>
      <c r="D56" s="52" t="s">
        <v>575</v>
      </c>
      <c r="E56" s="128">
        <v>90000.0</v>
      </c>
      <c r="F56" s="139"/>
      <c r="G56" s="130">
        <f t="shared" si="2"/>
        <v>5938457</v>
      </c>
      <c r="H56" s="131"/>
      <c r="K56" s="137"/>
      <c r="L56" s="137"/>
      <c r="O56" s="136"/>
      <c r="R56" s="126"/>
    </row>
    <row r="57">
      <c r="A57" s="52">
        <v>56.0</v>
      </c>
      <c r="B57" s="127">
        <v>45921.0</v>
      </c>
      <c r="C57" s="52">
        <v>11.0</v>
      </c>
      <c r="D57" s="52" t="s">
        <v>554</v>
      </c>
      <c r="E57" s="128">
        <v>250000.0</v>
      </c>
      <c r="F57" s="139"/>
      <c r="G57" s="130">
        <f t="shared" si="2"/>
        <v>6188457</v>
      </c>
      <c r="H57" s="131"/>
      <c r="K57" s="137"/>
      <c r="L57" s="137"/>
      <c r="O57" s="136"/>
      <c r="R57" s="126"/>
    </row>
    <row r="58">
      <c r="A58" s="52">
        <v>57.0</v>
      </c>
      <c r="B58" s="127">
        <v>45926.0</v>
      </c>
      <c r="C58" s="52">
        <v>13.0</v>
      </c>
      <c r="D58" s="52" t="s">
        <v>576</v>
      </c>
      <c r="E58" s="130"/>
      <c r="F58" s="129">
        <v>278500.0</v>
      </c>
      <c r="G58" s="130">
        <f t="shared" si="2"/>
        <v>5909957</v>
      </c>
      <c r="H58" s="131"/>
      <c r="K58" s="137"/>
      <c r="L58" s="137"/>
      <c r="O58" s="136"/>
      <c r="R58" s="126"/>
    </row>
    <row r="59">
      <c r="A59" s="52">
        <v>58.0</v>
      </c>
      <c r="B59" s="127">
        <v>45926.0</v>
      </c>
      <c r="C59" s="52">
        <v>14.0</v>
      </c>
      <c r="D59" s="52" t="s">
        <v>577</v>
      </c>
      <c r="E59" s="130"/>
      <c r="F59" s="129">
        <v>17500.0</v>
      </c>
      <c r="G59" s="130">
        <f t="shared" si="2"/>
        <v>5892457</v>
      </c>
      <c r="H59" s="131"/>
      <c r="K59" s="137"/>
      <c r="L59" s="137"/>
      <c r="O59" s="136"/>
      <c r="R59" s="126"/>
    </row>
    <row r="60">
      <c r="A60" s="52">
        <v>59.0</v>
      </c>
      <c r="B60" s="127">
        <v>45926.0</v>
      </c>
      <c r="C60" s="52">
        <v>11.0</v>
      </c>
      <c r="D60" s="52" t="s">
        <v>554</v>
      </c>
      <c r="E60" s="128">
        <v>300000.0</v>
      </c>
      <c r="F60" s="139"/>
      <c r="G60" s="130">
        <f t="shared" si="2"/>
        <v>6192457</v>
      </c>
      <c r="H60" s="131"/>
      <c r="K60" s="137"/>
      <c r="L60" s="137"/>
      <c r="O60" s="136"/>
      <c r="R60" s="126"/>
    </row>
    <row r="61">
      <c r="A61" s="52">
        <v>60.0</v>
      </c>
      <c r="B61" s="127">
        <v>45933.0</v>
      </c>
      <c r="C61" s="52">
        <v>13.0</v>
      </c>
      <c r="D61" s="52" t="s">
        <v>578</v>
      </c>
      <c r="E61" s="130"/>
      <c r="F61" s="129">
        <v>101198.0</v>
      </c>
      <c r="G61" s="130">
        <f t="shared" si="2"/>
        <v>6091259</v>
      </c>
      <c r="H61" s="131"/>
      <c r="K61" s="137"/>
      <c r="L61" s="137"/>
      <c r="O61" s="136"/>
      <c r="R61" s="126"/>
    </row>
    <row r="62">
      <c r="A62" s="52">
        <v>61.0</v>
      </c>
      <c r="B62" s="127">
        <v>45933.0</v>
      </c>
      <c r="C62" s="52">
        <v>13.0</v>
      </c>
      <c r="D62" s="52" t="s">
        <v>579</v>
      </c>
      <c r="E62" s="130"/>
      <c r="F62" s="129">
        <v>102400.0</v>
      </c>
      <c r="G62" s="130">
        <f t="shared" si="2"/>
        <v>5988859</v>
      </c>
      <c r="H62" s="131"/>
      <c r="K62" s="137"/>
      <c r="L62" s="137"/>
      <c r="O62" s="136"/>
      <c r="R62" s="126"/>
    </row>
    <row r="63">
      <c r="A63" s="52">
        <v>62.0</v>
      </c>
      <c r="B63" s="127">
        <v>45934.0</v>
      </c>
      <c r="C63" s="52">
        <v>12.0</v>
      </c>
      <c r="D63" s="52" t="s">
        <v>580</v>
      </c>
      <c r="E63" s="130"/>
      <c r="F63" s="129">
        <v>225000.0</v>
      </c>
      <c r="G63" s="130">
        <f t="shared" si="2"/>
        <v>5763859</v>
      </c>
      <c r="H63" s="131"/>
      <c r="K63" s="137"/>
      <c r="L63" s="137"/>
      <c r="O63" s="136"/>
      <c r="R63" s="126"/>
    </row>
    <row r="64">
      <c r="A64" s="52">
        <v>63.0</v>
      </c>
      <c r="B64" s="127">
        <v>45934.0</v>
      </c>
      <c r="C64" s="52">
        <v>11.0</v>
      </c>
      <c r="D64" s="52" t="s">
        <v>554</v>
      </c>
      <c r="E64" s="128">
        <v>1350000.0</v>
      </c>
      <c r="F64" s="129"/>
      <c r="G64" s="130">
        <f t="shared" si="2"/>
        <v>7113859</v>
      </c>
      <c r="H64" s="131"/>
      <c r="K64" s="137"/>
      <c r="L64" s="137"/>
      <c r="O64" s="136"/>
      <c r="R64" s="126"/>
    </row>
    <row r="65">
      <c r="A65" s="52">
        <v>64.0</v>
      </c>
      <c r="B65" s="127">
        <v>45934.0</v>
      </c>
      <c r="C65" s="52">
        <v>13.0</v>
      </c>
      <c r="D65" s="52" t="s">
        <v>581</v>
      </c>
      <c r="E65" s="130"/>
      <c r="F65" s="129">
        <v>2220000.0</v>
      </c>
      <c r="G65" s="130">
        <f t="shared" si="2"/>
        <v>4893859</v>
      </c>
      <c r="H65" s="131"/>
      <c r="K65" s="137"/>
      <c r="L65" s="137"/>
      <c r="O65" s="136"/>
      <c r="R65" s="126"/>
    </row>
    <row r="66">
      <c r="A66" s="52">
        <v>65.0</v>
      </c>
      <c r="B66" s="127">
        <v>45934.0</v>
      </c>
      <c r="C66" s="52">
        <v>12.0</v>
      </c>
      <c r="D66" s="52" t="s">
        <v>582</v>
      </c>
      <c r="E66" s="130"/>
      <c r="F66" s="129">
        <v>48000.0</v>
      </c>
      <c r="G66" s="130">
        <f t="shared" si="2"/>
        <v>4845859</v>
      </c>
      <c r="H66" s="131"/>
      <c r="K66" s="137"/>
      <c r="L66" s="137"/>
      <c r="O66" s="136"/>
      <c r="R66" s="126"/>
    </row>
    <row r="67">
      <c r="A67" s="52">
        <v>66.0</v>
      </c>
      <c r="B67" s="127">
        <v>45941.0</v>
      </c>
      <c r="C67" s="52">
        <v>11.0</v>
      </c>
      <c r="D67" s="52" t="s">
        <v>554</v>
      </c>
      <c r="E67" s="128">
        <v>900000.0</v>
      </c>
      <c r="F67" s="129"/>
      <c r="G67" s="130">
        <f t="shared" si="2"/>
        <v>5745859</v>
      </c>
      <c r="H67" s="131"/>
      <c r="K67" s="137"/>
      <c r="L67" s="137"/>
      <c r="O67" s="136"/>
      <c r="R67" s="126"/>
    </row>
    <row r="68">
      <c r="A68" s="52">
        <v>67.0</v>
      </c>
      <c r="B68" s="127">
        <v>45941.0</v>
      </c>
      <c r="C68" s="52">
        <v>13.0</v>
      </c>
      <c r="D68" s="52" t="s">
        <v>583</v>
      </c>
      <c r="E68" s="130"/>
      <c r="F68" s="129">
        <v>1247500.0</v>
      </c>
      <c r="G68" s="130">
        <f t="shared" si="2"/>
        <v>4498359</v>
      </c>
      <c r="H68" s="131"/>
      <c r="K68" s="137"/>
      <c r="L68" s="137"/>
      <c r="O68" s="136"/>
      <c r="R68" s="126"/>
    </row>
    <row r="69">
      <c r="A69" s="52">
        <v>68.0</v>
      </c>
      <c r="B69" s="127">
        <v>45946.0</v>
      </c>
      <c r="C69" s="52">
        <v>14.0</v>
      </c>
      <c r="D69" s="52" t="s">
        <v>553</v>
      </c>
      <c r="E69" s="130"/>
      <c r="F69" s="129">
        <v>9000.0</v>
      </c>
      <c r="G69" s="130">
        <f t="shared" si="2"/>
        <v>4489359</v>
      </c>
      <c r="H69" s="131"/>
      <c r="K69" s="137"/>
      <c r="L69" s="137"/>
      <c r="O69" s="136"/>
      <c r="R69" s="126"/>
    </row>
    <row r="70">
      <c r="A70" s="52">
        <v>69.0</v>
      </c>
      <c r="B70" s="127">
        <v>45948.0</v>
      </c>
      <c r="C70" s="52">
        <v>11.0</v>
      </c>
      <c r="D70" s="52" t="s">
        <v>554</v>
      </c>
      <c r="E70" s="128">
        <v>250000.0</v>
      </c>
      <c r="F70" s="139"/>
      <c r="G70" s="130">
        <f t="shared" si="2"/>
        <v>4739359</v>
      </c>
      <c r="H70" s="131"/>
      <c r="K70" s="137"/>
      <c r="L70" s="137"/>
      <c r="O70" s="136"/>
      <c r="R70" s="126"/>
    </row>
    <row r="71">
      <c r="A71" s="52">
        <v>70.0</v>
      </c>
      <c r="B71" s="140">
        <v>45950.0</v>
      </c>
      <c r="C71" s="141">
        <v>17.0</v>
      </c>
      <c r="D71" s="141" t="s">
        <v>584</v>
      </c>
      <c r="E71" s="142"/>
      <c r="F71" s="143">
        <f>sum(LAINNYA!C:C)</f>
        <v>3926825</v>
      </c>
      <c r="G71" s="130">
        <f t="shared" si="2"/>
        <v>812534</v>
      </c>
      <c r="H71" s="144"/>
      <c r="I71" s="145"/>
      <c r="J71" s="145"/>
      <c r="K71" s="146"/>
      <c r="L71" s="146"/>
      <c r="M71" s="145"/>
      <c r="N71" s="145"/>
      <c r="O71" s="145"/>
      <c r="P71" s="145"/>
      <c r="Q71" s="145"/>
      <c r="R71" s="147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</row>
    <row r="72">
      <c r="A72" s="52">
        <v>71.0</v>
      </c>
      <c r="B72" s="127">
        <v>45955.0</v>
      </c>
      <c r="C72" s="52">
        <v>11.0</v>
      </c>
      <c r="D72" s="52" t="s">
        <v>554</v>
      </c>
      <c r="E72" s="128">
        <v>300000.0</v>
      </c>
      <c r="F72" s="139"/>
      <c r="G72" s="130">
        <f t="shared" si="2"/>
        <v>1112534</v>
      </c>
      <c r="H72" s="131"/>
      <c r="K72" s="137"/>
      <c r="L72" s="137"/>
      <c r="O72" s="136"/>
      <c r="R72" s="126"/>
    </row>
    <row r="73">
      <c r="A73" s="52">
        <v>72.0</v>
      </c>
      <c r="B73" s="127">
        <v>45961.0</v>
      </c>
      <c r="C73" s="52">
        <v>11.0</v>
      </c>
      <c r="D73" s="52" t="s">
        <v>554</v>
      </c>
      <c r="E73" s="128">
        <v>1250000.0</v>
      </c>
      <c r="F73" s="129"/>
      <c r="G73" s="130">
        <f t="shared" si="2"/>
        <v>2362534</v>
      </c>
      <c r="H73" s="131"/>
      <c r="K73" s="137"/>
      <c r="L73" s="137"/>
      <c r="O73" s="136"/>
      <c r="R73" s="126"/>
    </row>
    <row r="74">
      <c r="A74" s="52">
        <v>73.0</v>
      </c>
      <c r="B74" s="127">
        <v>42308.0</v>
      </c>
      <c r="C74" s="52">
        <v>12.0</v>
      </c>
      <c r="D74" s="52" t="s">
        <v>585</v>
      </c>
      <c r="E74" s="130"/>
      <c r="F74" s="129">
        <v>55000.0</v>
      </c>
      <c r="G74" s="130">
        <f t="shared" si="2"/>
        <v>2307534</v>
      </c>
      <c r="H74" s="131"/>
      <c r="K74" s="137"/>
      <c r="L74" s="137"/>
      <c r="O74" s="136"/>
      <c r="R74" s="126"/>
    </row>
    <row r="75">
      <c r="A75" s="52">
        <v>74.0</v>
      </c>
      <c r="B75" s="127">
        <v>45964.0</v>
      </c>
      <c r="C75" s="52">
        <v>13.0</v>
      </c>
      <c r="D75" s="52" t="s">
        <v>586</v>
      </c>
      <c r="E75" s="130"/>
      <c r="F75" s="129">
        <v>24500.0</v>
      </c>
      <c r="G75" s="130">
        <f t="shared" si="2"/>
        <v>2283034</v>
      </c>
      <c r="H75" s="131"/>
      <c r="K75" s="137"/>
      <c r="L75" s="137"/>
      <c r="O75" s="136"/>
      <c r="R75" s="126"/>
    </row>
    <row r="76">
      <c r="A76" s="52">
        <v>75.0</v>
      </c>
      <c r="B76" s="127">
        <v>45964.0</v>
      </c>
      <c r="C76" s="52">
        <v>13.0</v>
      </c>
      <c r="D76" s="52" t="s">
        <v>587</v>
      </c>
      <c r="E76" s="130"/>
      <c r="F76" s="129">
        <v>40650.0</v>
      </c>
      <c r="G76" s="130">
        <f t="shared" si="2"/>
        <v>2242384</v>
      </c>
      <c r="H76" s="131"/>
      <c r="K76" s="137"/>
      <c r="L76" s="137"/>
      <c r="O76" s="136"/>
      <c r="R76" s="126"/>
    </row>
    <row r="77">
      <c r="A77" s="52">
        <v>76.0</v>
      </c>
      <c r="B77" s="127">
        <v>45964.0</v>
      </c>
      <c r="C77" s="52">
        <v>13.0</v>
      </c>
      <c r="D77" s="52" t="s">
        <v>588</v>
      </c>
      <c r="E77" s="130"/>
      <c r="F77" s="129">
        <v>51380.0</v>
      </c>
      <c r="G77" s="130">
        <f t="shared" si="2"/>
        <v>2191004</v>
      </c>
      <c r="H77" s="131"/>
      <c r="K77" s="137"/>
      <c r="L77" s="137"/>
      <c r="O77" s="136"/>
      <c r="R77" s="126"/>
    </row>
    <row r="78">
      <c r="A78" s="52">
        <v>77.0</v>
      </c>
      <c r="B78" s="127">
        <v>45964.0</v>
      </c>
      <c r="C78" s="52">
        <v>13.0</v>
      </c>
      <c r="D78" s="52" t="s">
        <v>589</v>
      </c>
      <c r="E78" s="130"/>
      <c r="F78" s="129">
        <v>1371500.0</v>
      </c>
      <c r="G78" s="130">
        <f t="shared" si="2"/>
        <v>819504</v>
      </c>
      <c r="H78" s="131"/>
      <c r="K78" s="137"/>
      <c r="L78" s="137"/>
      <c r="O78" s="136"/>
      <c r="R78" s="126"/>
    </row>
    <row r="79">
      <c r="A79" s="52">
        <v>78.0</v>
      </c>
      <c r="B79" s="127">
        <v>45967.0</v>
      </c>
      <c r="C79" s="52">
        <v>13.0</v>
      </c>
      <c r="D79" s="52" t="s">
        <v>590</v>
      </c>
      <c r="E79" s="130"/>
      <c r="F79" s="129">
        <v>139500.0</v>
      </c>
      <c r="G79" s="130">
        <f t="shared" si="2"/>
        <v>680004</v>
      </c>
      <c r="H79" s="131"/>
      <c r="K79" s="137"/>
      <c r="L79" s="137"/>
      <c r="O79" s="136"/>
      <c r="R79" s="126"/>
    </row>
    <row r="80">
      <c r="A80" s="52">
        <v>79.0</v>
      </c>
      <c r="B80" s="127">
        <v>45968.0</v>
      </c>
      <c r="C80" s="52">
        <v>12.0</v>
      </c>
      <c r="D80" s="52" t="s">
        <v>591</v>
      </c>
      <c r="E80" s="130"/>
      <c r="F80" s="129">
        <v>202500.0</v>
      </c>
      <c r="G80" s="130">
        <f t="shared" si="2"/>
        <v>477504</v>
      </c>
      <c r="H80" s="131"/>
      <c r="K80" s="137"/>
      <c r="L80" s="137"/>
      <c r="O80" s="136"/>
      <c r="R80" s="126"/>
    </row>
    <row r="81">
      <c r="A81" s="52">
        <v>80.0</v>
      </c>
      <c r="B81" s="127">
        <v>45969.0</v>
      </c>
      <c r="C81" s="52">
        <v>11.0</v>
      </c>
      <c r="D81" s="52" t="s">
        <v>554</v>
      </c>
      <c r="E81" s="128">
        <v>730000.0</v>
      </c>
      <c r="F81" s="139"/>
      <c r="G81" s="130">
        <f t="shared" si="2"/>
        <v>1207504</v>
      </c>
      <c r="H81" s="131"/>
      <c r="K81" s="137"/>
      <c r="L81" s="137"/>
      <c r="O81" s="136"/>
      <c r="R81" s="126"/>
    </row>
    <row r="82">
      <c r="A82" s="52">
        <v>81.0</v>
      </c>
      <c r="B82" s="127">
        <v>45969.0</v>
      </c>
      <c r="C82" s="52">
        <v>12.0</v>
      </c>
      <c r="D82" s="52" t="s">
        <v>592</v>
      </c>
      <c r="E82" s="130"/>
      <c r="F82" s="129">
        <v>285000.0</v>
      </c>
      <c r="G82" s="130">
        <f t="shared" si="2"/>
        <v>922504</v>
      </c>
      <c r="H82" s="131"/>
      <c r="K82" s="137"/>
      <c r="L82" s="137"/>
      <c r="O82" s="136"/>
      <c r="R82" s="126"/>
    </row>
    <row r="83">
      <c r="A83" s="52">
        <v>82.0</v>
      </c>
      <c r="B83" s="127">
        <v>45971.0</v>
      </c>
      <c r="C83" s="148">
        <v>12.0</v>
      </c>
      <c r="D83" s="52" t="s">
        <v>593</v>
      </c>
      <c r="E83" s="130"/>
      <c r="F83" s="129">
        <v>100800.0</v>
      </c>
      <c r="G83" s="130">
        <f t="shared" si="2"/>
        <v>821704</v>
      </c>
      <c r="H83" s="131"/>
      <c r="K83" s="137"/>
      <c r="L83" s="137"/>
      <c r="O83" s="136"/>
      <c r="R83" s="126"/>
    </row>
    <row r="84">
      <c r="A84" s="52">
        <v>83.0</v>
      </c>
      <c r="B84" s="127">
        <v>45970.0</v>
      </c>
      <c r="C84" s="52">
        <v>12.0</v>
      </c>
      <c r="D84" s="52" t="s">
        <v>594</v>
      </c>
      <c r="E84" s="130"/>
      <c r="F84" s="129">
        <v>52499.0</v>
      </c>
      <c r="G84" s="130">
        <f t="shared" si="2"/>
        <v>769205</v>
      </c>
      <c r="H84" s="131"/>
      <c r="K84" s="137"/>
      <c r="L84" s="137"/>
      <c r="O84" s="136"/>
      <c r="R84" s="126"/>
    </row>
    <row r="85">
      <c r="A85" s="52">
        <v>84.0</v>
      </c>
      <c r="B85" s="127">
        <v>45970.0</v>
      </c>
      <c r="C85" s="52">
        <v>12.0</v>
      </c>
      <c r="D85" s="52" t="s">
        <v>595</v>
      </c>
      <c r="E85" s="130"/>
      <c r="F85" s="129">
        <v>65000.0</v>
      </c>
      <c r="G85" s="130">
        <f t="shared" si="2"/>
        <v>704205</v>
      </c>
      <c r="H85" s="131"/>
      <c r="K85" s="137"/>
      <c r="L85" s="137"/>
      <c r="O85" s="136"/>
      <c r="R85" s="126"/>
    </row>
    <row r="86">
      <c r="A86" s="52">
        <v>85.0</v>
      </c>
      <c r="B86" s="127">
        <v>45976.0</v>
      </c>
      <c r="C86" s="52">
        <v>11.0</v>
      </c>
      <c r="D86" s="52" t="s">
        <v>554</v>
      </c>
      <c r="E86" s="128">
        <v>650000.0</v>
      </c>
      <c r="F86" s="139"/>
      <c r="G86" s="130">
        <f t="shared" si="2"/>
        <v>1354205</v>
      </c>
      <c r="H86" s="131"/>
      <c r="K86" s="137"/>
      <c r="L86" s="137"/>
      <c r="O86" s="136"/>
      <c r="R86" s="126"/>
    </row>
    <row r="87">
      <c r="A87" s="52">
        <v>86.0</v>
      </c>
      <c r="B87" s="127">
        <v>45976.0</v>
      </c>
      <c r="C87" s="52">
        <v>12.0</v>
      </c>
      <c r="D87" s="52" t="s">
        <v>596</v>
      </c>
      <c r="E87" s="130"/>
      <c r="F87" s="129">
        <v>60000.0</v>
      </c>
      <c r="G87" s="130">
        <f t="shared" si="2"/>
        <v>1294205</v>
      </c>
      <c r="H87" s="131"/>
      <c r="K87" s="137"/>
      <c r="L87" s="137"/>
      <c r="O87" s="136"/>
      <c r="R87" s="126"/>
    </row>
    <row r="88">
      <c r="A88" s="52">
        <v>87.0</v>
      </c>
      <c r="B88" s="127">
        <v>45977.0</v>
      </c>
      <c r="C88" s="52">
        <v>14.0</v>
      </c>
      <c r="D88" s="52" t="s">
        <v>553</v>
      </c>
      <c r="E88" s="130"/>
      <c r="F88" s="129">
        <v>9000.0</v>
      </c>
      <c r="G88" s="130">
        <f t="shared" si="2"/>
        <v>1285205</v>
      </c>
      <c r="H88" s="131"/>
      <c r="K88" s="137"/>
      <c r="L88" s="137"/>
      <c r="O88" s="136"/>
      <c r="R88" s="126"/>
    </row>
    <row r="89">
      <c r="A89" s="52">
        <v>88.0</v>
      </c>
      <c r="B89" s="127">
        <v>45983.0</v>
      </c>
      <c r="C89" s="52">
        <v>11.0</v>
      </c>
      <c r="D89" s="52" t="s">
        <v>554</v>
      </c>
      <c r="E89" s="128">
        <v>516000.0</v>
      </c>
      <c r="F89" s="139"/>
      <c r="G89" s="130">
        <f t="shared" si="2"/>
        <v>1801205</v>
      </c>
      <c r="H89" s="131"/>
      <c r="K89" s="137"/>
      <c r="L89" s="137"/>
      <c r="O89" s="136"/>
      <c r="R89" s="126"/>
    </row>
    <row r="90">
      <c r="A90" s="52">
        <v>89.0</v>
      </c>
      <c r="B90" s="149">
        <v>45990.0</v>
      </c>
      <c r="C90" s="52">
        <v>11.0</v>
      </c>
      <c r="D90" s="52" t="s">
        <v>554</v>
      </c>
      <c r="E90" s="128">
        <v>550000.0</v>
      </c>
      <c r="F90" s="139"/>
      <c r="G90" s="130">
        <f t="shared" si="2"/>
        <v>2351205</v>
      </c>
      <c r="H90" s="131"/>
      <c r="K90" s="137"/>
      <c r="L90" s="137"/>
      <c r="O90" s="136"/>
      <c r="R90" s="126"/>
    </row>
    <row r="91">
      <c r="A91" s="52">
        <v>90.0</v>
      </c>
      <c r="B91" s="149">
        <v>45990.0</v>
      </c>
      <c r="C91" s="52">
        <v>13.0</v>
      </c>
      <c r="D91" s="52" t="s">
        <v>597</v>
      </c>
      <c r="E91" s="130"/>
      <c r="F91" s="129">
        <v>24168.0</v>
      </c>
      <c r="G91" s="130">
        <f t="shared" si="2"/>
        <v>2327037</v>
      </c>
      <c r="H91" s="131"/>
      <c r="K91" s="137"/>
      <c r="L91" s="137"/>
      <c r="O91" s="136"/>
      <c r="R91" s="126"/>
    </row>
    <row r="92">
      <c r="A92" s="52">
        <v>91.0</v>
      </c>
      <c r="B92" s="149">
        <v>45990.0</v>
      </c>
      <c r="C92" s="52">
        <v>13.0</v>
      </c>
      <c r="D92" s="52" t="s">
        <v>598</v>
      </c>
      <c r="E92" s="130"/>
      <c r="F92" s="129">
        <v>49000.0</v>
      </c>
      <c r="G92" s="130">
        <f t="shared" si="2"/>
        <v>2278037</v>
      </c>
      <c r="H92" s="131"/>
      <c r="K92" s="137"/>
      <c r="L92" s="137"/>
      <c r="O92" s="136"/>
      <c r="R92" s="126"/>
    </row>
    <row r="93">
      <c r="A93" s="52">
        <v>92.0</v>
      </c>
      <c r="B93" s="149">
        <v>45990.0</v>
      </c>
      <c r="C93" s="52">
        <v>13.0</v>
      </c>
      <c r="D93" s="52" t="s">
        <v>556</v>
      </c>
      <c r="E93" s="130"/>
      <c r="F93" s="129">
        <v>100200.0</v>
      </c>
      <c r="G93" s="130">
        <f t="shared" si="2"/>
        <v>2177837</v>
      </c>
      <c r="H93" s="131"/>
      <c r="K93" s="137"/>
      <c r="L93" s="137"/>
      <c r="O93" s="136"/>
      <c r="R93" s="126"/>
    </row>
    <row r="94">
      <c r="A94" s="52">
        <v>93.0</v>
      </c>
      <c r="B94" s="149">
        <v>45990.0</v>
      </c>
      <c r="C94" s="52">
        <v>13.0</v>
      </c>
      <c r="D94" s="52" t="s">
        <v>599</v>
      </c>
      <c r="E94" s="130"/>
      <c r="F94" s="129">
        <v>94440.0</v>
      </c>
      <c r="G94" s="130">
        <f t="shared" si="2"/>
        <v>2083397</v>
      </c>
      <c r="H94" s="131"/>
      <c r="K94" s="137"/>
      <c r="L94" s="137"/>
      <c r="O94" s="136"/>
      <c r="R94" s="126"/>
    </row>
    <row r="95">
      <c r="A95" s="52">
        <v>94.0</v>
      </c>
      <c r="B95" s="149">
        <v>45990.0</v>
      </c>
      <c r="C95" s="52">
        <v>13.0</v>
      </c>
      <c r="D95" s="52" t="s">
        <v>496</v>
      </c>
      <c r="E95" s="130"/>
      <c r="F95" s="129">
        <v>18622.0</v>
      </c>
      <c r="G95" s="130">
        <f t="shared" si="2"/>
        <v>2064775</v>
      </c>
      <c r="H95" s="131"/>
      <c r="K95" s="137"/>
      <c r="L95" s="137"/>
      <c r="O95" s="136"/>
      <c r="R95" s="126"/>
    </row>
    <row r="96">
      <c r="A96" s="52">
        <v>95.0</v>
      </c>
      <c r="B96" s="149">
        <v>45990.0</v>
      </c>
      <c r="C96" s="52">
        <v>13.0</v>
      </c>
      <c r="D96" s="52" t="s">
        <v>600</v>
      </c>
      <c r="E96" s="130"/>
      <c r="F96" s="129">
        <v>22348.0</v>
      </c>
      <c r="G96" s="130">
        <f t="shared" si="2"/>
        <v>2042427</v>
      </c>
      <c r="H96" s="131"/>
      <c r="K96" s="137"/>
      <c r="L96" s="137"/>
      <c r="O96" s="136"/>
      <c r="R96" s="126"/>
    </row>
    <row r="97">
      <c r="A97" s="52">
        <v>96.0</v>
      </c>
      <c r="B97" s="127">
        <v>45997.0</v>
      </c>
      <c r="C97" s="52">
        <v>11.0</v>
      </c>
      <c r="D97" s="52" t="s">
        <v>554</v>
      </c>
      <c r="E97" s="128">
        <v>250000.0</v>
      </c>
      <c r="F97" s="139"/>
      <c r="G97" s="130">
        <f t="shared" si="2"/>
        <v>2292427</v>
      </c>
      <c r="H97" s="131"/>
      <c r="K97" s="137"/>
      <c r="L97" s="137"/>
      <c r="O97" s="136"/>
      <c r="R97" s="126"/>
    </row>
    <row r="98">
      <c r="A98" s="52">
        <v>97.0</v>
      </c>
      <c r="B98" s="127">
        <v>45997.0</v>
      </c>
      <c r="C98" s="52">
        <v>12.0</v>
      </c>
      <c r="D98" s="52" t="s">
        <v>601</v>
      </c>
      <c r="E98" s="130"/>
      <c r="F98" s="129">
        <v>230000.0</v>
      </c>
      <c r="G98" s="130">
        <f t="shared" si="2"/>
        <v>2062427</v>
      </c>
      <c r="H98" s="131"/>
      <c r="K98" s="137"/>
      <c r="L98" s="137"/>
      <c r="O98" s="136"/>
      <c r="R98" s="126"/>
    </row>
    <row r="99">
      <c r="A99" s="52">
        <v>98.0</v>
      </c>
      <c r="B99" s="127">
        <v>45997.0</v>
      </c>
      <c r="C99" s="52">
        <v>13.0</v>
      </c>
      <c r="D99" s="52" t="s">
        <v>602</v>
      </c>
      <c r="E99" s="130"/>
      <c r="F99" s="129">
        <v>72500.0</v>
      </c>
      <c r="G99" s="130">
        <f t="shared" si="2"/>
        <v>1989927</v>
      </c>
      <c r="H99" s="131"/>
      <c r="K99" s="137"/>
      <c r="L99" s="137"/>
      <c r="O99" s="136"/>
      <c r="R99" s="126"/>
    </row>
    <row r="100">
      <c r="A100" s="52">
        <v>99.0</v>
      </c>
      <c r="B100" s="127">
        <v>46000.0</v>
      </c>
      <c r="C100" s="52">
        <v>12.0</v>
      </c>
      <c r="D100" s="52" t="s">
        <v>603</v>
      </c>
      <c r="E100" s="130"/>
      <c r="F100" s="129">
        <v>353800.0</v>
      </c>
      <c r="G100" s="130">
        <f t="shared" si="2"/>
        <v>1636127</v>
      </c>
      <c r="H100" s="131"/>
      <c r="K100" s="137"/>
      <c r="L100" s="137"/>
      <c r="O100" s="136"/>
      <c r="R100" s="126"/>
    </row>
    <row r="101">
      <c r="A101" s="52">
        <v>100.0</v>
      </c>
      <c r="B101" s="127">
        <v>46006.0</v>
      </c>
      <c r="C101" s="52">
        <v>11.0</v>
      </c>
      <c r="D101" s="52" t="s">
        <v>554</v>
      </c>
      <c r="E101" s="128">
        <v>440000.0</v>
      </c>
      <c r="F101" s="139"/>
      <c r="G101" s="130">
        <f t="shared" si="2"/>
        <v>2076127</v>
      </c>
      <c r="H101" s="131"/>
      <c r="K101" s="137"/>
      <c r="L101" s="137"/>
      <c r="O101" s="136"/>
      <c r="R101" s="126"/>
    </row>
    <row r="102">
      <c r="A102" s="52">
        <v>101.0</v>
      </c>
      <c r="B102" s="127">
        <v>46007.0</v>
      </c>
      <c r="C102" s="52">
        <v>14.0</v>
      </c>
      <c r="D102" s="52" t="s">
        <v>553</v>
      </c>
      <c r="E102" s="128"/>
      <c r="F102" s="129">
        <v>9000.0</v>
      </c>
      <c r="G102" s="130">
        <f t="shared" si="2"/>
        <v>2067127</v>
      </c>
      <c r="H102" s="131"/>
      <c r="K102" s="137"/>
      <c r="L102" s="137"/>
      <c r="O102" s="136"/>
      <c r="R102" s="126"/>
    </row>
    <row r="103">
      <c r="A103" s="52">
        <v>102.0</v>
      </c>
      <c r="B103" s="127">
        <v>46017.0</v>
      </c>
      <c r="C103" s="52">
        <v>11.0</v>
      </c>
      <c r="D103" s="52" t="s">
        <v>554</v>
      </c>
      <c r="E103" s="128">
        <v>270000.0</v>
      </c>
      <c r="F103" s="139"/>
      <c r="G103" s="130">
        <f t="shared" si="2"/>
        <v>2337127</v>
      </c>
      <c r="H103" s="131"/>
      <c r="K103" s="137"/>
      <c r="L103" s="137"/>
      <c r="O103" s="136"/>
      <c r="R103" s="126"/>
    </row>
    <row r="104">
      <c r="A104" s="52">
        <v>103.0</v>
      </c>
      <c r="B104" s="127">
        <v>46024.0</v>
      </c>
      <c r="C104" s="52">
        <v>13.0</v>
      </c>
      <c r="D104" s="52" t="s">
        <v>604</v>
      </c>
      <c r="E104" s="130"/>
      <c r="F104" s="129">
        <v>20400.0</v>
      </c>
      <c r="G104" s="130">
        <f t="shared" si="2"/>
        <v>2316727</v>
      </c>
      <c r="H104" s="131"/>
      <c r="K104" s="137"/>
      <c r="L104" s="137"/>
      <c r="O104" s="136"/>
      <c r="R104" s="126"/>
    </row>
    <row r="105">
      <c r="A105" s="52">
        <v>104.0</v>
      </c>
      <c r="B105" s="127">
        <v>46024.0</v>
      </c>
      <c r="C105" s="52">
        <v>13.0</v>
      </c>
      <c r="D105" s="52" t="s">
        <v>605</v>
      </c>
      <c r="E105" s="128">
        <v>31800.0</v>
      </c>
      <c r="F105" s="129">
        <v>31800.0</v>
      </c>
      <c r="G105" s="130">
        <f t="shared" si="2"/>
        <v>2316727</v>
      </c>
      <c r="H105" s="131"/>
      <c r="K105" s="137"/>
      <c r="L105" s="137"/>
      <c r="O105" s="136"/>
      <c r="R105" s="126"/>
    </row>
    <row r="106">
      <c r="A106" s="52">
        <v>105.0</v>
      </c>
      <c r="B106" s="127">
        <v>46024.0</v>
      </c>
      <c r="C106" s="52">
        <v>13.0</v>
      </c>
      <c r="D106" s="52" t="s">
        <v>606</v>
      </c>
      <c r="E106" s="130"/>
      <c r="F106" s="129">
        <v>136000.0</v>
      </c>
      <c r="G106" s="130">
        <f t="shared" si="2"/>
        <v>2180727</v>
      </c>
      <c r="H106" s="131"/>
      <c r="K106" s="137"/>
      <c r="L106" s="137"/>
      <c r="O106" s="136"/>
      <c r="R106" s="126"/>
    </row>
    <row r="107">
      <c r="A107" s="52">
        <v>106.0</v>
      </c>
      <c r="B107" s="127">
        <v>46025.0</v>
      </c>
      <c r="C107" s="52">
        <v>13.0</v>
      </c>
      <c r="D107" s="52" t="s">
        <v>505</v>
      </c>
      <c r="E107" s="130"/>
      <c r="F107" s="129">
        <v>29365.0</v>
      </c>
      <c r="G107" s="130">
        <f t="shared" si="2"/>
        <v>2151362</v>
      </c>
      <c r="H107" s="131"/>
      <c r="K107" s="137"/>
      <c r="L107" s="137"/>
      <c r="O107" s="136"/>
      <c r="R107" s="126"/>
    </row>
    <row r="108">
      <c r="A108" s="52">
        <v>107.0</v>
      </c>
      <c r="B108" s="127">
        <v>46025.0</v>
      </c>
      <c r="C108" s="52">
        <v>13.0</v>
      </c>
      <c r="D108" s="52" t="s">
        <v>506</v>
      </c>
      <c r="E108" s="130"/>
      <c r="F108" s="129">
        <v>94500.0</v>
      </c>
      <c r="G108" s="130">
        <f t="shared" si="2"/>
        <v>2056862</v>
      </c>
      <c r="H108" s="131"/>
      <c r="K108" s="137"/>
      <c r="L108" s="137"/>
      <c r="O108" s="136"/>
      <c r="R108" s="126"/>
    </row>
    <row r="109">
      <c r="A109" s="52">
        <v>108.0</v>
      </c>
      <c r="B109" s="127">
        <v>46025.0</v>
      </c>
      <c r="C109" s="52">
        <v>13.0</v>
      </c>
      <c r="D109" s="52" t="s">
        <v>607</v>
      </c>
      <c r="E109" s="130"/>
      <c r="F109" s="129">
        <v>27950.0</v>
      </c>
      <c r="G109" s="130">
        <f t="shared" si="2"/>
        <v>2028912</v>
      </c>
      <c r="H109" s="131"/>
      <c r="K109" s="137"/>
      <c r="L109" s="137"/>
      <c r="O109" s="136"/>
      <c r="R109" s="126"/>
    </row>
    <row r="110">
      <c r="A110" s="52">
        <v>109.0</v>
      </c>
      <c r="B110" s="127">
        <v>46025.0</v>
      </c>
      <c r="C110" s="52">
        <v>11.0</v>
      </c>
      <c r="D110" s="52" t="s">
        <v>554</v>
      </c>
      <c r="E110" s="128">
        <v>1000000.0</v>
      </c>
      <c r="F110" s="139"/>
      <c r="G110" s="130">
        <f t="shared" si="2"/>
        <v>3028912</v>
      </c>
      <c r="H110" s="131"/>
      <c r="K110" s="137"/>
      <c r="L110" s="137"/>
      <c r="O110" s="136"/>
      <c r="R110" s="126"/>
    </row>
    <row r="111">
      <c r="A111" s="52">
        <v>110.0</v>
      </c>
      <c r="B111" s="127">
        <v>46025.0</v>
      </c>
      <c r="C111" s="52">
        <v>12.0</v>
      </c>
      <c r="D111" s="52" t="s">
        <v>608</v>
      </c>
      <c r="E111" s="130"/>
      <c r="F111" s="129">
        <v>250000.0</v>
      </c>
      <c r="G111" s="130">
        <f t="shared" si="2"/>
        <v>2778912</v>
      </c>
      <c r="H111" s="131"/>
      <c r="K111" s="137"/>
      <c r="L111" s="137"/>
      <c r="O111" s="136"/>
      <c r="R111" s="126"/>
    </row>
    <row r="112">
      <c r="A112" s="52">
        <v>111.0</v>
      </c>
      <c r="B112" s="127">
        <v>46025.0</v>
      </c>
      <c r="C112" s="52">
        <v>13.0</v>
      </c>
      <c r="D112" s="52" t="s">
        <v>609</v>
      </c>
      <c r="E112" s="130"/>
      <c r="F112" s="129">
        <v>229200.0</v>
      </c>
      <c r="G112" s="130">
        <f t="shared" si="2"/>
        <v>2549712</v>
      </c>
      <c r="H112" s="131"/>
      <c r="K112" s="137"/>
      <c r="L112" s="137"/>
      <c r="O112" s="136"/>
      <c r="R112" s="126"/>
    </row>
    <row r="113">
      <c r="A113" s="52">
        <v>112.0</v>
      </c>
      <c r="B113" s="127">
        <v>46027.0</v>
      </c>
      <c r="C113" s="52">
        <v>13.0</v>
      </c>
      <c r="D113" s="52" t="s">
        <v>610</v>
      </c>
      <c r="E113" s="130"/>
      <c r="F113" s="129">
        <v>832500.0</v>
      </c>
      <c r="G113" s="130">
        <f t="shared" si="2"/>
        <v>1717212</v>
      </c>
      <c r="H113" s="131"/>
      <c r="K113" s="137"/>
      <c r="L113" s="137"/>
      <c r="O113" s="136"/>
      <c r="R113" s="126"/>
    </row>
    <row r="114">
      <c r="A114" s="52">
        <v>113.0</v>
      </c>
      <c r="B114" s="127">
        <v>46027.0</v>
      </c>
      <c r="C114" s="52">
        <v>13.0</v>
      </c>
      <c r="D114" s="52" t="s">
        <v>507</v>
      </c>
      <c r="E114" s="130"/>
      <c r="F114" s="129">
        <v>207500.0</v>
      </c>
      <c r="G114" s="130">
        <f t="shared" si="2"/>
        <v>1509712</v>
      </c>
      <c r="H114" s="131"/>
      <c r="K114" s="137"/>
      <c r="L114" s="137"/>
      <c r="O114" s="136"/>
      <c r="R114" s="126"/>
    </row>
    <row r="115">
      <c r="A115" s="52">
        <v>114.0</v>
      </c>
      <c r="B115" s="127">
        <v>46027.0</v>
      </c>
      <c r="C115" s="52">
        <v>13.0</v>
      </c>
      <c r="D115" s="52" t="s">
        <v>611</v>
      </c>
      <c r="E115" s="130"/>
      <c r="F115" s="129">
        <v>130000.0</v>
      </c>
      <c r="G115" s="130">
        <f t="shared" si="2"/>
        <v>1379712</v>
      </c>
      <c r="H115" s="131"/>
      <c r="K115" s="137"/>
      <c r="L115" s="137"/>
      <c r="O115" s="136"/>
      <c r="R115" s="126"/>
    </row>
    <row r="116">
      <c r="A116" s="52">
        <v>115.0</v>
      </c>
      <c r="B116" s="127">
        <v>46027.0</v>
      </c>
      <c r="C116" s="52">
        <v>13.0</v>
      </c>
      <c r="D116" s="52" t="s">
        <v>612</v>
      </c>
      <c r="E116" s="130"/>
      <c r="F116" s="129">
        <v>130000.0</v>
      </c>
      <c r="G116" s="130">
        <f t="shared" si="2"/>
        <v>1249712</v>
      </c>
      <c r="H116" s="131"/>
      <c r="K116" s="137"/>
      <c r="L116" s="137"/>
      <c r="O116" s="136"/>
      <c r="R116" s="126"/>
    </row>
    <row r="117">
      <c r="A117" s="52">
        <v>116.0</v>
      </c>
      <c r="B117" s="127">
        <v>46030.0</v>
      </c>
      <c r="C117" s="52">
        <v>12.0</v>
      </c>
      <c r="D117" s="52" t="s">
        <v>613</v>
      </c>
      <c r="E117" s="130"/>
      <c r="F117" s="129">
        <v>35000.0</v>
      </c>
      <c r="G117" s="130">
        <f t="shared" si="2"/>
        <v>1214712</v>
      </c>
      <c r="H117" s="131"/>
      <c r="K117" s="137"/>
      <c r="L117" s="137"/>
      <c r="O117" s="136"/>
      <c r="R117" s="126"/>
    </row>
    <row r="118">
      <c r="A118" s="52">
        <v>117.0</v>
      </c>
      <c r="B118" s="127">
        <v>46038.0</v>
      </c>
      <c r="C118" s="52">
        <v>14.0</v>
      </c>
      <c r="D118" s="52" t="s">
        <v>553</v>
      </c>
      <c r="E118" s="130"/>
      <c r="F118" s="129">
        <v>9000.0</v>
      </c>
      <c r="G118" s="130">
        <f t="shared" si="2"/>
        <v>1205712</v>
      </c>
      <c r="H118" s="131"/>
      <c r="K118" s="137"/>
      <c r="L118" s="137"/>
      <c r="O118" s="136"/>
      <c r="R118" s="126"/>
    </row>
    <row r="119">
      <c r="A119" s="52">
        <v>118.0</v>
      </c>
      <c r="B119" s="127">
        <v>46039.0</v>
      </c>
      <c r="C119" s="52">
        <v>11.0</v>
      </c>
      <c r="D119" s="52" t="s">
        <v>554</v>
      </c>
      <c r="E119" s="128">
        <v>382000.0</v>
      </c>
      <c r="F119" s="139"/>
      <c r="G119" s="130">
        <f t="shared" si="2"/>
        <v>1587712</v>
      </c>
      <c r="H119" s="131"/>
      <c r="K119" s="137"/>
      <c r="L119" s="137"/>
      <c r="O119" s="136"/>
      <c r="R119" s="126"/>
    </row>
    <row r="120">
      <c r="A120" s="52">
        <v>119.0</v>
      </c>
      <c r="B120" s="127">
        <v>46039.0</v>
      </c>
      <c r="C120" s="52">
        <v>14.0</v>
      </c>
      <c r="D120" s="52" t="s">
        <v>614</v>
      </c>
      <c r="E120" s="130"/>
      <c r="F120" s="129">
        <v>30000.0</v>
      </c>
      <c r="G120" s="130">
        <f t="shared" si="2"/>
        <v>1557712</v>
      </c>
      <c r="H120" s="131"/>
      <c r="K120" s="137"/>
      <c r="L120" s="137"/>
      <c r="O120" s="136"/>
      <c r="R120" s="126"/>
    </row>
    <row r="121">
      <c r="A121" s="52">
        <v>120.0</v>
      </c>
      <c r="B121" s="150" t="s">
        <v>615</v>
      </c>
      <c r="C121" s="52">
        <v>13.0</v>
      </c>
      <c r="D121" s="52" t="s">
        <v>616</v>
      </c>
      <c r="E121" s="130"/>
      <c r="F121" s="129">
        <v>285987.0</v>
      </c>
      <c r="G121" s="130">
        <f t="shared" si="2"/>
        <v>1271725</v>
      </c>
      <c r="H121" s="131"/>
      <c r="K121" s="137"/>
      <c r="L121" s="137"/>
      <c r="O121" s="136"/>
      <c r="R121" s="126"/>
    </row>
    <row r="122">
      <c r="A122" s="52">
        <v>121.0</v>
      </c>
      <c r="B122" s="150" t="s">
        <v>615</v>
      </c>
      <c r="C122" s="52">
        <v>13.0</v>
      </c>
      <c r="D122" s="52" t="s">
        <v>617</v>
      </c>
      <c r="E122" s="130"/>
      <c r="F122" s="129">
        <v>65980.0</v>
      </c>
      <c r="G122" s="130">
        <f t="shared" si="2"/>
        <v>1205745</v>
      </c>
      <c r="H122" s="131"/>
      <c r="K122" s="137"/>
      <c r="L122" s="137"/>
      <c r="O122" s="136"/>
      <c r="R122" s="126"/>
    </row>
    <row r="123">
      <c r="A123" s="52">
        <v>122.0</v>
      </c>
      <c r="B123" s="150" t="s">
        <v>615</v>
      </c>
      <c r="C123" s="52">
        <v>13.0</v>
      </c>
      <c r="D123" s="52" t="s">
        <v>618</v>
      </c>
      <c r="E123" s="130"/>
      <c r="F123" s="129">
        <v>30999.0</v>
      </c>
      <c r="G123" s="130">
        <f t="shared" si="2"/>
        <v>1174746</v>
      </c>
      <c r="H123" s="131"/>
      <c r="K123" s="137"/>
      <c r="L123" s="137"/>
      <c r="O123" s="136"/>
      <c r="R123" s="126"/>
    </row>
    <row r="124">
      <c r="A124" s="61"/>
      <c r="B124" s="150" t="s">
        <v>615</v>
      </c>
      <c r="C124" s="52">
        <v>13.0</v>
      </c>
      <c r="D124" s="52" t="s">
        <v>619</v>
      </c>
      <c r="E124" s="130"/>
      <c r="F124" s="129">
        <v>95528.0</v>
      </c>
      <c r="G124" s="130">
        <f t="shared" si="2"/>
        <v>1079218</v>
      </c>
      <c r="H124" s="131"/>
      <c r="K124" s="137"/>
      <c r="L124" s="137"/>
      <c r="O124" s="136"/>
      <c r="R124" s="126"/>
    </row>
    <row r="125">
      <c r="A125" s="61"/>
      <c r="B125" s="150" t="s">
        <v>615</v>
      </c>
      <c r="C125" s="52">
        <v>13.0</v>
      </c>
      <c r="D125" s="52" t="s">
        <v>620</v>
      </c>
      <c r="E125" s="130"/>
      <c r="F125" s="129">
        <v>31400.0</v>
      </c>
      <c r="G125" s="130">
        <f t="shared" si="2"/>
        <v>1047818</v>
      </c>
      <c r="H125" s="131"/>
      <c r="K125" s="137"/>
      <c r="L125" s="137"/>
      <c r="O125" s="136"/>
      <c r="R125" s="126"/>
    </row>
    <row r="126">
      <c r="A126" s="61"/>
      <c r="B126" s="150" t="s">
        <v>615</v>
      </c>
      <c r="C126" s="52">
        <v>13.0</v>
      </c>
      <c r="D126" s="52" t="s">
        <v>621</v>
      </c>
      <c r="E126" s="130"/>
      <c r="F126" s="129">
        <v>28400.0</v>
      </c>
      <c r="G126" s="130">
        <f t="shared" si="2"/>
        <v>1019418</v>
      </c>
      <c r="H126" s="131"/>
      <c r="K126" s="137"/>
      <c r="L126" s="137"/>
      <c r="O126" s="136"/>
      <c r="R126" s="126"/>
    </row>
    <row r="127">
      <c r="A127" s="61"/>
      <c r="B127" s="127">
        <v>46046.0</v>
      </c>
      <c r="C127" s="52">
        <v>11.0</v>
      </c>
      <c r="D127" s="52" t="s">
        <v>554</v>
      </c>
      <c r="E127" s="128">
        <v>1200000.0</v>
      </c>
      <c r="F127" s="139"/>
      <c r="G127" s="130">
        <f t="shared" si="2"/>
        <v>2219418</v>
      </c>
      <c r="H127" s="131"/>
      <c r="K127" s="137"/>
      <c r="L127" s="137"/>
      <c r="O127" s="136"/>
      <c r="R127" s="126"/>
    </row>
    <row r="128">
      <c r="A128" s="61"/>
      <c r="B128" s="127">
        <v>46047.0</v>
      </c>
      <c r="C128" s="52">
        <v>12.0</v>
      </c>
      <c r="D128" s="52" t="s">
        <v>622</v>
      </c>
      <c r="E128" s="130"/>
      <c r="F128" s="129">
        <v>200000.0</v>
      </c>
      <c r="G128" s="130">
        <f t="shared" si="2"/>
        <v>2019418</v>
      </c>
      <c r="H128" s="131"/>
      <c r="K128" s="137"/>
      <c r="L128" s="137"/>
      <c r="O128" s="136"/>
      <c r="R128" s="126"/>
    </row>
    <row r="129">
      <c r="A129" s="61"/>
      <c r="B129" s="138">
        <v>46048.0</v>
      </c>
      <c r="C129" s="52">
        <v>13.0</v>
      </c>
      <c r="D129" s="52" t="s">
        <v>623</v>
      </c>
      <c r="E129" s="130"/>
      <c r="F129" s="129">
        <v>42800.0</v>
      </c>
      <c r="G129" s="130">
        <f t="shared" si="2"/>
        <v>1976618</v>
      </c>
      <c r="H129" s="131"/>
      <c r="K129" s="137"/>
      <c r="L129" s="137"/>
      <c r="O129" s="136"/>
      <c r="R129" s="126"/>
    </row>
    <row r="130">
      <c r="A130" s="61"/>
      <c r="B130" s="138">
        <v>46048.0</v>
      </c>
      <c r="C130" s="52">
        <v>13.0</v>
      </c>
      <c r="D130" s="52" t="s">
        <v>624</v>
      </c>
      <c r="E130" s="130"/>
      <c r="F130" s="129">
        <v>41740.0</v>
      </c>
      <c r="G130" s="130">
        <f t="shared" si="2"/>
        <v>1934878</v>
      </c>
      <c r="H130" s="131"/>
      <c r="K130" s="137"/>
      <c r="L130" s="137"/>
      <c r="O130" s="136"/>
      <c r="R130" s="126"/>
    </row>
    <row r="131">
      <c r="A131" s="61"/>
      <c r="B131" s="151"/>
      <c r="C131" s="152"/>
      <c r="D131" s="61"/>
      <c r="E131" s="130"/>
      <c r="F131" s="139"/>
      <c r="G131" s="61" t="str">
        <f t="shared" si="2"/>
        <v/>
      </c>
      <c r="H131" s="131"/>
      <c r="K131" s="137"/>
      <c r="L131" s="137"/>
      <c r="O131" s="136"/>
      <c r="R131" s="126"/>
    </row>
    <row r="132">
      <c r="A132" s="61"/>
      <c r="B132" s="151"/>
      <c r="C132" s="152"/>
      <c r="D132" s="61"/>
      <c r="E132" s="130"/>
      <c r="F132" s="139"/>
      <c r="G132" s="61" t="str">
        <f t="shared" si="2"/>
        <v/>
      </c>
      <c r="H132" s="131"/>
      <c r="K132" s="137"/>
      <c r="L132" s="137"/>
      <c r="O132" s="136"/>
      <c r="R132" s="126"/>
    </row>
    <row r="133">
      <c r="A133" s="61"/>
      <c r="B133" s="151"/>
      <c r="C133" s="152"/>
      <c r="D133" s="61"/>
      <c r="E133" s="130"/>
      <c r="F133" s="139"/>
      <c r="G133" s="61" t="str">
        <f t="shared" si="2"/>
        <v/>
      </c>
      <c r="H133" s="131"/>
      <c r="K133" s="137"/>
      <c r="L133" s="137"/>
      <c r="O133" s="136"/>
      <c r="R133" s="126"/>
    </row>
    <row r="134">
      <c r="A134" s="61"/>
      <c r="B134" s="151"/>
      <c r="C134" s="152"/>
      <c r="D134" s="61"/>
      <c r="E134" s="130"/>
      <c r="F134" s="139"/>
      <c r="G134" s="61" t="str">
        <f t="shared" si="2"/>
        <v/>
      </c>
      <c r="H134" s="131"/>
      <c r="K134" s="137"/>
      <c r="L134" s="137"/>
      <c r="O134" s="136"/>
      <c r="R134" s="126"/>
    </row>
    <row r="135">
      <c r="A135" s="61"/>
      <c r="B135" s="151"/>
      <c r="C135" s="152"/>
      <c r="D135" s="61"/>
      <c r="E135" s="130"/>
      <c r="F135" s="139"/>
      <c r="G135" s="61" t="str">
        <f t="shared" si="2"/>
        <v/>
      </c>
      <c r="H135" s="131"/>
      <c r="K135" s="137"/>
      <c r="L135" s="137"/>
      <c r="O135" s="136"/>
      <c r="R135" s="126"/>
    </row>
    <row r="136">
      <c r="A136" s="61"/>
      <c r="B136" s="151"/>
      <c r="C136" s="152"/>
      <c r="D136" s="61"/>
      <c r="E136" s="130"/>
      <c r="F136" s="139"/>
      <c r="G136" s="61" t="str">
        <f t="shared" si="2"/>
        <v/>
      </c>
      <c r="H136" s="131"/>
      <c r="K136" s="137"/>
      <c r="L136" s="137"/>
      <c r="O136" s="136"/>
      <c r="R136" s="126"/>
    </row>
    <row r="137">
      <c r="A137" s="61"/>
      <c r="B137" s="151"/>
      <c r="C137" s="152"/>
      <c r="D137" s="61"/>
      <c r="E137" s="130"/>
      <c r="F137" s="139"/>
      <c r="G137" s="61" t="str">
        <f t="shared" si="2"/>
        <v/>
      </c>
      <c r="H137" s="131"/>
      <c r="K137" s="137"/>
      <c r="L137" s="137"/>
      <c r="O137" s="136"/>
      <c r="R137" s="126"/>
    </row>
    <row r="138">
      <c r="A138" s="61"/>
      <c r="B138" s="151"/>
      <c r="C138" s="152"/>
      <c r="D138" s="61"/>
      <c r="E138" s="130"/>
      <c r="F138" s="139"/>
      <c r="G138" s="61" t="str">
        <f t="shared" si="2"/>
        <v/>
      </c>
      <c r="H138" s="131"/>
      <c r="K138" s="137"/>
      <c r="L138" s="137"/>
      <c r="O138" s="136"/>
      <c r="R138" s="126"/>
    </row>
    <row r="139">
      <c r="A139" s="61"/>
      <c r="B139" s="151"/>
      <c r="C139" s="152"/>
      <c r="D139" s="61"/>
      <c r="E139" s="130"/>
      <c r="F139" s="139"/>
      <c r="G139" s="61" t="str">
        <f t="shared" si="2"/>
        <v/>
      </c>
      <c r="H139" s="131"/>
      <c r="K139" s="137"/>
      <c r="L139" s="137"/>
      <c r="O139" s="136"/>
      <c r="R139" s="126"/>
    </row>
    <row r="140">
      <c r="A140" s="61"/>
      <c r="B140" s="151"/>
      <c r="C140" s="152"/>
      <c r="D140" s="61"/>
      <c r="E140" s="130"/>
      <c r="F140" s="139"/>
      <c r="G140" s="61" t="str">
        <f t="shared" si="2"/>
        <v/>
      </c>
      <c r="H140" s="131"/>
      <c r="K140" s="137"/>
      <c r="L140" s="137"/>
      <c r="O140" s="136"/>
      <c r="R140" s="126"/>
    </row>
    <row r="141">
      <c r="A141" s="61"/>
      <c r="B141" s="151"/>
      <c r="C141" s="152"/>
      <c r="D141" s="61"/>
      <c r="E141" s="130"/>
      <c r="F141" s="139"/>
      <c r="G141" s="61" t="str">
        <f t="shared" si="2"/>
        <v/>
      </c>
      <c r="H141" s="131"/>
      <c r="K141" s="137"/>
      <c r="L141" s="137"/>
      <c r="O141" s="136"/>
      <c r="R141" s="126"/>
    </row>
    <row r="142">
      <c r="A142" s="61"/>
      <c r="B142" s="151"/>
      <c r="C142" s="152"/>
      <c r="D142" s="61"/>
      <c r="E142" s="130"/>
      <c r="F142" s="139"/>
      <c r="G142" s="61" t="str">
        <f t="shared" si="2"/>
        <v/>
      </c>
      <c r="H142" s="131"/>
      <c r="K142" s="137"/>
      <c r="L142" s="137"/>
      <c r="O142" s="136"/>
      <c r="R142" s="126"/>
    </row>
    <row r="143">
      <c r="A143" s="61"/>
      <c r="B143" s="151"/>
      <c r="C143" s="152"/>
      <c r="D143" s="61"/>
      <c r="E143" s="130"/>
      <c r="F143" s="139"/>
      <c r="G143" s="61"/>
      <c r="H143" s="131"/>
      <c r="K143" s="137"/>
      <c r="L143" s="137"/>
      <c r="O143" s="136"/>
      <c r="R143" s="126"/>
    </row>
    <row r="144">
      <c r="A144" s="61"/>
      <c r="B144" s="151"/>
      <c r="C144" s="152"/>
      <c r="D144" s="61"/>
      <c r="E144" s="130"/>
      <c r="F144" s="139"/>
      <c r="G144" s="61"/>
      <c r="H144" s="131"/>
      <c r="K144" s="137"/>
      <c r="L144" s="137"/>
      <c r="O144" s="136"/>
      <c r="R144" s="126"/>
    </row>
    <row r="145">
      <c r="A145" s="61"/>
      <c r="B145" s="151"/>
      <c r="C145" s="152"/>
      <c r="D145" s="61"/>
      <c r="E145" s="130"/>
      <c r="F145" s="139"/>
      <c r="G145" s="61"/>
      <c r="H145" s="131"/>
      <c r="K145" s="137"/>
      <c r="L145" s="137"/>
      <c r="O145" s="136"/>
      <c r="R145" s="126"/>
    </row>
    <row r="146">
      <c r="A146" s="61"/>
      <c r="B146" s="151"/>
      <c r="C146" s="152"/>
      <c r="D146" s="61"/>
      <c r="E146" s="130"/>
      <c r="F146" s="139"/>
      <c r="G146" s="61"/>
      <c r="H146" s="131"/>
      <c r="K146" s="137"/>
      <c r="L146" s="137"/>
      <c r="O146" s="136"/>
      <c r="R146" s="126"/>
    </row>
    <row r="147">
      <c r="A147" s="61"/>
      <c r="B147" s="151"/>
      <c r="C147" s="152"/>
      <c r="D147" s="61"/>
      <c r="E147" s="130"/>
      <c r="F147" s="139"/>
      <c r="G147" s="61"/>
      <c r="H147" s="131"/>
      <c r="K147" s="137"/>
      <c r="L147" s="137"/>
      <c r="O147" s="136"/>
      <c r="R147" s="126"/>
    </row>
    <row r="148">
      <c r="A148" s="61"/>
      <c r="B148" s="151"/>
      <c r="C148" s="152"/>
      <c r="D148" s="61"/>
      <c r="E148" s="130"/>
      <c r="F148" s="139"/>
      <c r="G148" s="61"/>
      <c r="H148" s="131"/>
      <c r="K148" s="137"/>
      <c r="L148" s="137"/>
      <c r="O148" s="136"/>
      <c r="R148" s="126"/>
    </row>
    <row r="149">
      <c r="A149" s="61"/>
      <c r="B149" s="151"/>
      <c r="C149" s="152"/>
      <c r="D149" s="61"/>
      <c r="E149" s="130"/>
      <c r="F149" s="139"/>
      <c r="G149" s="61"/>
      <c r="H149" s="131"/>
      <c r="K149" s="137"/>
      <c r="L149" s="137"/>
      <c r="O149" s="136"/>
      <c r="R149" s="126"/>
    </row>
    <row r="150">
      <c r="A150" s="61"/>
      <c r="B150" s="151"/>
      <c r="C150" s="152"/>
      <c r="D150" s="61"/>
      <c r="E150" s="130"/>
      <c r="F150" s="139"/>
      <c r="G150" s="61"/>
      <c r="H150" s="131"/>
      <c r="K150" s="137"/>
      <c r="L150" s="137"/>
      <c r="O150" s="136"/>
      <c r="R150" s="126"/>
    </row>
    <row r="151">
      <c r="A151" s="61"/>
      <c r="B151" s="151"/>
      <c r="C151" s="152"/>
      <c r="D151" s="61"/>
      <c r="E151" s="130"/>
      <c r="F151" s="139"/>
      <c r="G151" s="61"/>
      <c r="H151" s="131"/>
      <c r="K151" s="137"/>
      <c r="L151" s="137"/>
      <c r="O151" s="136"/>
      <c r="R151" s="126"/>
    </row>
    <row r="152">
      <c r="A152" s="61"/>
      <c r="B152" s="151"/>
      <c r="C152" s="152"/>
      <c r="D152" s="61"/>
      <c r="E152" s="130"/>
      <c r="F152" s="139"/>
      <c r="G152" s="61"/>
      <c r="H152" s="131"/>
      <c r="K152" s="137"/>
      <c r="L152" s="137"/>
      <c r="O152" s="136"/>
      <c r="R152" s="126"/>
    </row>
    <row r="153">
      <c r="A153" s="61"/>
      <c r="B153" s="151"/>
      <c r="C153" s="152"/>
      <c r="D153" s="61"/>
      <c r="E153" s="130"/>
      <c r="F153" s="139"/>
      <c r="G153" s="61"/>
      <c r="H153" s="131"/>
      <c r="K153" s="137"/>
      <c r="L153" s="137"/>
      <c r="O153" s="136"/>
      <c r="R153" s="126"/>
    </row>
    <row r="154">
      <c r="A154" s="61"/>
      <c r="B154" s="151"/>
      <c r="C154" s="152"/>
      <c r="D154" s="61"/>
      <c r="E154" s="130"/>
      <c r="F154" s="139"/>
      <c r="G154" s="61"/>
      <c r="H154" s="131"/>
      <c r="K154" s="137"/>
      <c r="L154" s="137"/>
      <c r="O154" s="136"/>
      <c r="R154" s="126"/>
    </row>
    <row r="155">
      <c r="A155" s="61"/>
      <c r="B155" s="151"/>
      <c r="C155" s="152"/>
      <c r="D155" s="61"/>
      <c r="E155" s="130"/>
      <c r="F155" s="139"/>
      <c r="G155" s="61"/>
      <c r="H155" s="131"/>
      <c r="K155" s="137"/>
      <c r="L155" s="137"/>
      <c r="O155" s="136"/>
      <c r="R155" s="126"/>
    </row>
    <row r="156">
      <c r="A156" s="61"/>
      <c r="B156" s="151"/>
      <c r="C156" s="152"/>
      <c r="D156" s="61"/>
      <c r="E156" s="130"/>
      <c r="F156" s="139"/>
      <c r="G156" s="61"/>
      <c r="H156" s="131"/>
      <c r="K156" s="137"/>
      <c r="L156" s="137"/>
      <c r="O156" s="136"/>
      <c r="R156" s="126"/>
    </row>
    <row r="157">
      <c r="A157" s="61"/>
      <c r="B157" s="151"/>
      <c r="C157" s="152"/>
      <c r="D157" s="61"/>
      <c r="E157" s="130"/>
      <c r="F157" s="139"/>
      <c r="G157" s="61"/>
      <c r="H157" s="131"/>
      <c r="K157" s="137"/>
      <c r="L157" s="137"/>
      <c r="O157" s="136"/>
      <c r="R157" s="126"/>
    </row>
    <row r="158">
      <c r="A158" s="61"/>
      <c r="B158" s="151"/>
      <c r="C158" s="152"/>
      <c r="D158" s="61"/>
      <c r="E158" s="130"/>
      <c r="F158" s="139"/>
      <c r="G158" s="61"/>
      <c r="H158" s="131"/>
      <c r="K158" s="137"/>
      <c r="L158" s="137"/>
      <c r="O158" s="136"/>
      <c r="R158" s="126"/>
    </row>
    <row r="159">
      <c r="A159" s="61"/>
      <c r="B159" s="151"/>
      <c r="C159" s="152"/>
      <c r="D159" s="61"/>
      <c r="E159" s="130"/>
      <c r="F159" s="139"/>
      <c r="G159" s="61"/>
      <c r="H159" s="131"/>
      <c r="K159" s="137"/>
      <c r="L159" s="137"/>
      <c r="O159" s="136"/>
      <c r="R159" s="126"/>
    </row>
    <row r="160">
      <c r="A160" s="61"/>
      <c r="B160" s="151"/>
      <c r="C160" s="152"/>
      <c r="D160" s="61"/>
      <c r="E160" s="130"/>
      <c r="F160" s="139"/>
      <c r="G160" s="61"/>
      <c r="H160" s="131"/>
      <c r="K160" s="137"/>
      <c r="L160" s="137"/>
      <c r="O160" s="136"/>
      <c r="R160" s="126"/>
    </row>
    <row r="161">
      <c r="A161" s="61"/>
      <c r="B161" s="151"/>
      <c r="C161" s="152"/>
      <c r="D161" s="61"/>
      <c r="E161" s="130"/>
      <c r="F161" s="139"/>
      <c r="G161" s="61"/>
      <c r="H161" s="131"/>
      <c r="K161" s="137"/>
      <c r="L161" s="137"/>
      <c r="O161" s="136"/>
      <c r="R161" s="126"/>
    </row>
    <row r="162">
      <c r="A162" s="61"/>
      <c r="B162" s="151"/>
      <c r="C162" s="152"/>
      <c r="D162" s="61"/>
      <c r="E162" s="130"/>
      <c r="F162" s="139"/>
      <c r="G162" s="61"/>
      <c r="H162" s="131"/>
      <c r="K162" s="137"/>
      <c r="L162" s="137"/>
      <c r="O162" s="136"/>
      <c r="R162" s="126"/>
    </row>
    <row r="163">
      <c r="A163" s="61"/>
      <c r="B163" s="151"/>
      <c r="C163" s="152"/>
      <c r="D163" s="61"/>
      <c r="E163" s="130"/>
      <c r="F163" s="139"/>
      <c r="G163" s="61"/>
      <c r="H163" s="131"/>
      <c r="K163" s="137"/>
      <c r="L163" s="137"/>
      <c r="O163" s="136"/>
      <c r="R163" s="126"/>
    </row>
    <row r="164">
      <c r="A164" s="61"/>
      <c r="B164" s="151"/>
      <c r="C164" s="152"/>
      <c r="D164" s="61"/>
      <c r="E164" s="130"/>
      <c r="F164" s="139"/>
      <c r="G164" s="61"/>
      <c r="H164" s="131"/>
      <c r="K164" s="137"/>
      <c r="L164" s="137"/>
      <c r="O164" s="136"/>
      <c r="R164" s="126"/>
    </row>
    <row r="165">
      <c r="A165" s="61"/>
      <c r="B165" s="151"/>
      <c r="C165" s="152"/>
      <c r="D165" s="61"/>
      <c r="E165" s="130"/>
      <c r="F165" s="139"/>
      <c r="G165" s="61"/>
      <c r="H165" s="131"/>
      <c r="K165" s="137"/>
      <c r="L165" s="137"/>
      <c r="O165" s="136"/>
      <c r="R165" s="126"/>
    </row>
    <row r="166">
      <c r="A166" s="61"/>
      <c r="B166" s="151"/>
      <c r="C166" s="152"/>
      <c r="D166" s="61"/>
      <c r="E166" s="130"/>
      <c r="F166" s="139"/>
      <c r="G166" s="61"/>
      <c r="H166" s="131"/>
      <c r="K166" s="137"/>
      <c r="L166" s="137"/>
      <c r="O166" s="136"/>
      <c r="R166" s="126"/>
    </row>
    <row r="167">
      <c r="A167" s="61"/>
      <c r="B167" s="151"/>
      <c r="C167" s="152"/>
      <c r="D167" s="61"/>
      <c r="E167" s="130"/>
      <c r="F167" s="139"/>
      <c r="G167" s="61"/>
      <c r="H167" s="131"/>
      <c r="K167" s="137"/>
      <c r="L167" s="137"/>
      <c r="O167" s="136"/>
      <c r="R167" s="126"/>
    </row>
    <row r="168">
      <c r="A168" s="61"/>
      <c r="B168" s="151"/>
      <c r="C168" s="152"/>
      <c r="D168" s="61"/>
      <c r="E168" s="130"/>
      <c r="F168" s="139"/>
      <c r="G168" s="61"/>
      <c r="H168" s="131"/>
      <c r="K168" s="137"/>
      <c r="L168" s="137"/>
      <c r="O168" s="136"/>
      <c r="R168" s="126"/>
    </row>
    <row r="169">
      <c r="A169" s="61"/>
      <c r="B169" s="151"/>
      <c r="C169" s="152"/>
      <c r="D169" s="61"/>
      <c r="E169" s="130"/>
      <c r="F169" s="139"/>
      <c r="G169" s="61"/>
      <c r="H169" s="131"/>
      <c r="K169" s="137"/>
      <c r="L169" s="137"/>
      <c r="O169" s="136"/>
      <c r="R169" s="126"/>
    </row>
    <row r="170">
      <c r="A170" s="61"/>
      <c r="B170" s="151"/>
      <c r="C170" s="152"/>
      <c r="D170" s="61"/>
      <c r="E170" s="130"/>
      <c r="F170" s="139"/>
      <c r="G170" s="61"/>
      <c r="H170" s="131"/>
      <c r="K170" s="137"/>
      <c r="L170" s="137"/>
      <c r="O170" s="136"/>
      <c r="R170" s="126"/>
    </row>
    <row r="171">
      <c r="A171" s="61"/>
      <c r="B171" s="151"/>
      <c r="C171" s="152"/>
      <c r="D171" s="61"/>
      <c r="E171" s="130"/>
      <c r="F171" s="139"/>
      <c r="G171" s="61"/>
      <c r="H171" s="131"/>
      <c r="K171" s="137"/>
      <c r="L171" s="137"/>
      <c r="O171" s="136"/>
      <c r="R171" s="126"/>
    </row>
    <row r="172">
      <c r="A172" s="61"/>
      <c r="B172" s="151"/>
      <c r="C172" s="152"/>
      <c r="D172" s="61"/>
      <c r="E172" s="130"/>
      <c r="F172" s="139"/>
      <c r="G172" s="61"/>
      <c r="H172" s="131"/>
      <c r="K172" s="137"/>
      <c r="L172" s="137"/>
      <c r="O172" s="136"/>
      <c r="R172" s="126"/>
    </row>
    <row r="173">
      <c r="A173" s="61"/>
      <c r="B173" s="151"/>
      <c r="C173" s="152"/>
      <c r="D173" s="61"/>
      <c r="E173" s="130"/>
      <c r="F173" s="139"/>
      <c r="G173" s="61"/>
      <c r="H173" s="131"/>
      <c r="K173" s="137"/>
      <c r="L173" s="137"/>
      <c r="O173" s="136"/>
      <c r="R173" s="126"/>
    </row>
    <row r="174">
      <c r="A174" s="61"/>
      <c r="B174" s="151"/>
      <c r="C174" s="152"/>
      <c r="D174" s="61"/>
      <c r="E174" s="130"/>
      <c r="F174" s="139"/>
      <c r="G174" s="61"/>
      <c r="H174" s="131"/>
      <c r="K174" s="137"/>
      <c r="L174" s="137"/>
      <c r="O174" s="136"/>
      <c r="R174" s="126"/>
    </row>
    <row r="175">
      <c r="A175" s="61"/>
      <c r="B175" s="151"/>
      <c r="C175" s="152"/>
      <c r="D175" s="61"/>
      <c r="E175" s="130"/>
      <c r="F175" s="139"/>
      <c r="G175" s="61"/>
      <c r="H175" s="131"/>
      <c r="K175" s="137"/>
      <c r="L175" s="137"/>
      <c r="O175" s="136"/>
      <c r="R175" s="126"/>
    </row>
    <row r="176">
      <c r="A176" s="61"/>
      <c r="B176" s="151"/>
      <c r="C176" s="152"/>
      <c r="D176" s="61"/>
      <c r="E176" s="130"/>
      <c r="F176" s="139"/>
      <c r="G176" s="61"/>
      <c r="H176" s="131"/>
      <c r="K176" s="137"/>
      <c r="L176" s="137"/>
      <c r="O176" s="136"/>
      <c r="R176" s="126"/>
    </row>
    <row r="177">
      <c r="A177" s="61"/>
      <c r="B177" s="151"/>
      <c r="C177" s="152"/>
      <c r="D177" s="61"/>
      <c r="E177" s="130"/>
      <c r="F177" s="139"/>
      <c r="G177" s="61"/>
      <c r="H177" s="131"/>
      <c r="K177" s="137"/>
      <c r="L177" s="137"/>
      <c r="O177" s="136"/>
      <c r="R177" s="126"/>
    </row>
    <row r="178">
      <c r="A178" s="61"/>
      <c r="B178" s="151"/>
      <c r="C178" s="152"/>
      <c r="D178" s="61"/>
      <c r="E178" s="130"/>
      <c r="F178" s="139"/>
      <c r="G178" s="61"/>
      <c r="H178" s="131"/>
      <c r="K178" s="137"/>
      <c r="L178" s="137"/>
      <c r="O178" s="136"/>
      <c r="R178" s="126"/>
    </row>
    <row r="179">
      <c r="A179" s="61"/>
      <c r="B179" s="151"/>
      <c r="C179" s="152"/>
      <c r="D179" s="61"/>
      <c r="E179" s="130"/>
      <c r="F179" s="139"/>
      <c r="G179" s="61"/>
      <c r="H179" s="131"/>
      <c r="K179" s="137"/>
      <c r="L179" s="137"/>
      <c r="O179" s="136"/>
      <c r="R179" s="126"/>
    </row>
    <row r="180">
      <c r="A180" s="61"/>
      <c r="B180" s="151"/>
      <c r="C180" s="152"/>
      <c r="D180" s="61"/>
      <c r="E180" s="130"/>
      <c r="F180" s="139"/>
      <c r="G180" s="61"/>
      <c r="H180" s="131"/>
      <c r="K180" s="137"/>
      <c r="L180" s="137"/>
      <c r="O180" s="136"/>
      <c r="R180" s="126"/>
    </row>
    <row r="181">
      <c r="A181" s="61"/>
      <c r="B181" s="151"/>
      <c r="C181" s="152"/>
      <c r="D181" s="61"/>
      <c r="E181" s="130"/>
      <c r="F181" s="139"/>
      <c r="G181" s="61"/>
      <c r="H181" s="131"/>
      <c r="K181" s="137"/>
      <c r="L181" s="137"/>
      <c r="O181" s="136"/>
      <c r="R181" s="126"/>
    </row>
    <row r="182">
      <c r="A182" s="61"/>
      <c r="B182" s="151"/>
      <c r="C182" s="152"/>
      <c r="D182" s="61"/>
      <c r="E182" s="130"/>
      <c r="F182" s="139"/>
      <c r="G182" s="61"/>
      <c r="H182" s="131"/>
      <c r="K182" s="137"/>
      <c r="L182" s="137"/>
      <c r="O182" s="136"/>
      <c r="R182" s="126"/>
    </row>
    <row r="183">
      <c r="A183" s="61"/>
      <c r="B183" s="151"/>
      <c r="C183" s="152"/>
      <c r="D183" s="61"/>
      <c r="E183" s="130"/>
      <c r="F183" s="139"/>
      <c r="G183" s="61"/>
      <c r="H183" s="131"/>
      <c r="K183" s="137"/>
      <c r="L183" s="137"/>
      <c r="O183" s="136"/>
      <c r="R183" s="126"/>
    </row>
    <row r="184">
      <c r="A184" s="61"/>
      <c r="B184" s="151"/>
      <c r="C184" s="152"/>
      <c r="D184" s="61"/>
      <c r="E184" s="130"/>
      <c r="F184" s="139"/>
      <c r="G184" s="61"/>
      <c r="H184" s="131"/>
      <c r="K184" s="137"/>
      <c r="L184" s="137"/>
      <c r="O184" s="136"/>
      <c r="R184" s="126"/>
    </row>
    <row r="185">
      <c r="A185" s="61"/>
      <c r="B185" s="151"/>
      <c r="C185" s="152"/>
      <c r="D185" s="61"/>
      <c r="E185" s="130"/>
      <c r="F185" s="139"/>
      <c r="G185" s="61"/>
      <c r="H185" s="131"/>
      <c r="K185" s="137"/>
      <c r="L185" s="137"/>
      <c r="O185" s="136"/>
      <c r="R185" s="126"/>
    </row>
    <row r="186">
      <c r="A186" s="61"/>
      <c r="B186" s="151"/>
      <c r="C186" s="152"/>
      <c r="D186" s="61"/>
      <c r="E186" s="130"/>
      <c r="F186" s="139"/>
      <c r="G186" s="61"/>
      <c r="H186" s="131"/>
      <c r="K186" s="137"/>
      <c r="L186" s="137"/>
      <c r="O186" s="136"/>
      <c r="R186" s="126"/>
    </row>
    <row r="187">
      <c r="A187" s="61"/>
      <c r="B187" s="151"/>
      <c r="C187" s="152"/>
      <c r="D187" s="61"/>
      <c r="E187" s="130"/>
      <c r="F187" s="139"/>
      <c r="G187" s="61"/>
      <c r="H187" s="131"/>
      <c r="K187" s="137"/>
      <c r="L187" s="137"/>
      <c r="O187" s="136"/>
      <c r="R187" s="126"/>
    </row>
    <row r="188">
      <c r="A188" s="61"/>
      <c r="B188" s="151"/>
      <c r="C188" s="152"/>
      <c r="D188" s="61"/>
      <c r="E188" s="130"/>
      <c r="F188" s="139"/>
      <c r="G188" s="61"/>
      <c r="H188" s="131"/>
      <c r="K188" s="137"/>
      <c r="L188" s="137"/>
      <c r="O188" s="136"/>
      <c r="R188" s="126"/>
    </row>
    <row r="189">
      <c r="A189" s="61"/>
      <c r="B189" s="151"/>
      <c r="C189" s="152"/>
      <c r="D189" s="61"/>
      <c r="E189" s="130"/>
      <c r="F189" s="139"/>
      <c r="G189" s="61"/>
      <c r="H189" s="131"/>
      <c r="K189" s="137"/>
      <c r="L189" s="137"/>
      <c r="O189" s="136"/>
      <c r="R189" s="126"/>
    </row>
    <row r="190">
      <c r="A190" s="61"/>
      <c r="B190" s="151"/>
      <c r="C190" s="152"/>
      <c r="D190" s="61"/>
      <c r="E190" s="130"/>
      <c r="F190" s="139"/>
      <c r="G190" s="61"/>
      <c r="H190" s="131"/>
      <c r="K190" s="137"/>
      <c r="L190" s="137"/>
      <c r="O190" s="136"/>
      <c r="R190" s="126"/>
    </row>
    <row r="191">
      <c r="A191" s="61"/>
      <c r="B191" s="151"/>
      <c r="C191" s="152"/>
      <c r="D191" s="61"/>
      <c r="E191" s="130"/>
      <c r="F191" s="139"/>
      <c r="G191" s="61"/>
      <c r="H191" s="131"/>
      <c r="K191" s="137"/>
      <c r="L191" s="137"/>
      <c r="O191" s="136"/>
      <c r="R191" s="126"/>
    </row>
    <row r="192">
      <c r="A192" s="61"/>
      <c r="B192" s="151"/>
      <c r="C192" s="152"/>
      <c r="D192" s="61"/>
      <c r="E192" s="130"/>
      <c r="F192" s="139"/>
      <c r="G192" s="61"/>
      <c r="H192" s="131"/>
      <c r="K192" s="137"/>
      <c r="L192" s="137"/>
      <c r="O192" s="136"/>
      <c r="R192" s="126"/>
    </row>
    <row r="193">
      <c r="A193" s="61"/>
      <c r="B193" s="151"/>
      <c r="C193" s="152"/>
      <c r="D193" s="61"/>
      <c r="E193" s="130"/>
      <c r="F193" s="139"/>
      <c r="G193" s="61"/>
      <c r="H193" s="131"/>
      <c r="K193" s="137"/>
      <c r="L193" s="137"/>
      <c r="O193" s="136"/>
      <c r="R193" s="126"/>
    </row>
    <row r="194">
      <c r="A194" s="61"/>
      <c r="B194" s="151"/>
      <c r="C194" s="152"/>
      <c r="D194" s="61"/>
      <c r="E194" s="130"/>
      <c r="F194" s="139"/>
      <c r="G194" s="61"/>
      <c r="H194" s="131"/>
      <c r="K194" s="137"/>
      <c r="L194" s="137"/>
      <c r="O194" s="136"/>
      <c r="R194" s="126"/>
    </row>
    <row r="195">
      <c r="A195" s="61"/>
      <c r="B195" s="151"/>
      <c r="C195" s="152"/>
      <c r="D195" s="61"/>
      <c r="E195" s="130"/>
      <c r="F195" s="139"/>
      <c r="G195" s="61"/>
      <c r="H195" s="131"/>
      <c r="K195" s="137"/>
      <c r="L195" s="137"/>
      <c r="O195" s="136"/>
      <c r="R195" s="126"/>
    </row>
    <row r="196">
      <c r="A196" s="61"/>
      <c r="B196" s="151"/>
      <c r="C196" s="152"/>
      <c r="D196" s="61"/>
      <c r="E196" s="130"/>
      <c r="F196" s="139"/>
      <c r="G196" s="61"/>
      <c r="H196" s="131"/>
      <c r="K196" s="137"/>
      <c r="L196" s="137"/>
      <c r="O196" s="136"/>
      <c r="R196" s="126"/>
    </row>
    <row r="197">
      <c r="A197" s="61"/>
      <c r="B197" s="151"/>
      <c r="C197" s="152"/>
      <c r="D197" s="61"/>
      <c r="E197" s="130"/>
      <c r="F197" s="139"/>
      <c r="G197" s="61"/>
      <c r="H197" s="131"/>
      <c r="K197" s="137"/>
      <c r="L197" s="137"/>
      <c r="O197" s="136"/>
      <c r="R197" s="126"/>
    </row>
    <row r="198">
      <c r="A198" s="61"/>
      <c r="B198" s="151"/>
      <c r="C198" s="152"/>
      <c r="D198" s="61"/>
      <c r="E198" s="130"/>
      <c r="F198" s="139"/>
      <c r="G198" s="61"/>
      <c r="H198" s="131"/>
      <c r="K198" s="137"/>
      <c r="L198" s="137"/>
      <c r="O198" s="136"/>
      <c r="R198" s="126"/>
    </row>
    <row r="199">
      <c r="A199" s="61"/>
      <c r="B199" s="151"/>
      <c r="C199" s="152"/>
      <c r="D199" s="61"/>
      <c r="E199" s="130"/>
      <c r="F199" s="139"/>
      <c r="G199" s="61"/>
      <c r="H199" s="131"/>
      <c r="K199" s="137"/>
      <c r="L199" s="137"/>
      <c r="O199" s="136"/>
      <c r="R199" s="126"/>
    </row>
    <row r="200">
      <c r="A200" s="61"/>
      <c r="B200" s="151"/>
      <c r="C200" s="152"/>
      <c r="D200" s="61"/>
      <c r="E200" s="130"/>
      <c r="F200" s="139"/>
      <c r="G200" s="61"/>
      <c r="H200" s="131"/>
      <c r="K200" s="137"/>
      <c r="L200" s="137"/>
      <c r="O200" s="136"/>
      <c r="R200" s="126"/>
    </row>
    <row r="201">
      <c r="A201" s="61"/>
      <c r="B201" s="151"/>
      <c r="C201" s="152"/>
      <c r="D201" s="61"/>
      <c r="E201" s="130"/>
      <c r="F201" s="139"/>
      <c r="G201" s="61"/>
      <c r="H201" s="131"/>
      <c r="K201" s="137"/>
      <c r="L201" s="137"/>
      <c r="O201" s="136"/>
      <c r="R201" s="126"/>
    </row>
    <row r="202">
      <c r="A202" s="61"/>
      <c r="B202" s="151"/>
      <c r="C202" s="152"/>
      <c r="D202" s="61"/>
      <c r="E202" s="130"/>
      <c r="F202" s="139"/>
      <c r="G202" s="61"/>
      <c r="H202" s="131"/>
      <c r="K202" s="137"/>
      <c r="L202" s="137"/>
      <c r="O202" s="136"/>
      <c r="R202" s="126"/>
    </row>
    <row r="203">
      <c r="A203" s="61"/>
      <c r="B203" s="151"/>
      <c r="C203" s="152"/>
      <c r="D203" s="61"/>
      <c r="E203" s="130"/>
      <c r="F203" s="139"/>
      <c r="G203" s="61"/>
      <c r="H203" s="131"/>
      <c r="K203" s="137"/>
      <c r="L203" s="137"/>
      <c r="O203" s="136"/>
      <c r="R203" s="126"/>
    </row>
    <row r="204">
      <c r="A204" s="61"/>
      <c r="B204" s="151"/>
      <c r="C204" s="152"/>
      <c r="D204" s="61"/>
      <c r="E204" s="130"/>
      <c r="F204" s="139"/>
      <c r="G204" s="61"/>
      <c r="H204" s="131"/>
      <c r="K204" s="137"/>
      <c r="L204" s="137"/>
      <c r="O204" s="136"/>
      <c r="R204" s="126"/>
    </row>
    <row r="205">
      <c r="A205" s="61"/>
      <c r="B205" s="151"/>
      <c r="C205" s="152"/>
      <c r="D205" s="61"/>
      <c r="E205" s="130"/>
      <c r="F205" s="139"/>
      <c r="G205" s="61"/>
      <c r="H205" s="131"/>
      <c r="K205" s="137"/>
      <c r="L205" s="137"/>
      <c r="O205" s="136"/>
      <c r="R205" s="126"/>
    </row>
    <row r="206">
      <c r="A206" s="61"/>
      <c r="B206" s="151"/>
      <c r="C206" s="152"/>
      <c r="D206" s="61"/>
      <c r="E206" s="130"/>
      <c r="F206" s="139"/>
      <c r="G206" s="61"/>
      <c r="H206" s="131"/>
      <c r="K206" s="137"/>
      <c r="L206" s="137"/>
      <c r="O206" s="136"/>
      <c r="R206" s="126"/>
    </row>
    <row r="207">
      <c r="A207" s="61"/>
      <c r="B207" s="151"/>
      <c r="C207" s="152"/>
      <c r="D207" s="61"/>
      <c r="E207" s="130"/>
      <c r="F207" s="139"/>
      <c r="G207" s="61"/>
      <c r="H207" s="131"/>
      <c r="K207" s="137"/>
      <c r="L207" s="137"/>
      <c r="O207" s="136"/>
      <c r="R207" s="126"/>
    </row>
    <row r="208">
      <c r="A208" s="61"/>
      <c r="B208" s="151"/>
      <c r="C208" s="152"/>
      <c r="D208" s="61"/>
      <c r="E208" s="130"/>
      <c r="F208" s="139"/>
      <c r="G208" s="61"/>
      <c r="H208" s="131"/>
      <c r="K208" s="137"/>
      <c r="L208" s="137"/>
      <c r="O208" s="136"/>
      <c r="R208" s="126"/>
    </row>
    <row r="209">
      <c r="A209" s="61"/>
      <c r="B209" s="151"/>
      <c r="C209" s="152"/>
      <c r="D209" s="61"/>
      <c r="E209" s="130"/>
      <c r="F209" s="139"/>
      <c r="G209" s="61"/>
      <c r="H209" s="131"/>
      <c r="K209" s="137"/>
      <c r="L209" s="137"/>
      <c r="O209" s="136"/>
      <c r="R209" s="126"/>
    </row>
    <row r="210">
      <c r="A210" s="61"/>
      <c r="B210" s="151"/>
      <c r="C210" s="152"/>
      <c r="D210" s="61"/>
      <c r="E210" s="130"/>
      <c r="F210" s="139"/>
      <c r="G210" s="61"/>
      <c r="H210" s="131"/>
      <c r="K210" s="137"/>
      <c r="L210" s="137"/>
      <c r="O210" s="136"/>
      <c r="R210" s="126"/>
    </row>
    <row r="211">
      <c r="A211" s="61"/>
      <c r="B211" s="151"/>
      <c r="C211" s="152"/>
      <c r="D211" s="61"/>
      <c r="E211" s="130"/>
      <c r="F211" s="139"/>
      <c r="G211" s="61"/>
      <c r="H211" s="131"/>
      <c r="K211" s="137"/>
      <c r="L211" s="137"/>
      <c r="O211" s="136"/>
      <c r="R211" s="126"/>
    </row>
    <row r="212">
      <c r="A212" s="61"/>
      <c r="B212" s="151"/>
      <c r="C212" s="152"/>
      <c r="D212" s="61"/>
      <c r="E212" s="130"/>
      <c r="F212" s="139"/>
      <c r="G212" s="61"/>
      <c r="H212" s="131"/>
      <c r="K212" s="137"/>
      <c r="L212" s="137"/>
      <c r="O212" s="136"/>
      <c r="R212" s="126"/>
    </row>
    <row r="213">
      <c r="A213" s="61"/>
      <c r="B213" s="151"/>
      <c r="C213" s="152"/>
      <c r="D213" s="61"/>
      <c r="E213" s="130"/>
      <c r="F213" s="139"/>
      <c r="G213" s="61"/>
      <c r="H213" s="131"/>
      <c r="K213" s="137"/>
      <c r="L213" s="137"/>
      <c r="O213" s="136"/>
      <c r="R213" s="126"/>
    </row>
    <row r="214">
      <c r="A214" s="61"/>
      <c r="B214" s="151"/>
      <c r="C214" s="152"/>
      <c r="D214" s="61"/>
      <c r="E214" s="130"/>
      <c r="F214" s="139"/>
      <c r="G214" s="61"/>
      <c r="H214" s="131"/>
      <c r="K214" s="137"/>
      <c r="L214" s="137"/>
      <c r="O214" s="136"/>
      <c r="R214" s="126"/>
    </row>
    <row r="215">
      <c r="A215" s="61"/>
      <c r="B215" s="151"/>
      <c r="C215" s="152"/>
      <c r="D215" s="61"/>
      <c r="E215" s="130"/>
      <c r="F215" s="139"/>
      <c r="G215" s="61"/>
      <c r="H215" s="131"/>
      <c r="K215" s="137"/>
      <c r="L215" s="137"/>
      <c r="O215" s="136"/>
      <c r="R215" s="126"/>
    </row>
    <row r="216">
      <c r="A216" s="61"/>
      <c r="B216" s="151"/>
      <c r="C216" s="152"/>
      <c r="D216" s="61"/>
      <c r="E216" s="130"/>
      <c r="F216" s="139"/>
      <c r="G216" s="61"/>
      <c r="H216" s="131"/>
      <c r="K216" s="137"/>
      <c r="L216" s="137"/>
      <c r="O216" s="136"/>
      <c r="R216" s="126"/>
    </row>
    <row r="217">
      <c r="A217" s="61"/>
      <c r="B217" s="151"/>
      <c r="C217" s="152"/>
      <c r="D217" s="61"/>
      <c r="E217" s="130"/>
      <c r="F217" s="139"/>
      <c r="G217" s="61"/>
      <c r="H217" s="131"/>
      <c r="K217" s="137"/>
      <c r="L217" s="137"/>
      <c r="O217" s="136"/>
      <c r="R217" s="126"/>
    </row>
    <row r="218">
      <c r="A218" s="61"/>
      <c r="B218" s="151"/>
      <c r="C218" s="152"/>
      <c r="D218" s="61"/>
      <c r="E218" s="130"/>
      <c r="F218" s="139"/>
      <c r="G218" s="61"/>
      <c r="H218" s="131"/>
      <c r="K218" s="137"/>
      <c r="L218" s="137"/>
      <c r="O218" s="136"/>
      <c r="R218" s="126"/>
    </row>
    <row r="219">
      <c r="A219" s="61"/>
      <c r="B219" s="151"/>
      <c r="C219" s="152"/>
      <c r="D219" s="61"/>
      <c r="E219" s="130"/>
      <c r="F219" s="139"/>
      <c r="G219" s="61"/>
      <c r="H219" s="131"/>
      <c r="K219" s="137"/>
      <c r="L219" s="137"/>
      <c r="O219" s="136"/>
      <c r="R219" s="126"/>
    </row>
    <row r="220">
      <c r="A220" s="61"/>
      <c r="B220" s="151"/>
      <c r="C220" s="152"/>
      <c r="D220" s="61"/>
      <c r="E220" s="130"/>
      <c r="F220" s="139"/>
      <c r="G220" s="61"/>
      <c r="H220" s="131"/>
      <c r="K220" s="137"/>
      <c r="L220" s="137"/>
      <c r="O220" s="136"/>
      <c r="R220" s="126"/>
    </row>
    <row r="221">
      <c r="A221" s="61"/>
      <c r="B221" s="151"/>
      <c r="C221" s="152"/>
      <c r="D221" s="61"/>
      <c r="E221" s="130"/>
      <c r="F221" s="139"/>
      <c r="G221" s="61"/>
      <c r="H221" s="131"/>
      <c r="K221" s="137"/>
      <c r="L221" s="137"/>
      <c r="O221" s="136"/>
      <c r="R221" s="126"/>
    </row>
    <row r="222">
      <c r="A222" s="61"/>
      <c r="B222" s="151"/>
      <c r="C222" s="152"/>
      <c r="D222" s="61"/>
      <c r="E222" s="130"/>
      <c r="F222" s="139"/>
      <c r="G222" s="61"/>
      <c r="H222" s="131"/>
      <c r="K222" s="137"/>
      <c r="L222" s="137"/>
      <c r="O222" s="136"/>
      <c r="R222" s="126"/>
    </row>
    <row r="223">
      <c r="A223" s="61"/>
      <c r="B223" s="151"/>
      <c r="C223" s="152"/>
      <c r="D223" s="61"/>
      <c r="E223" s="130"/>
      <c r="F223" s="139"/>
      <c r="G223" s="61"/>
      <c r="H223" s="131"/>
      <c r="K223" s="137"/>
      <c r="L223" s="137"/>
      <c r="O223" s="136"/>
      <c r="R223" s="126"/>
    </row>
    <row r="224">
      <c r="A224" s="61"/>
      <c r="B224" s="151"/>
      <c r="C224" s="152"/>
      <c r="D224" s="61"/>
      <c r="E224" s="130"/>
      <c r="F224" s="139"/>
      <c r="G224" s="61"/>
      <c r="H224" s="131"/>
      <c r="K224" s="137"/>
      <c r="L224" s="137"/>
      <c r="O224" s="136"/>
      <c r="R224" s="126"/>
    </row>
    <row r="225">
      <c r="A225" s="61"/>
      <c r="B225" s="151"/>
      <c r="C225" s="152"/>
      <c r="D225" s="61"/>
      <c r="E225" s="130"/>
      <c r="F225" s="139"/>
      <c r="G225" s="61"/>
      <c r="H225" s="131"/>
      <c r="K225" s="137"/>
      <c r="L225" s="137"/>
      <c r="O225" s="136"/>
      <c r="R225" s="126"/>
    </row>
    <row r="226">
      <c r="A226" s="61"/>
      <c r="B226" s="151"/>
      <c r="C226" s="152"/>
      <c r="D226" s="61"/>
      <c r="E226" s="130"/>
      <c r="F226" s="139"/>
      <c r="G226" s="61"/>
      <c r="H226" s="131"/>
      <c r="K226" s="137"/>
      <c r="L226" s="137"/>
      <c r="O226" s="136"/>
      <c r="R226" s="126"/>
    </row>
    <row r="227">
      <c r="A227" s="61"/>
      <c r="B227" s="151"/>
      <c r="C227" s="152"/>
      <c r="D227" s="61"/>
      <c r="E227" s="130"/>
      <c r="F227" s="139"/>
      <c r="G227" s="61"/>
      <c r="H227" s="131"/>
      <c r="K227" s="137"/>
      <c r="L227" s="137"/>
      <c r="O227" s="136"/>
      <c r="R227" s="126"/>
    </row>
    <row r="228">
      <c r="A228" s="61"/>
      <c r="B228" s="151"/>
      <c r="C228" s="152"/>
      <c r="D228" s="61"/>
      <c r="E228" s="130"/>
      <c r="F228" s="139"/>
      <c r="G228" s="61"/>
      <c r="H228" s="131"/>
      <c r="K228" s="137"/>
      <c r="L228" s="137"/>
      <c r="O228" s="136"/>
      <c r="R228" s="126"/>
    </row>
    <row r="229">
      <c r="B229" s="153"/>
      <c r="C229" s="154"/>
      <c r="E229" s="155"/>
      <c r="F229" s="156"/>
      <c r="H229" s="131"/>
      <c r="K229" s="137"/>
      <c r="L229" s="137"/>
      <c r="O229" s="136"/>
      <c r="R229" s="126"/>
    </row>
    <row r="230">
      <c r="B230" s="153"/>
      <c r="C230" s="154"/>
      <c r="E230" s="155"/>
      <c r="F230" s="156"/>
      <c r="H230" s="131"/>
      <c r="K230" s="137"/>
      <c r="L230" s="137"/>
      <c r="O230" s="136"/>
      <c r="R230" s="126"/>
    </row>
    <row r="231">
      <c r="B231" s="153"/>
      <c r="C231" s="154"/>
      <c r="E231" s="155"/>
      <c r="F231" s="156"/>
      <c r="H231" s="131"/>
      <c r="K231" s="137"/>
      <c r="L231" s="137"/>
      <c r="O231" s="136"/>
      <c r="R231" s="126"/>
    </row>
    <row r="232">
      <c r="B232" s="153"/>
      <c r="C232" s="154"/>
      <c r="E232" s="155"/>
      <c r="F232" s="156"/>
      <c r="H232" s="131"/>
      <c r="K232" s="137"/>
      <c r="L232" s="137"/>
      <c r="O232" s="136"/>
      <c r="R232" s="126"/>
    </row>
    <row r="233">
      <c r="B233" s="153"/>
      <c r="C233" s="154"/>
      <c r="E233" s="155"/>
      <c r="F233" s="156"/>
      <c r="H233" s="131"/>
      <c r="K233" s="137"/>
      <c r="L233" s="137"/>
      <c r="O233" s="136"/>
      <c r="R233" s="126"/>
    </row>
    <row r="234">
      <c r="B234" s="153"/>
      <c r="C234" s="154"/>
      <c r="E234" s="155"/>
      <c r="F234" s="156"/>
      <c r="H234" s="131"/>
      <c r="K234" s="137"/>
      <c r="L234" s="137"/>
      <c r="O234" s="136"/>
      <c r="R234" s="126"/>
    </row>
    <row r="235">
      <c r="B235" s="153"/>
      <c r="C235" s="154"/>
      <c r="E235" s="155"/>
      <c r="F235" s="156"/>
      <c r="H235" s="131"/>
      <c r="K235" s="137"/>
      <c r="L235" s="137"/>
      <c r="O235" s="136"/>
      <c r="R235" s="126"/>
    </row>
    <row r="236">
      <c r="B236" s="153"/>
      <c r="C236" s="154"/>
      <c r="E236" s="155"/>
      <c r="F236" s="156"/>
      <c r="H236" s="131"/>
      <c r="K236" s="137"/>
      <c r="L236" s="137"/>
      <c r="O236" s="136"/>
      <c r="R236" s="126"/>
    </row>
    <row r="237">
      <c r="B237" s="153"/>
      <c r="C237" s="154"/>
      <c r="E237" s="155"/>
      <c r="F237" s="156"/>
      <c r="H237" s="131"/>
      <c r="K237" s="137"/>
      <c r="L237" s="137"/>
      <c r="O237" s="136"/>
      <c r="R237" s="126"/>
    </row>
    <row r="238">
      <c r="B238" s="153"/>
      <c r="C238" s="154"/>
      <c r="E238" s="155"/>
      <c r="F238" s="156"/>
      <c r="H238" s="131"/>
      <c r="K238" s="137"/>
      <c r="L238" s="137"/>
      <c r="O238" s="136"/>
      <c r="R238" s="126"/>
    </row>
    <row r="239">
      <c r="B239" s="153"/>
      <c r="C239" s="154"/>
      <c r="E239" s="155"/>
      <c r="F239" s="156"/>
      <c r="H239" s="131"/>
      <c r="K239" s="137"/>
      <c r="L239" s="137"/>
      <c r="O239" s="136"/>
      <c r="R239" s="126"/>
    </row>
    <row r="240">
      <c r="B240" s="153"/>
      <c r="C240" s="154"/>
      <c r="E240" s="155"/>
      <c r="F240" s="156"/>
      <c r="H240" s="131"/>
      <c r="K240" s="137"/>
      <c r="L240" s="137"/>
      <c r="O240" s="136"/>
      <c r="R240" s="126"/>
    </row>
    <row r="241">
      <c r="B241" s="153"/>
      <c r="C241" s="154"/>
      <c r="E241" s="155"/>
      <c r="F241" s="156"/>
      <c r="H241" s="131"/>
      <c r="K241" s="137"/>
      <c r="L241" s="137"/>
      <c r="O241" s="136"/>
      <c r="R241" s="126"/>
    </row>
    <row r="242">
      <c r="B242" s="153"/>
      <c r="C242" s="154"/>
      <c r="E242" s="155"/>
      <c r="F242" s="156"/>
      <c r="H242" s="131"/>
      <c r="K242" s="137"/>
      <c r="L242" s="137"/>
      <c r="O242" s="136"/>
      <c r="R242" s="126"/>
    </row>
    <row r="243">
      <c r="B243" s="153"/>
      <c r="C243" s="154"/>
      <c r="E243" s="155"/>
      <c r="F243" s="156"/>
      <c r="H243" s="131"/>
      <c r="K243" s="137"/>
      <c r="L243" s="137"/>
      <c r="O243" s="136"/>
      <c r="R243" s="126"/>
    </row>
    <row r="244">
      <c r="B244" s="153"/>
      <c r="C244" s="154"/>
      <c r="E244" s="155"/>
      <c r="F244" s="156"/>
      <c r="H244" s="131"/>
      <c r="K244" s="137"/>
      <c r="L244" s="137"/>
      <c r="O244" s="136"/>
      <c r="R244" s="126"/>
    </row>
    <row r="245">
      <c r="B245" s="153"/>
      <c r="C245" s="154"/>
      <c r="E245" s="155"/>
      <c r="F245" s="156"/>
      <c r="H245" s="131"/>
      <c r="K245" s="137"/>
      <c r="L245" s="137"/>
      <c r="O245" s="136"/>
      <c r="R245" s="126"/>
    </row>
    <row r="246">
      <c r="B246" s="153"/>
      <c r="C246" s="154"/>
      <c r="E246" s="155"/>
      <c r="F246" s="156"/>
      <c r="H246" s="131"/>
      <c r="K246" s="137"/>
      <c r="L246" s="137"/>
      <c r="O246" s="136"/>
      <c r="R246" s="126"/>
    </row>
    <row r="247">
      <c r="B247" s="153"/>
      <c r="C247" s="154"/>
      <c r="E247" s="155"/>
      <c r="F247" s="156"/>
      <c r="H247" s="131"/>
      <c r="K247" s="137"/>
      <c r="L247" s="137"/>
      <c r="O247" s="136"/>
      <c r="R247" s="126"/>
    </row>
    <row r="248">
      <c r="B248" s="153"/>
      <c r="C248" s="154"/>
      <c r="E248" s="155"/>
      <c r="F248" s="156"/>
      <c r="H248" s="131"/>
      <c r="K248" s="137"/>
      <c r="L248" s="137"/>
      <c r="O248" s="136"/>
      <c r="R248" s="126"/>
    </row>
    <row r="249">
      <c r="B249" s="153"/>
      <c r="C249" s="154"/>
      <c r="E249" s="155"/>
      <c r="F249" s="156"/>
      <c r="H249" s="131"/>
      <c r="K249" s="137"/>
      <c r="L249" s="137"/>
      <c r="O249" s="136"/>
      <c r="R249" s="126"/>
    </row>
    <row r="250">
      <c r="B250" s="153"/>
      <c r="C250" s="154"/>
      <c r="E250" s="155"/>
      <c r="F250" s="156"/>
      <c r="H250" s="131"/>
      <c r="K250" s="137"/>
      <c r="L250" s="137"/>
      <c r="O250" s="136"/>
      <c r="R250" s="126"/>
    </row>
    <row r="251">
      <c r="B251" s="153"/>
      <c r="C251" s="154"/>
      <c r="E251" s="155"/>
      <c r="F251" s="156"/>
      <c r="H251" s="131"/>
      <c r="K251" s="137"/>
      <c r="L251" s="137"/>
      <c r="O251" s="136"/>
      <c r="R251" s="126"/>
    </row>
    <row r="252">
      <c r="B252" s="153"/>
      <c r="C252" s="154"/>
      <c r="E252" s="155"/>
      <c r="F252" s="156"/>
      <c r="H252" s="131"/>
      <c r="K252" s="137"/>
      <c r="L252" s="137"/>
      <c r="O252" s="136"/>
      <c r="R252" s="126"/>
    </row>
    <row r="253">
      <c r="B253" s="153"/>
      <c r="C253" s="154"/>
      <c r="E253" s="155"/>
      <c r="F253" s="156"/>
      <c r="H253" s="131"/>
      <c r="K253" s="137"/>
      <c r="L253" s="137"/>
      <c r="O253" s="136"/>
      <c r="R253" s="126"/>
    </row>
    <row r="254">
      <c r="B254" s="153"/>
      <c r="C254" s="154"/>
      <c r="E254" s="155"/>
      <c r="F254" s="156"/>
      <c r="H254" s="131"/>
      <c r="K254" s="137"/>
      <c r="L254" s="137"/>
      <c r="O254" s="136"/>
      <c r="R254" s="126"/>
    </row>
    <row r="255">
      <c r="B255" s="153"/>
      <c r="C255" s="154"/>
      <c r="E255" s="155"/>
      <c r="F255" s="156"/>
      <c r="H255" s="131"/>
      <c r="K255" s="137"/>
      <c r="L255" s="137"/>
      <c r="O255" s="136"/>
      <c r="R255" s="126"/>
    </row>
    <row r="256">
      <c r="B256" s="153"/>
      <c r="C256" s="154"/>
      <c r="E256" s="155"/>
      <c r="F256" s="156"/>
      <c r="H256" s="131"/>
      <c r="K256" s="137"/>
      <c r="L256" s="137"/>
      <c r="O256" s="136"/>
      <c r="R256" s="126"/>
    </row>
    <row r="257">
      <c r="B257" s="153"/>
      <c r="C257" s="154"/>
      <c r="E257" s="155"/>
      <c r="F257" s="156"/>
      <c r="H257" s="131"/>
      <c r="K257" s="137"/>
      <c r="L257" s="137"/>
      <c r="O257" s="136"/>
      <c r="R257" s="126"/>
    </row>
    <row r="258">
      <c r="B258" s="153"/>
      <c r="C258" s="154"/>
      <c r="E258" s="155"/>
      <c r="F258" s="156"/>
      <c r="H258" s="131"/>
      <c r="K258" s="137"/>
      <c r="L258" s="137"/>
      <c r="O258" s="136"/>
      <c r="R258" s="126"/>
    </row>
    <row r="259">
      <c r="B259" s="153"/>
      <c r="C259" s="154"/>
      <c r="E259" s="155"/>
      <c r="F259" s="156"/>
      <c r="H259" s="131"/>
      <c r="K259" s="137"/>
      <c r="L259" s="137"/>
      <c r="O259" s="136"/>
      <c r="R259" s="126"/>
    </row>
    <row r="260">
      <c r="B260" s="153"/>
      <c r="C260" s="154"/>
      <c r="E260" s="155"/>
      <c r="F260" s="156"/>
      <c r="H260" s="131"/>
      <c r="K260" s="137"/>
      <c r="L260" s="137"/>
      <c r="O260" s="136"/>
      <c r="R260" s="126"/>
    </row>
    <row r="261">
      <c r="B261" s="153"/>
      <c r="C261" s="154"/>
      <c r="E261" s="155"/>
      <c r="F261" s="156"/>
      <c r="H261" s="131"/>
      <c r="K261" s="137"/>
      <c r="L261" s="137"/>
      <c r="O261" s="136"/>
      <c r="R261" s="126"/>
    </row>
    <row r="262">
      <c r="B262" s="153"/>
      <c r="C262" s="154"/>
      <c r="E262" s="155"/>
      <c r="F262" s="156"/>
      <c r="H262" s="131"/>
      <c r="K262" s="137"/>
      <c r="L262" s="137"/>
      <c r="O262" s="136"/>
      <c r="R262" s="126"/>
    </row>
    <row r="263">
      <c r="B263" s="153"/>
      <c r="C263" s="154"/>
      <c r="E263" s="155"/>
      <c r="F263" s="156"/>
      <c r="H263" s="131"/>
      <c r="K263" s="137"/>
      <c r="L263" s="137"/>
      <c r="O263" s="136"/>
      <c r="R263" s="126"/>
    </row>
    <row r="264">
      <c r="B264" s="153"/>
      <c r="C264" s="154"/>
      <c r="E264" s="155"/>
      <c r="F264" s="156"/>
      <c r="H264" s="131"/>
      <c r="K264" s="137"/>
      <c r="L264" s="137"/>
      <c r="O264" s="136"/>
      <c r="R264" s="126"/>
    </row>
    <row r="265">
      <c r="B265" s="153"/>
      <c r="C265" s="154"/>
      <c r="E265" s="155"/>
      <c r="F265" s="156"/>
      <c r="H265" s="131"/>
      <c r="K265" s="137"/>
      <c r="L265" s="137"/>
      <c r="O265" s="136"/>
      <c r="R265" s="126"/>
    </row>
    <row r="266">
      <c r="B266" s="153"/>
      <c r="C266" s="154"/>
      <c r="E266" s="155"/>
      <c r="F266" s="156"/>
      <c r="H266" s="131"/>
      <c r="K266" s="137"/>
      <c r="L266" s="137"/>
      <c r="O266" s="136"/>
      <c r="R266" s="126"/>
    </row>
    <row r="267">
      <c r="B267" s="153"/>
      <c r="C267" s="154"/>
      <c r="E267" s="155"/>
      <c r="F267" s="156"/>
      <c r="H267" s="131"/>
      <c r="K267" s="137"/>
      <c r="L267" s="137"/>
      <c r="O267" s="136"/>
      <c r="R267" s="126"/>
    </row>
    <row r="268">
      <c r="B268" s="153"/>
      <c r="C268" s="154"/>
      <c r="E268" s="155"/>
      <c r="F268" s="156"/>
      <c r="H268" s="131"/>
      <c r="K268" s="137"/>
      <c r="L268" s="137"/>
      <c r="O268" s="136"/>
      <c r="R268" s="126"/>
    </row>
    <row r="269">
      <c r="B269" s="153"/>
      <c r="C269" s="154"/>
      <c r="E269" s="155"/>
      <c r="F269" s="156"/>
      <c r="H269" s="131"/>
      <c r="K269" s="137"/>
      <c r="L269" s="137"/>
      <c r="O269" s="136"/>
      <c r="R269" s="126"/>
    </row>
    <row r="270">
      <c r="B270" s="153"/>
      <c r="C270" s="154"/>
      <c r="E270" s="155"/>
      <c r="F270" s="156"/>
      <c r="H270" s="131"/>
      <c r="K270" s="137"/>
      <c r="L270" s="137"/>
      <c r="O270" s="136"/>
      <c r="R270" s="126"/>
    </row>
    <row r="271">
      <c r="B271" s="153"/>
      <c r="C271" s="154"/>
      <c r="E271" s="155"/>
      <c r="F271" s="156"/>
      <c r="H271" s="131"/>
      <c r="K271" s="137"/>
      <c r="L271" s="137"/>
      <c r="O271" s="136"/>
      <c r="R271" s="126"/>
    </row>
    <row r="272">
      <c r="B272" s="153"/>
      <c r="C272" s="154"/>
      <c r="E272" s="155"/>
      <c r="F272" s="156"/>
      <c r="H272" s="131"/>
      <c r="K272" s="137"/>
      <c r="L272" s="137"/>
      <c r="O272" s="136"/>
      <c r="R272" s="126"/>
    </row>
    <row r="273">
      <c r="B273" s="153"/>
      <c r="C273" s="154"/>
      <c r="E273" s="155"/>
      <c r="F273" s="156"/>
      <c r="H273" s="131"/>
      <c r="K273" s="137"/>
      <c r="L273" s="137"/>
      <c r="O273" s="136"/>
      <c r="R273" s="126"/>
    </row>
    <row r="274">
      <c r="B274" s="153"/>
      <c r="C274" s="154"/>
      <c r="E274" s="155"/>
      <c r="F274" s="156"/>
      <c r="H274" s="131"/>
      <c r="K274" s="137"/>
      <c r="L274" s="137"/>
      <c r="O274" s="136"/>
      <c r="R274" s="126"/>
    </row>
    <row r="275">
      <c r="B275" s="153"/>
      <c r="C275" s="154"/>
      <c r="E275" s="155"/>
      <c r="F275" s="156"/>
      <c r="H275" s="131"/>
      <c r="K275" s="137"/>
      <c r="L275" s="137"/>
      <c r="O275" s="136"/>
      <c r="R275" s="126"/>
    </row>
    <row r="276">
      <c r="B276" s="153"/>
      <c r="C276" s="154"/>
      <c r="E276" s="155"/>
      <c r="F276" s="156"/>
      <c r="H276" s="131"/>
      <c r="K276" s="137"/>
      <c r="L276" s="137"/>
      <c r="O276" s="136"/>
      <c r="R276" s="126"/>
    </row>
    <row r="277">
      <c r="B277" s="153"/>
      <c r="C277" s="154"/>
      <c r="E277" s="155"/>
      <c r="F277" s="156"/>
      <c r="H277" s="131"/>
      <c r="K277" s="137"/>
      <c r="L277" s="137"/>
      <c r="O277" s="136"/>
      <c r="R277" s="126"/>
    </row>
    <row r="278">
      <c r="B278" s="153"/>
      <c r="C278" s="154"/>
      <c r="E278" s="155"/>
      <c r="F278" s="156"/>
      <c r="H278" s="131"/>
      <c r="K278" s="137"/>
      <c r="L278" s="137"/>
      <c r="O278" s="136"/>
      <c r="R278" s="126"/>
    </row>
    <row r="279">
      <c r="B279" s="153"/>
      <c r="C279" s="154"/>
      <c r="E279" s="155"/>
      <c r="F279" s="156"/>
      <c r="H279" s="131"/>
      <c r="K279" s="137"/>
      <c r="L279" s="137"/>
      <c r="O279" s="136"/>
      <c r="R279" s="126"/>
    </row>
    <row r="280">
      <c r="B280" s="153"/>
      <c r="C280" s="154"/>
      <c r="E280" s="155"/>
      <c r="F280" s="156"/>
      <c r="H280" s="131"/>
      <c r="K280" s="137"/>
      <c r="L280" s="137"/>
      <c r="O280" s="136"/>
      <c r="R280" s="126"/>
    </row>
    <row r="281">
      <c r="B281" s="153"/>
      <c r="C281" s="154"/>
      <c r="E281" s="155"/>
      <c r="F281" s="156"/>
      <c r="H281" s="131"/>
      <c r="K281" s="137"/>
      <c r="L281" s="137"/>
      <c r="O281" s="136"/>
      <c r="R281" s="126"/>
    </row>
    <row r="282">
      <c r="B282" s="153"/>
      <c r="C282" s="154"/>
      <c r="E282" s="155"/>
      <c r="F282" s="156"/>
      <c r="H282" s="131"/>
      <c r="K282" s="137"/>
      <c r="L282" s="137"/>
      <c r="O282" s="136"/>
      <c r="R282" s="126"/>
    </row>
    <row r="283">
      <c r="B283" s="153"/>
      <c r="C283" s="154"/>
      <c r="E283" s="155"/>
      <c r="F283" s="156"/>
      <c r="H283" s="131"/>
      <c r="K283" s="137"/>
      <c r="L283" s="137"/>
      <c r="O283" s="136"/>
      <c r="R283" s="126"/>
    </row>
    <row r="284">
      <c r="B284" s="153"/>
      <c r="C284" s="154"/>
      <c r="E284" s="155"/>
      <c r="F284" s="156"/>
      <c r="H284" s="131"/>
      <c r="K284" s="137"/>
      <c r="L284" s="137"/>
      <c r="O284" s="136"/>
      <c r="R284" s="126"/>
    </row>
    <row r="285">
      <c r="B285" s="153"/>
      <c r="C285" s="154"/>
      <c r="E285" s="155"/>
      <c r="F285" s="156"/>
      <c r="H285" s="131"/>
      <c r="K285" s="137"/>
      <c r="L285" s="137"/>
      <c r="O285" s="136"/>
      <c r="R285" s="126"/>
    </row>
    <row r="286">
      <c r="B286" s="153"/>
      <c r="C286" s="154"/>
      <c r="E286" s="155"/>
      <c r="F286" s="156"/>
      <c r="H286" s="131"/>
      <c r="K286" s="137"/>
      <c r="L286" s="137"/>
      <c r="O286" s="136"/>
      <c r="R286" s="126"/>
    </row>
    <row r="287">
      <c r="B287" s="153"/>
      <c r="C287" s="154"/>
      <c r="E287" s="155"/>
      <c r="F287" s="156"/>
      <c r="H287" s="131"/>
      <c r="K287" s="137"/>
      <c r="L287" s="137"/>
      <c r="O287" s="136"/>
      <c r="R287" s="126"/>
    </row>
    <row r="288">
      <c r="B288" s="153"/>
      <c r="C288" s="154"/>
      <c r="E288" s="155"/>
      <c r="F288" s="156"/>
      <c r="H288" s="131"/>
      <c r="K288" s="137"/>
      <c r="L288" s="137"/>
      <c r="O288" s="136"/>
      <c r="R288" s="126"/>
    </row>
    <row r="289">
      <c r="B289" s="153"/>
      <c r="C289" s="154"/>
      <c r="E289" s="155"/>
      <c r="F289" s="156"/>
      <c r="H289" s="131"/>
      <c r="K289" s="137"/>
      <c r="L289" s="137"/>
      <c r="O289" s="136"/>
      <c r="R289" s="126"/>
    </row>
    <row r="290">
      <c r="B290" s="153"/>
      <c r="C290" s="154"/>
      <c r="E290" s="155"/>
      <c r="F290" s="156"/>
      <c r="H290" s="131"/>
      <c r="K290" s="137"/>
      <c r="L290" s="137"/>
      <c r="O290" s="136"/>
      <c r="R290" s="126"/>
    </row>
    <row r="291">
      <c r="B291" s="153"/>
      <c r="C291" s="154"/>
      <c r="E291" s="155"/>
      <c r="F291" s="156"/>
      <c r="H291" s="131"/>
      <c r="K291" s="137"/>
      <c r="L291" s="137"/>
      <c r="O291" s="136"/>
      <c r="R291" s="126"/>
    </row>
    <row r="292">
      <c r="B292" s="153"/>
      <c r="C292" s="154"/>
      <c r="E292" s="155"/>
      <c r="F292" s="156"/>
      <c r="H292" s="131"/>
      <c r="K292" s="137"/>
      <c r="L292" s="137"/>
      <c r="O292" s="136"/>
      <c r="R292" s="126"/>
    </row>
    <row r="293">
      <c r="B293" s="153"/>
      <c r="C293" s="154"/>
      <c r="E293" s="155"/>
      <c r="F293" s="156"/>
      <c r="H293" s="131"/>
      <c r="K293" s="137"/>
      <c r="L293" s="137"/>
      <c r="O293" s="136"/>
      <c r="R293" s="126"/>
    </row>
    <row r="294">
      <c r="B294" s="153"/>
      <c r="C294" s="154"/>
      <c r="E294" s="155"/>
      <c r="F294" s="156"/>
      <c r="H294" s="131"/>
      <c r="K294" s="137"/>
      <c r="L294" s="137"/>
      <c r="O294" s="136"/>
      <c r="R294" s="126"/>
    </row>
    <row r="295">
      <c r="B295" s="153"/>
      <c r="C295" s="154"/>
      <c r="E295" s="155"/>
      <c r="F295" s="156"/>
      <c r="H295" s="131"/>
      <c r="K295" s="137"/>
      <c r="L295" s="137"/>
      <c r="O295" s="136"/>
      <c r="R295" s="126"/>
    </row>
    <row r="296">
      <c r="B296" s="153"/>
      <c r="C296" s="154"/>
      <c r="E296" s="155"/>
      <c r="F296" s="156"/>
      <c r="H296" s="131"/>
      <c r="K296" s="137"/>
      <c r="L296" s="137"/>
      <c r="O296" s="136"/>
      <c r="R296" s="126"/>
    </row>
    <row r="297">
      <c r="B297" s="153"/>
      <c r="C297" s="154"/>
      <c r="E297" s="155"/>
      <c r="F297" s="156"/>
      <c r="H297" s="131"/>
      <c r="K297" s="137"/>
      <c r="L297" s="137"/>
      <c r="O297" s="136"/>
      <c r="R297" s="126"/>
    </row>
    <row r="298">
      <c r="B298" s="153"/>
      <c r="C298" s="154"/>
      <c r="E298" s="155"/>
      <c r="F298" s="156"/>
      <c r="H298" s="131"/>
      <c r="K298" s="137"/>
      <c r="L298" s="137"/>
      <c r="O298" s="136"/>
      <c r="R298" s="126"/>
    </row>
    <row r="299">
      <c r="B299" s="153"/>
      <c r="C299" s="154"/>
      <c r="E299" s="155"/>
      <c r="F299" s="156"/>
      <c r="H299" s="131"/>
      <c r="K299" s="137"/>
      <c r="L299" s="137"/>
      <c r="O299" s="136"/>
      <c r="R299" s="126"/>
    </row>
    <row r="300">
      <c r="B300" s="153"/>
      <c r="C300" s="154"/>
      <c r="E300" s="155"/>
      <c r="F300" s="156"/>
      <c r="H300" s="131"/>
      <c r="K300" s="137"/>
      <c r="L300" s="137"/>
      <c r="O300" s="136"/>
      <c r="R300" s="126"/>
    </row>
    <row r="301">
      <c r="B301" s="153"/>
      <c r="C301" s="154"/>
      <c r="E301" s="155"/>
      <c r="F301" s="156"/>
      <c r="H301" s="131"/>
      <c r="K301" s="137"/>
      <c r="L301" s="137"/>
      <c r="O301" s="136"/>
      <c r="R301" s="126"/>
    </row>
    <row r="302">
      <c r="B302" s="153"/>
      <c r="C302" s="154"/>
      <c r="E302" s="155"/>
      <c r="F302" s="156"/>
      <c r="H302" s="131"/>
      <c r="K302" s="137"/>
      <c r="L302" s="137"/>
      <c r="O302" s="136"/>
      <c r="R302" s="126"/>
    </row>
    <row r="303">
      <c r="B303" s="153"/>
      <c r="C303" s="154"/>
      <c r="E303" s="155"/>
      <c r="F303" s="156"/>
      <c r="H303" s="131"/>
      <c r="K303" s="137"/>
      <c r="L303" s="137"/>
      <c r="O303" s="136"/>
      <c r="R303" s="126"/>
    </row>
    <row r="304">
      <c r="B304" s="153"/>
      <c r="C304" s="154"/>
      <c r="E304" s="155"/>
      <c r="F304" s="156"/>
      <c r="H304" s="131"/>
      <c r="K304" s="137"/>
      <c r="L304" s="137"/>
      <c r="O304" s="136"/>
      <c r="R304" s="126"/>
    </row>
    <row r="305">
      <c r="B305" s="153"/>
      <c r="C305" s="154"/>
      <c r="E305" s="155"/>
      <c r="F305" s="156"/>
      <c r="H305" s="131"/>
      <c r="K305" s="137"/>
      <c r="L305" s="137"/>
      <c r="O305" s="136"/>
      <c r="R305" s="126"/>
    </row>
    <row r="306">
      <c r="B306" s="153"/>
      <c r="C306" s="154"/>
      <c r="E306" s="155"/>
      <c r="F306" s="156"/>
      <c r="H306" s="131"/>
      <c r="K306" s="137"/>
      <c r="L306" s="137"/>
      <c r="O306" s="136"/>
      <c r="R306" s="126"/>
    </row>
    <row r="307">
      <c r="B307" s="153"/>
      <c r="C307" s="154"/>
      <c r="E307" s="155"/>
      <c r="F307" s="156"/>
      <c r="H307" s="131"/>
      <c r="K307" s="137"/>
      <c r="L307" s="137"/>
      <c r="O307" s="136"/>
      <c r="R307" s="126"/>
    </row>
    <row r="308">
      <c r="B308" s="153"/>
      <c r="C308" s="154"/>
      <c r="E308" s="155"/>
      <c r="F308" s="156"/>
      <c r="H308" s="131"/>
      <c r="K308" s="137"/>
      <c r="L308" s="137"/>
      <c r="O308" s="136"/>
      <c r="R308" s="126"/>
    </row>
    <row r="309">
      <c r="B309" s="153"/>
      <c r="C309" s="154"/>
      <c r="E309" s="155"/>
      <c r="F309" s="156"/>
      <c r="H309" s="131"/>
      <c r="K309" s="137"/>
      <c r="L309" s="137"/>
      <c r="O309" s="136"/>
      <c r="R309" s="126"/>
    </row>
    <row r="310">
      <c r="B310" s="153"/>
      <c r="C310" s="154"/>
      <c r="E310" s="155"/>
      <c r="F310" s="156"/>
      <c r="H310" s="131"/>
      <c r="K310" s="137"/>
      <c r="L310" s="137"/>
      <c r="O310" s="136"/>
      <c r="R310" s="126"/>
    </row>
    <row r="311">
      <c r="B311" s="153"/>
      <c r="C311" s="154"/>
      <c r="E311" s="155"/>
      <c r="F311" s="156"/>
      <c r="H311" s="131"/>
      <c r="K311" s="137"/>
      <c r="L311" s="137"/>
      <c r="O311" s="136"/>
      <c r="R311" s="126"/>
    </row>
    <row r="312">
      <c r="B312" s="153"/>
      <c r="C312" s="154"/>
      <c r="E312" s="155"/>
      <c r="F312" s="156"/>
      <c r="H312" s="131"/>
      <c r="K312" s="137"/>
      <c r="L312" s="137"/>
      <c r="O312" s="136"/>
      <c r="R312" s="126"/>
    </row>
    <row r="313">
      <c r="B313" s="153"/>
      <c r="C313" s="154"/>
      <c r="E313" s="155"/>
      <c r="F313" s="156"/>
      <c r="H313" s="131"/>
      <c r="K313" s="137"/>
      <c r="L313" s="137"/>
      <c r="O313" s="136"/>
      <c r="R313" s="126"/>
    </row>
    <row r="314">
      <c r="B314" s="153"/>
      <c r="C314" s="154"/>
      <c r="E314" s="155"/>
      <c r="F314" s="156"/>
      <c r="H314" s="131"/>
      <c r="K314" s="137"/>
      <c r="L314" s="137"/>
      <c r="O314" s="136"/>
      <c r="R314" s="126"/>
    </row>
    <row r="315">
      <c r="B315" s="153"/>
      <c r="C315" s="154"/>
      <c r="E315" s="155"/>
      <c r="F315" s="156"/>
      <c r="H315" s="131"/>
      <c r="K315" s="137"/>
      <c r="L315" s="137"/>
      <c r="O315" s="136"/>
      <c r="R315" s="126"/>
    </row>
    <row r="316">
      <c r="B316" s="153"/>
      <c r="C316" s="154"/>
      <c r="E316" s="155"/>
      <c r="F316" s="156"/>
      <c r="H316" s="131"/>
      <c r="K316" s="137"/>
      <c r="L316" s="137"/>
      <c r="O316" s="136"/>
      <c r="R316" s="126"/>
    </row>
    <row r="317">
      <c r="B317" s="153"/>
      <c r="C317" s="154"/>
      <c r="E317" s="155"/>
      <c r="F317" s="156"/>
      <c r="H317" s="131"/>
      <c r="K317" s="137"/>
      <c r="L317" s="137"/>
      <c r="O317" s="136"/>
      <c r="R317" s="126"/>
    </row>
    <row r="318">
      <c r="B318" s="153"/>
      <c r="C318" s="154"/>
      <c r="E318" s="155"/>
      <c r="F318" s="156"/>
      <c r="H318" s="131"/>
      <c r="K318" s="137"/>
      <c r="L318" s="137"/>
      <c r="O318" s="136"/>
      <c r="R318" s="126"/>
    </row>
    <row r="319">
      <c r="B319" s="153"/>
      <c r="C319" s="154"/>
      <c r="E319" s="155"/>
      <c r="F319" s="156"/>
      <c r="H319" s="131"/>
      <c r="K319" s="137"/>
      <c r="L319" s="137"/>
      <c r="O319" s="136"/>
      <c r="R319" s="126"/>
    </row>
    <row r="320">
      <c r="B320" s="153"/>
      <c r="C320" s="154"/>
      <c r="E320" s="155"/>
      <c r="F320" s="156"/>
      <c r="H320" s="131"/>
      <c r="K320" s="137"/>
      <c r="L320" s="137"/>
      <c r="O320" s="136"/>
      <c r="R320" s="126"/>
    </row>
    <row r="321">
      <c r="B321" s="153"/>
      <c r="C321" s="154"/>
      <c r="E321" s="155"/>
      <c r="F321" s="156"/>
      <c r="H321" s="131"/>
      <c r="K321" s="137"/>
      <c r="L321" s="137"/>
      <c r="O321" s="136"/>
      <c r="R321" s="126"/>
    </row>
    <row r="322">
      <c r="B322" s="153"/>
      <c r="C322" s="154"/>
      <c r="E322" s="155"/>
      <c r="F322" s="156"/>
      <c r="H322" s="131"/>
      <c r="K322" s="137"/>
      <c r="L322" s="137"/>
      <c r="O322" s="136"/>
      <c r="R322" s="126"/>
    </row>
    <row r="323">
      <c r="B323" s="153"/>
      <c r="C323" s="154"/>
      <c r="E323" s="155"/>
      <c r="F323" s="156"/>
      <c r="H323" s="131"/>
      <c r="K323" s="137"/>
      <c r="L323" s="137"/>
      <c r="O323" s="136"/>
      <c r="R323" s="126"/>
    </row>
    <row r="324">
      <c r="B324" s="153"/>
      <c r="C324" s="154"/>
      <c r="E324" s="155"/>
      <c r="F324" s="156"/>
      <c r="H324" s="131"/>
      <c r="K324" s="137"/>
      <c r="L324" s="137"/>
      <c r="O324" s="136"/>
      <c r="R324" s="126"/>
    </row>
    <row r="325">
      <c r="B325" s="153"/>
      <c r="C325" s="154"/>
      <c r="E325" s="155"/>
      <c r="F325" s="156"/>
      <c r="H325" s="131"/>
      <c r="K325" s="137"/>
      <c r="L325" s="137"/>
      <c r="O325" s="136"/>
      <c r="R325" s="126"/>
    </row>
    <row r="326">
      <c r="B326" s="153"/>
      <c r="C326" s="154"/>
      <c r="E326" s="155"/>
      <c r="F326" s="156"/>
      <c r="H326" s="131"/>
      <c r="K326" s="137"/>
      <c r="L326" s="137"/>
      <c r="O326" s="136"/>
      <c r="R326" s="126"/>
    </row>
    <row r="327">
      <c r="B327" s="153"/>
      <c r="C327" s="154"/>
      <c r="E327" s="155"/>
      <c r="F327" s="156"/>
      <c r="H327" s="131"/>
      <c r="K327" s="137"/>
      <c r="L327" s="137"/>
      <c r="O327" s="136"/>
      <c r="R327" s="126"/>
    </row>
    <row r="328">
      <c r="B328" s="153"/>
      <c r="C328" s="154"/>
      <c r="E328" s="155"/>
      <c r="F328" s="156"/>
      <c r="H328" s="131"/>
      <c r="K328" s="137"/>
      <c r="L328" s="137"/>
      <c r="O328" s="136"/>
      <c r="R328" s="126"/>
    </row>
    <row r="329">
      <c r="B329" s="153"/>
      <c r="C329" s="154"/>
      <c r="E329" s="155"/>
      <c r="F329" s="156"/>
      <c r="H329" s="131"/>
      <c r="K329" s="137"/>
      <c r="L329" s="137"/>
      <c r="O329" s="136"/>
      <c r="R329" s="126"/>
    </row>
    <row r="330">
      <c r="B330" s="153"/>
      <c r="C330" s="154"/>
      <c r="E330" s="155"/>
      <c r="F330" s="156"/>
      <c r="H330" s="131"/>
      <c r="K330" s="137"/>
      <c r="L330" s="137"/>
      <c r="O330" s="136"/>
      <c r="R330" s="126"/>
    </row>
    <row r="331">
      <c r="B331" s="153"/>
      <c r="C331" s="154"/>
      <c r="E331" s="155"/>
      <c r="F331" s="156"/>
      <c r="H331" s="131"/>
      <c r="K331" s="137"/>
      <c r="L331" s="137"/>
      <c r="O331" s="136"/>
      <c r="R331" s="126"/>
    </row>
    <row r="332">
      <c r="B332" s="153"/>
      <c r="C332" s="154"/>
      <c r="E332" s="155"/>
      <c r="F332" s="156"/>
      <c r="H332" s="131"/>
      <c r="K332" s="137"/>
      <c r="L332" s="137"/>
      <c r="O332" s="136"/>
      <c r="R332" s="126"/>
    </row>
    <row r="333">
      <c r="B333" s="153"/>
      <c r="C333" s="154"/>
      <c r="E333" s="155"/>
      <c r="F333" s="156"/>
      <c r="H333" s="131"/>
      <c r="K333" s="137"/>
      <c r="L333" s="137"/>
      <c r="O333" s="136"/>
      <c r="R333" s="126"/>
    </row>
    <row r="334">
      <c r="B334" s="153"/>
      <c r="C334" s="154"/>
      <c r="E334" s="155"/>
      <c r="F334" s="156"/>
      <c r="H334" s="131"/>
      <c r="K334" s="137"/>
      <c r="L334" s="137"/>
      <c r="O334" s="136"/>
      <c r="R334" s="126"/>
    </row>
    <row r="335">
      <c r="B335" s="153"/>
      <c r="C335" s="154"/>
      <c r="E335" s="155"/>
      <c r="F335" s="156"/>
      <c r="H335" s="131"/>
      <c r="K335" s="137"/>
      <c r="L335" s="137"/>
      <c r="O335" s="136"/>
      <c r="R335" s="126"/>
    </row>
    <row r="336">
      <c r="B336" s="153"/>
      <c r="C336" s="154"/>
      <c r="E336" s="155"/>
      <c r="F336" s="156"/>
      <c r="H336" s="131"/>
      <c r="K336" s="137"/>
      <c r="L336" s="137"/>
      <c r="O336" s="136"/>
      <c r="R336" s="126"/>
    </row>
    <row r="337">
      <c r="B337" s="153"/>
      <c r="C337" s="154"/>
      <c r="E337" s="155"/>
      <c r="F337" s="156"/>
      <c r="H337" s="131"/>
      <c r="K337" s="137"/>
      <c r="L337" s="137"/>
      <c r="O337" s="136"/>
      <c r="R337" s="126"/>
    </row>
    <row r="338">
      <c r="B338" s="153"/>
      <c r="C338" s="154"/>
      <c r="E338" s="155"/>
      <c r="F338" s="156"/>
      <c r="H338" s="131"/>
      <c r="K338" s="137"/>
      <c r="L338" s="137"/>
      <c r="O338" s="136"/>
      <c r="R338" s="126"/>
    </row>
    <row r="339">
      <c r="B339" s="153"/>
      <c r="C339" s="154"/>
      <c r="E339" s="155"/>
      <c r="F339" s="156"/>
      <c r="H339" s="131"/>
      <c r="K339" s="137"/>
      <c r="L339" s="137"/>
      <c r="O339" s="136"/>
      <c r="R339" s="126"/>
    </row>
    <row r="340">
      <c r="B340" s="153"/>
      <c r="C340" s="154"/>
      <c r="E340" s="155"/>
      <c r="F340" s="156"/>
      <c r="H340" s="131"/>
      <c r="K340" s="137"/>
      <c r="L340" s="137"/>
      <c r="O340" s="136"/>
      <c r="R340" s="126"/>
    </row>
    <row r="341">
      <c r="B341" s="153"/>
      <c r="C341" s="154"/>
      <c r="E341" s="155"/>
      <c r="F341" s="156"/>
      <c r="H341" s="131"/>
      <c r="K341" s="137"/>
      <c r="L341" s="137"/>
      <c r="O341" s="136"/>
      <c r="R341" s="126"/>
    </row>
    <row r="342">
      <c r="B342" s="153"/>
      <c r="C342" s="154"/>
      <c r="E342" s="155"/>
      <c r="F342" s="156"/>
      <c r="H342" s="131"/>
      <c r="K342" s="137"/>
      <c r="L342" s="137"/>
      <c r="O342" s="136"/>
      <c r="R342" s="126"/>
    </row>
    <row r="343">
      <c r="B343" s="153"/>
      <c r="C343" s="154"/>
      <c r="E343" s="155"/>
      <c r="F343" s="156"/>
      <c r="H343" s="131"/>
      <c r="K343" s="137"/>
      <c r="L343" s="137"/>
      <c r="O343" s="136"/>
      <c r="R343" s="126"/>
    </row>
    <row r="344">
      <c r="B344" s="153"/>
      <c r="C344" s="154"/>
      <c r="E344" s="155"/>
      <c r="F344" s="156"/>
      <c r="H344" s="131"/>
      <c r="K344" s="137"/>
      <c r="L344" s="137"/>
      <c r="O344" s="136"/>
      <c r="R344" s="126"/>
    </row>
    <row r="345">
      <c r="B345" s="153"/>
      <c r="C345" s="154"/>
      <c r="E345" s="155"/>
      <c r="F345" s="156"/>
      <c r="H345" s="131"/>
      <c r="K345" s="137"/>
      <c r="L345" s="137"/>
      <c r="O345" s="136"/>
      <c r="R345" s="126"/>
    </row>
    <row r="346">
      <c r="B346" s="153"/>
      <c r="C346" s="154"/>
      <c r="E346" s="155"/>
      <c r="F346" s="156"/>
      <c r="H346" s="131"/>
      <c r="K346" s="137"/>
      <c r="L346" s="137"/>
      <c r="O346" s="136"/>
      <c r="R346" s="126"/>
    </row>
    <row r="347">
      <c r="B347" s="153"/>
      <c r="C347" s="154"/>
      <c r="E347" s="155"/>
      <c r="F347" s="156"/>
      <c r="H347" s="131"/>
      <c r="K347" s="137"/>
      <c r="L347" s="137"/>
      <c r="O347" s="136"/>
      <c r="R347" s="126"/>
    </row>
    <row r="348">
      <c r="B348" s="153"/>
      <c r="C348" s="154"/>
      <c r="E348" s="155"/>
      <c r="F348" s="156"/>
      <c r="H348" s="131"/>
      <c r="K348" s="137"/>
      <c r="L348" s="137"/>
      <c r="O348" s="136"/>
      <c r="R348" s="126"/>
    </row>
    <row r="349">
      <c r="B349" s="153"/>
      <c r="C349" s="154"/>
      <c r="E349" s="155"/>
      <c r="F349" s="156"/>
      <c r="H349" s="131"/>
      <c r="K349" s="137"/>
      <c r="L349" s="137"/>
      <c r="O349" s="136"/>
      <c r="R349" s="126"/>
    </row>
    <row r="350">
      <c r="B350" s="153"/>
      <c r="C350" s="154"/>
      <c r="E350" s="155"/>
      <c r="F350" s="156"/>
      <c r="H350" s="131"/>
      <c r="K350" s="137"/>
      <c r="L350" s="137"/>
      <c r="O350" s="136"/>
      <c r="R350" s="126"/>
    </row>
    <row r="351">
      <c r="B351" s="153"/>
      <c r="C351" s="154"/>
      <c r="E351" s="155"/>
      <c r="F351" s="156"/>
      <c r="H351" s="131"/>
      <c r="K351" s="137"/>
      <c r="L351" s="137"/>
      <c r="O351" s="136"/>
      <c r="R351" s="126"/>
    </row>
    <row r="352">
      <c r="B352" s="153"/>
      <c r="C352" s="154"/>
      <c r="E352" s="155"/>
      <c r="F352" s="156"/>
      <c r="H352" s="131"/>
      <c r="K352" s="137"/>
      <c r="L352" s="137"/>
      <c r="O352" s="136"/>
      <c r="R352" s="126"/>
    </row>
    <row r="353">
      <c r="B353" s="153"/>
      <c r="C353" s="154"/>
      <c r="E353" s="155"/>
      <c r="F353" s="156"/>
      <c r="H353" s="131"/>
      <c r="K353" s="137"/>
      <c r="L353" s="137"/>
      <c r="O353" s="136"/>
      <c r="R353" s="126"/>
    </row>
    <row r="354">
      <c r="B354" s="153"/>
      <c r="C354" s="154"/>
      <c r="E354" s="155"/>
      <c r="F354" s="156"/>
      <c r="H354" s="131"/>
      <c r="K354" s="137"/>
      <c r="L354" s="137"/>
      <c r="O354" s="136"/>
      <c r="R354" s="126"/>
    </row>
    <row r="355">
      <c r="B355" s="153"/>
      <c r="C355" s="154"/>
      <c r="E355" s="155"/>
      <c r="F355" s="156"/>
      <c r="H355" s="131"/>
      <c r="K355" s="137"/>
      <c r="L355" s="137"/>
      <c r="O355" s="136"/>
      <c r="R355" s="126"/>
    </row>
    <row r="356">
      <c r="B356" s="153"/>
      <c r="C356" s="154"/>
      <c r="E356" s="155"/>
      <c r="F356" s="156"/>
      <c r="H356" s="131"/>
      <c r="K356" s="137"/>
      <c r="L356" s="137"/>
      <c r="O356" s="136"/>
      <c r="R356" s="126"/>
    </row>
    <row r="357">
      <c r="B357" s="153"/>
      <c r="C357" s="154"/>
      <c r="E357" s="155"/>
      <c r="F357" s="156"/>
      <c r="H357" s="131"/>
      <c r="K357" s="137"/>
      <c r="L357" s="137"/>
      <c r="O357" s="136"/>
      <c r="R357" s="126"/>
    </row>
    <row r="358">
      <c r="B358" s="153"/>
      <c r="C358" s="154"/>
      <c r="E358" s="155"/>
      <c r="F358" s="156"/>
      <c r="H358" s="131"/>
      <c r="K358" s="137"/>
      <c r="L358" s="137"/>
      <c r="O358" s="136"/>
      <c r="R358" s="126"/>
    </row>
    <row r="359">
      <c r="B359" s="153"/>
      <c r="C359" s="154"/>
      <c r="E359" s="155"/>
      <c r="F359" s="156"/>
      <c r="H359" s="131"/>
      <c r="K359" s="137"/>
      <c r="L359" s="137"/>
      <c r="O359" s="136"/>
      <c r="R359" s="126"/>
    </row>
    <row r="360">
      <c r="B360" s="153"/>
      <c r="C360" s="154"/>
      <c r="E360" s="155"/>
      <c r="F360" s="156"/>
      <c r="H360" s="131"/>
      <c r="K360" s="137"/>
      <c r="L360" s="137"/>
      <c r="O360" s="136"/>
      <c r="R360" s="126"/>
    </row>
    <row r="361">
      <c r="B361" s="153"/>
      <c r="C361" s="154"/>
      <c r="E361" s="155"/>
      <c r="F361" s="156"/>
      <c r="H361" s="131"/>
      <c r="K361" s="137"/>
      <c r="L361" s="137"/>
      <c r="O361" s="136"/>
      <c r="R361" s="126"/>
    </row>
    <row r="362">
      <c r="B362" s="153"/>
      <c r="C362" s="154"/>
      <c r="E362" s="155"/>
      <c r="F362" s="156"/>
      <c r="H362" s="131"/>
      <c r="K362" s="137"/>
      <c r="L362" s="137"/>
      <c r="O362" s="136"/>
      <c r="R362" s="126"/>
    </row>
    <row r="363">
      <c r="B363" s="153"/>
      <c r="C363" s="154"/>
      <c r="E363" s="155"/>
      <c r="F363" s="156"/>
      <c r="H363" s="131"/>
      <c r="K363" s="137"/>
      <c r="L363" s="137"/>
      <c r="O363" s="136"/>
      <c r="R363" s="126"/>
    </row>
    <row r="364">
      <c r="B364" s="153"/>
      <c r="C364" s="154"/>
      <c r="E364" s="155"/>
      <c r="F364" s="156"/>
      <c r="H364" s="131"/>
      <c r="K364" s="137"/>
      <c r="L364" s="137"/>
      <c r="O364" s="136"/>
      <c r="R364" s="126"/>
    </row>
    <row r="365">
      <c r="B365" s="153"/>
      <c r="C365" s="154"/>
      <c r="E365" s="155"/>
      <c r="F365" s="156"/>
      <c r="H365" s="131"/>
      <c r="K365" s="137"/>
      <c r="L365" s="137"/>
      <c r="O365" s="136"/>
      <c r="R365" s="126"/>
    </row>
    <row r="366">
      <c r="B366" s="153"/>
      <c r="C366" s="154"/>
      <c r="E366" s="155"/>
      <c r="F366" s="156"/>
      <c r="H366" s="131"/>
      <c r="K366" s="137"/>
      <c r="L366" s="137"/>
      <c r="O366" s="136"/>
      <c r="R366" s="126"/>
    </row>
    <row r="367">
      <c r="B367" s="153"/>
      <c r="C367" s="154"/>
      <c r="E367" s="155"/>
      <c r="F367" s="156"/>
      <c r="H367" s="131"/>
      <c r="K367" s="137"/>
      <c r="L367" s="137"/>
      <c r="O367" s="136"/>
      <c r="R367" s="126"/>
    </row>
    <row r="368">
      <c r="B368" s="153"/>
      <c r="C368" s="154"/>
      <c r="E368" s="155"/>
      <c r="F368" s="156"/>
      <c r="H368" s="131"/>
      <c r="K368" s="137"/>
      <c r="L368" s="137"/>
      <c r="O368" s="136"/>
      <c r="R368" s="126"/>
    </row>
    <row r="369">
      <c r="B369" s="153"/>
      <c r="C369" s="154"/>
      <c r="E369" s="155"/>
      <c r="F369" s="156"/>
      <c r="H369" s="131"/>
      <c r="K369" s="137"/>
      <c r="L369" s="137"/>
      <c r="O369" s="136"/>
      <c r="R369" s="126"/>
    </row>
    <row r="370">
      <c r="B370" s="153"/>
      <c r="C370" s="154"/>
      <c r="E370" s="155"/>
      <c r="F370" s="156"/>
      <c r="H370" s="131"/>
      <c r="K370" s="137"/>
      <c r="L370" s="137"/>
      <c r="O370" s="136"/>
      <c r="R370" s="126"/>
    </row>
    <row r="371">
      <c r="B371" s="153"/>
      <c r="C371" s="154"/>
      <c r="E371" s="155"/>
      <c r="F371" s="156"/>
      <c r="H371" s="131"/>
      <c r="K371" s="137"/>
      <c r="L371" s="137"/>
      <c r="O371" s="136"/>
      <c r="R371" s="126"/>
    </row>
    <row r="372">
      <c r="B372" s="153"/>
      <c r="C372" s="154"/>
      <c r="E372" s="155"/>
      <c r="F372" s="156"/>
      <c r="H372" s="131"/>
      <c r="K372" s="137"/>
      <c r="L372" s="137"/>
      <c r="O372" s="136"/>
      <c r="R372" s="126"/>
    </row>
    <row r="373">
      <c r="B373" s="153"/>
      <c r="C373" s="154"/>
      <c r="E373" s="155"/>
      <c r="F373" s="156"/>
      <c r="H373" s="131"/>
      <c r="K373" s="137"/>
      <c r="L373" s="137"/>
      <c r="O373" s="136"/>
      <c r="R373" s="126"/>
    </row>
    <row r="374">
      <c r="B374" s="153"/>
      <c r="C374" s="154"/>
      <c r="E374" s="155"/>
      <c r="F374" s="156"/>
      <c r="H374" s="131"/>
      <c r="K374" s="137"/>
      <c r="L374" s="137"/>
      <c r="O374" s="136"/>
      <c r="R374" s="126"/>
    </row>
    <row r="375">
      <c r="B375" s="153"/>
      <c r="C375" s="154"/>
      <c r="E375" s="155"/>
      <c r="F375" s="156"/>
      <c r="H375" s="131"/>
      <c r="K375" s="137"/>
      <c r="L375" s="137"/>
      <c r="O375" s="136"/>
      <c r="R375" s="126"/>
    </row>
    <row r="376">
      <c r="B376" s="153"/>
      <c r="C376" s="154"/>
      <c r="E376" s="155"/>
      <c r="F376" s="156"/>
      <c r="H376" s="131"/>
      <c r="K376" s="137"/>
      <c r="L376" s="137"/>
      <c r="O376" s="136"/>
      <c r="R376" s="126"/>
    </row>
    <row r="377">
      <c r="B377" s="153"/>
      <c r="C377" s="154"/>
      <c r="E377" s="155"/>
      <c r="F377" s="156"/>
      <c r="H377" s="131"/>
      <c r="K377" s="137"/>
      <c r="L377" s="137"/>
      <c r="O377" s="136"/>
      <c r="R377" s="126"/>
    </row>
    <row r="378">
      <c r="B378" s="153"/>
      <c r="C378" s="154"/>
      <c r="E378" s="155"/>
      <c r="F378" s="156"/>
      <c r="H378" s="131"/>
      <c r="K378" s="137"/>
      <c r="L378" s="137"/>
      <c r="O378" s="136"/>
      <c r="R378" s="126"/>
    </row>
    <row r="379">
      <c r="B379" s="153"/>
      <c r="C379" s="154"/>
      <c r="E379" s="155"/>
      <c r="F379" s="156"/>
      <c r="H379" s="131"/>
      <c r="K379" s="137"/>
      <c r="L379" s="137"/>
      <c r="O379" s="136"/>
      <c r="R379" s="126"/>
    </row>
    <row r="380">
      <c r="B380" s="153"/>
      <c r="C380" s="154"/>
      <c r="E380" s="155"/>
      <c r="F380" s="156"/>
      <c r="H380" s="131"/>
      <c r="K380" s="137"/>
      <c r="L380" s="137"/>
      <c r="O380" s="136"/>
      <c r="R380" s="126"/>
    </row>
    <row r="381">
      <c r="B381" s="153"/>
      <c r="C381" s="154"/>
      <c r="E381" s="155"/>
      <c r="F381" s="156"/>
      <c r="H381" s="131"/>
      <c r="K381" s="137"/>
      <c r="L381" s="137"/>
      <c r="O381" s="136"/>
      <c r="R381" s="126"/>
    </row>
    <row r="382">
      <c r="B382" s="153"/>
      <c r="C382" s="154"/>
      <c r="E382" s="155"/>
      <c r="F382" s="156"/>
      <c r="H382" s="131"/>
      <c r="K382" s="137"/>
      <c r="L382" s="137"/>
      <c r="O382" s="136"/>
      <c r="R382" s="126"/>
    </row>
    <row r="383">
      <c r="B383" s="153"/>
      <c r="C383" s="154"/>
      <c r="E383" s="155"/>
      <c r="F383" s="156"/>
      <c r="H383" s="131"/>
      <c r="K383" s="137"/>
      <c r="L383" s="137"/>
      <c r="O383" s="136"/>
      <c r="R383" s="126"/>
    </row>
    <row r="384">
      <c r="B384" s="153"/>
      <c r="C384" s="154"/>
      <c r="E384" s="155"/>
      <c r="F384" s="156"/>
      <c r="H384" s="131"/>
      <c r="K384" s="137"/>
      <c r="L384" s="137"/>
      <c r="O384" s="136"/>
      <c r="R384" s="126"/>
    </row>
    <row r="385">
      <c r="B385" s="153"/>
      <c r="C385" s="154"/>
      <c r="E385" s="155"/>
      <c r="F385" s="156"/>
      <c r="H385" s="131"/>
      <c r="K385" s="137"/>
      <c r="L385" s="137"/>
      <c r="O385" s="136"/>
      <c r="R385" s="126"/>
    </row>
    <row r="386">
      <c r="B386" s="153"/>
      <c r="C386" s="154"/>
      <c r="E386" s="155"/>
      <c r="F386" s="156"/>
      <c r="H386" s="131"/>
      <c r="K386" s="137"/>
      <c r="L386" s="137"/>
      <c r="O386" s="136"/>
      <c r="R386" s="126"/>
    </row>
    <row r="387">
      <c r="B387" s="153"/>
      <c r="C387" s="154"/>
      <c r="E387" s="155"/>
      <c r="F387" s="156"/>
      <c r="H387" s="131"/>
      <c r="K387" s="137"/>
      <c r="L387" s="137"/>
      <c r="O387" s="136"/>
      <c r="R387" s="126"/>
    </row>
    <row r="388">
      <c r="B388" s="153"/>
      <c r="C388" s="154"/>
      <c r="E388" s="155"/>
      <c r="F388" s="156"/>
      <c r="H388" s="131"/>
      <c r="K388" s="137"/>
      <c r="L388" s="137"/>
      <c r="O388" s="136"/>
      <c r="R388" s="126"/>
    </row>
    <row r="389">
      <c r="B389" s="153"/>
      <c r="C389" s="154"/>
      <c r="E389" s="155"/>
      <c r="F389" s="156"/>
      <c r="H389" s="131"/>
      <c r="K389" s="137"/>
      <c r="L389" s="137"/>
      <c r="O389" s="136"/>
      <c r="R389" s="126"/>
    </row>
    <row r="390">
      <c r="B390" s="153"/>
      <c r="C390" s="154"/>
      <c r="E390" s="155"/>
      <c r="F390" s="156"/>
      <c r="H390" s="131"/>
      <c r="K390" s="137"/>
      <c r="L390" s="137"/>
      <c r="O390" s="136"/>
      <c r="R390" s="126"/>
    </row>
    <row r="391">
      <c r="B391" s="153"/>
      <c r="C391" s="154"/>
      <c r="E391" s="155"/>
      <c r="F391" s="156"/>
      <c r="H391" s="131"/>
      <c r="K391" s="137"/>
      <c r="L391" s="137"/>
      <c r="O391" s="136"/>
      <c r="R391" s="126"/>
    </row>
    <row r="392">
      <c r="B392" s="153"/>
      <c r="C392" s="154"/>
      <c r="E392" s="155"/>
      <c r="F392" s="156"/>
      <c r="H392" s="131"/>
      <c r="K392" s="137"/>
      <c r="L392" s="137"/>
      <c r="O392" s="136"/>
      <c r="R392" s="126"/>
    </row>
    <row r="393">
      <c r="B393" s="153"/>
      <c r="C393" s="154"/>
      <c r="E393" s="155"/>
      <c r="F393" s="156"/>
      <c r="H393" s="131"/>
      <c r="K393" s="137"/>
      <c r="L393" s="137"/>
      <c r="O393" s="136"/>
      <c r="R393" s="126"/>
    </row>
    <row r="394">
      <c r="B394" s="153"/>
      <c r="C394" s="154"/>
      <c r="E394" s="155"/>
      <c r="F394" s="156"/>
      <c r="H394" s="131"/>
      <c r="K394" s="137"/>
      <c r="L394" s="137"/>
      <c r="O394" s="136"/>
      <c r="R394" s="126"/>
    </row>
    <row r="395">
      <c r="B395" s="153"/>
      <c r="C395" s="154"/>
      <c r="E395" s="155"/>
      <c r="F395" s="156"/>
      <c r="H395" s="131"/>
      <c r="K395" s="137"/>
      <c r="L395" s="137"/>
      <c r="O395" s="136"/>
      <c r="R395" s="126"/>
    </row>
    <row r="396">
      <c r="B396" s="153"/>
      <c r="C396" s="154"/>
      <c r="E396" s="155"/>
      <c r="F396" s="156"/>
      <c r="H396" s="131"/>
      <c r="K396" s="137"/>
      <c r="L396" s="137"/>
      <c r="O396" s="136"/>
      <c r="R396" s="126"/>
    </row>
    <row r="397">
      <c r="B397" s="153"/>
      <c r="C397" s="154"/>
      <c r="E397" s="155"/>
      <c r="F397" s="156"/>
      <c r="H397" s="131"/>
      <c r="K397" s="137"/>
      <c r="L397" s="137"/>
      <c r="O397" s="136"/>
      <c r="R397" s="126"/>
    </row>
    <row r="398">
      <c r="B398" s="153"/>
      <c r="C398" s="154"/>
      <c r="E398" s="155"/>
      <c r="F398" s="156"/>
      <c r="H398" s="131"/>
      <c r="K398" s="137"/>
      <c r="L398" s="137"/>
      <c r="O398" s="136"/>
      <c r="R398" s="126"/>
    </row>
    <row r="399">
      <c r="B399" s="153"/>
      <c r="C399" s="154"/>
      <c r="E399" s="155"/>
      <c r="F399" s="156"/>
      <c r="H399" s="131"/>
      <c r="K399" s="137"/>
      <c r="L399" s="137"/>
      <c r="O399" s="136"/>
      <c r="R399" s="126"/>
    </row>
    <row r="400">
      <c r="B400" s="153"/>
      <c r="C400" s="154"/>
      <c r="E400" s="155"/>
      <c r="F400" s="156"/>
      <c r="H400" s="131"/>
      <c r="K400" s="137"/>
      <c r="L400" s="137"/>
      <c r="O400" s="136"/>
      <c r="R400" s="126"/>
    </row>
    <row r="401">
      <c r="B401" s="153"/>
      <c r="C401" s="154"/>
      <c r="E401" s="155"/>
      <c r="F401" s="156"/>
      <c r="H401" s="131"/>
      <c r="K401" s="137"/>
      <c r="L401" s="137"/>
      <c r="O401" s="136"/>
      <c r="R401" s="126"/>
    </row>
    <row r="402">
      <c r="B402" s="153"/>
      <c r="C402" s="154"/>
      <c r="E402" s="155"/>
      <c r="F402" s="156"/>
      <c r="H402" s="131"/>
      <c r="K402" s="137"/>
      <c r="L402" s="137"/>
      <c r="O402" s="136"/>
      <c r="R402" s="126"/>
    </row>
    <row r="403">
      <c r="B403" s="153"/>
      <c r="C403" s="154"/>
      <c r="E403" s="155"/>
      <c r="F403" s="156"/>
      <c r="H403" s="131"/>
      <c r="K403" s="137"/>
      <c r="L403" s="137"/>
      <c r="O403" s="136"/>
      <c r="R403" s="126"/>
    </row>
    <row r="404">
      <c r="B404" s="153"/>
      <c r="C404" s="154"/>
      <c r="E404" s="155"/>
      <c r="F404" s="156"/>
      <c r="H404" s="131"/>
      <c r="K404" s="137"/>
      <c r="L404" s="137"/>
      <c r="O404" s="136"/>
      <c r="R404" s="126"/>
    </row>
    <row r="405">
      <c r="B405" s="153"/>
      <c r="C405" s="154"/>
      <c r="E405" s="155"/>
      <c r="F405" s="156"/>
      <c r="H405" s="131"/>
      <c r="K405" s="137"/>
      <c r="L405" s="137"/>
      <c r="O405" s="136"/>
      <c r="R405" s="126"/>
    </row>
    <row r="406">
      <c r="B406" s="153"/>
      <c r="C406" s="154"/>
      <c r="E406" s="155"/>
      <c r="F406" s="156"/>
      <c r="H406" s="131"/>
      <c r="K406" s="137"/>
      <c r="L406" s="137"/>
      <c r="O406" s="136"/>
      <c r="R406" s="126"/>
    </row>
    <row r="407">
      <c r="B407" s="153"/>
      <c r="C407" s="154"/>
      <c r="E407" s="155"/>
      <c r="F407" s="156"/>
      <c r="H407" s="131"/>
      <c r="K407" s="137"/>
      <c r="L407" s="137"/>
      <c r="O407" s="136"/>
      <c r="R407" s="126"/>
    </row>
    <row r="408">
      <c r="B408" s="153"/>
      <c r="C408" s="154"/>
      <c r="E408" s="155"/>
      <c r="F408" s="156"/>
      <c r="H408" s="131"/>
      <c r="K408" s="137"/>
      <c r="L408" s="137"/>
      <c r="O408" s="136"/>
      <c r="R408" s="126"/>
    </row>
    <row r="409">
      <c r="B409" s="153"/>
      <c r="C409" s="154"/>
      <c r="E409" s="155"/>
      <c r="F409" s="156"/>
      <c r="H409" s="131"/>
      <c r="K409" s="137"/>
      <c r="L409" s="137"/>
      <c r="O409" s="136"/>
      <c r="R409" s="126"/>
    </row>
    <row r="410">
      <c r="B410" s="153"/>
      <c r="C410" s="154"/>
      <c r="E410" s="155"/>
      <c r="F410" s="156"/>
      <c r="H410" s="131"/>
      <c r="K410" s="137"/>
      <c r="L410" s="137"/>
      <c r="O410" s="136"/>
      <c r="R410" s="126"/>
    </row>
    <row r="411">
      <c r="B411" s="153"/>
      <c r="C411" s="154"/>
      <c r="E411" s="155"/>
      <c r="F411" s="156"/>
      <c r="H411" s="131"/>
      <c r="K411" s="137"/>
      <c r="L411" s="137"/>
      <c r="O411" s="136"/>
      <c r="R411" s="126"/>
    </row>
    <row r="412">
      <c r="B412" s="153"/>
      <c r="C412" s="154"/>
      <c r="E412" s="155"/>
      <c r="F412" s="156"/>
      <c r="H412" s="131"/>
      <c r="K412" s="137"/>
      <c r="L412" s="137"/>
      <c r="O412" s="136"/>
      <c r="R412" s="126"/>
    </row>
    <row r="413">
      <c r="B413" s="153"/>
      <c r="C413" s="154"/>
      <c r="E413" s="155"/>
      <c r="F413" s="156"/>
      <c r="H413" s="131"/>
      <c r="K413" s="137"/>
      <c r="L413" s="137"/>
      <c r="O413" s="136"/>
      <c r="R413" s="126"/>
    </row>
    <row r="414">
      <c r="B414" s="153"/>
      <c r="C414" s="154"/>
      <c r="E414" s="155"/>
      <c r="F414" s="156"/>
      <c r="H414" s="131"/>
      <c r="K414" s="137"/>
      <c r="L414" s="137"/>
      <c r="O414" s="136"/>
      <c r="R414" s="126"/>
    </row>
    <row r="415">
      <c r="B415" s="153"/>
      <c r="C415" s="154"/>
      <c r="E415" s="155"/>
      <c r="F415" s="156"/>
      <c r="H415" s="131"/>
      <c r="K415" s="137"/>
      <c r="L415" s="137"/>
      <c r="O415" s="136"/>
      <c r="R415" s="126"/>
    </row>
    <row r="416">
      <c r="B416" s="153"/>
      <c r="C416" s="154"/>
      <c r="E416" s="155"/>
      <c r="F416" s="156"/>
      <c r="H416" s="131"/>
      <c r="K416" s="137"/>
      <c r="L416" s="137"/>
      <c r="O416" s="136"/>
      <c r="R416" s="126"/>
    </row>
    <row r="417">
      <c r="B417" s="153"/>
      <c r="C417" s="154"/>
      <c r="E417" s="155"/>
      <c r="F417" s="156"/>
      <c r="H417" s="131"/>
      <c r="K417" s="137"/>
      <c r="L417" s="137"/>
      <c r="O417" s="136"/>
      <c r="R417" s="126"/>
    </row>
    <row r="418">
      <c r="B418" s="153"/>
      <c r="C418" s="154"/>
      <c r="E418" s="155"/>
      <c r="F418" s="156"/>
      <c r="H418" s="131"/>
      <c r="K418" s="137"/>
      <c r="L418" s="137"/>
      <c r="O418" s="136"/>
      <c r="R418" s="126"/>
    </row>
    <row r="419">
      <c r="B419" s="153"/>
      <c r="C419" s="154"/>
      <c r="E419" s="155"/>
      <c r="F419" s="156"/>
      <c r="H419" s="131"/>
      <c r="K419" s="137"/>
      <c r="L419" s="137"/>
      <c r="O419" s="136"/>
      <c r="R419" s="126"/>
    </row>
    <row r="420">
      <c r="B420" s="153"/>
      <c r="C420" s="154"/>
      <c r="E420" s="155"/>
      <c r="F420" s="156"/>
      <c r="H420" s="131"/>
      <c r="K420" s="137"/>
      <c r="L420" s="137"/>
      <c r="O420" s="136"/>
      <c r="R420" s="126"/>
    </row>
    <row r="421">
      <c r="B421" s="153"/>
      <c r="C421" s="154"/>
      <c r="E421" s="155"/>
      <c r="F421" s="156"/>
      <c r="H421" s="131"/>
      <c r="K421" s="137"/>
      <c r="L421" s="137"/>
      <c r="O421" s="136"/>
      <c r="R421" s="126"/>
    </row>
    <row r="422">
      <c r="B422" s="153"/>
      <c r="C422" s="154"/>
      <c r="E422" s="155"/>
      <c r="F422" s="156"/>
      <c r="H422" s="131"/>
      <c r="K422" s="137"/>
      <c r="L422" s="137"/>
      <c r="O422" s="136"/>
      <c r="R422" s="126"/>
    </row>
    <row r="423">
      <c r="B423" s="153"/>
      <c r="C423" s="154"/>
      <c r="E423" s="155"/>
      <c r="F423" s="156"/>
      <c r="H423" s="131"/>
      <c r="K423" s="137"/>
      <c r="L423" s="137"/>
      <c r="O423" s="136"/>
      <c r="R423" s="126"/>
    </row>
    <row r="424">
      <c r="B424" s="153"/>
      <c r="C424" s="154"/>
      <c r="E424" s="155"/>
      <c r="F424" s="156"/>
      <c r="H424" s="131"/>
      <c r="K424" s="137"/>
      <c r="L424" s="137"/>
      <c r="O424" s="136"/>
      <c r="R424" s="126"/>
    </row>
    <row r="425">
      <c r="B425" s="153"/>
      <c r="C425" s="154"/>
      <c r="E425" s="155"/>
      <c r="F425" s="156"/>
      <c r="H425" s="131"/>
      <c r="K425" s="137"/>
      <c r="L425" s="137"/>
      <c r="O425" s="136"/>
      <c r="R425" s="126"/>
    </row>
    <row r="426">
      <c r="B426" s="153"/>
      <c r="C426" s="154"/>
      <c r="E426" s="155"/>
      <c r="F426" s="156"/>
      <c r="H426" s="131"/>
      <c r="K426" s="137"/>
      <c r="L426" s="137"/>
      <c r="O426" s="136"/>
      <c r="R426" s="126"/>
    </row>
    <row r="427">
      <c r="B427" s="153"/>
      <c r="C427" s="154"/>
      <c r="E427" s="155"/>
      <c r="F427" s="156"/>
      <c r="H427" s="131"/>
      <c r="K427" s="137"/>
      <c r="L427" s="137"/>
      <c r="O427" s="136"/>
      <c r="R427" s="126"/>
    </row>
    <row r="428">
      <c r="B428" s="153"/>
      <c r="C428" s="154"/>
      <c r="E428" s="155"/>
      <c r="F428" s="156"/>
      <c r="H428" s="131"/>
      <c r="K428" s="137"/>
      <c r="L428" s="137"/>
      <c r="O428" s="136"/>
      <c r="R428" s="126"/>
    </row>
    <row r="429">
      <c r="B429" s="153"/>
      <c r="C429" s="154"/>
      <c r="E429" s="155"/>
      <c r="F429" s="156"/>
      <c r="H429" s="131"/>
      <c r="K429" s="137"/>
      <c r="L429" s="137"/>
      <c r="O429" s="136"/>
      <c r="R429" s="126"/>
    </row>
    <row r="430">
      <c r="B430" s="153"/>
      <c r="C430" s="154"/>
      <c r="E430" s="155"/>
      <c r="F430" s="156"/>
      <c r="H430" s="131"/>
      <c r="K430" s="137"/>
      <c r="L430" s="137"/>
      <c r="O430" s="136"/>
      <c r="R430" s="126"/>
    </row>
    <row r="431">
      <c r="B431" s="153"/>
      <c r="C431" s="154"/>
      <c r="E431" s="155"/>
      <c r="F431" s="156"/>
      <c r="H431" s="131"/>
      <c r="K431" s="137"/>
      <c r="L431" s="137"/>
      <c r="O431" s="136"/>
      <c r="R431" s="126"/>
    </row>
    <row r="432">
      <c r="B432" s="153"/>
      <c r="C432" s="154"/>
      <c r="E432" s="155"/>
      <c r="F432" s="156"/>
      <c r="H432" s="131"/>
      <c r="K432" s="137"/>
      <c r="L432" s="137"/>
      <c r="O432" s="136"/>
      <c r="R432" s="126"/>
    </row>
    <row r="433">
      <c r="B433" s="153"/>
      <c r="C433" s="154"/>
      <c r="E433" s="155"/>
      <c r="F433" s="156"/>
      <c r="H433" s="131"/>
      <c r="K433" s="137"/>
      <c r="L433" s="137"/>
      <c r="O433" s="136"/>
      <c r="R433" s="126"/>
    </row>
    <row r="434">
      <c r="B434" s="153"/>
      <c r="C434" s="154"/>
      <c r="E434" s="155"/>
      <c r="F434" s="156"/>
      <c r="H434" s="131"/>
      <c r="K434" s="137"/>
      <c r="L434" s="137"/>
      <c r="O434" s="136"/>
      <c r="R434" s="126"/>
    </row>
    <row r="435">
      <c r="B435" s="153"/>
      <c r="C435" s="154"/>
      <c r="E435" s="155"/>
      <c r="F435" s="156"/>
      <c r="H435" s="131"/>
      <c r="K435" s="137"/>
      <c r="L435" s="137"/>
      <c r="O435" s="136"/>
      <c r="R435" s="126"/>
    </row>
    <row r="436">
      <c r="B436" s="153"/>
      <c r="C436" s="154"/>
      <c r="E436" s="155"/>
      <c r="F436" s="156"/>
      <c r="H436" s="131"/>
      <c r="K436" s="137"/>
      <c r="L436" s="137"/>
      <c r="O436" s="136"/>
      <c r="R436" s="126"/>
    </row>
    <row r="437">
      <c r="B437" s="153"/>
      <c r="C437" s="154"/>
      <c r="E437" s="155"/>
      <c r="F437" s="156"/>
      <c r="H437" s="131"/>
      <c r="K437" s="137"/>
      <c r="L437" s="137"/>
      <c r="O437" s="136"/>
      <c r="R437" s="126"/>
    </row>
    <row r="438">
      <c r="B438" s="153"/>
      <c r="C438" s="154"/>
      <c r="E438" s="155"/>
      <c r="F438" s="156"/>
      <c r="H438" s="131"/>
      <c r="K438" s="137"/>
      <c r="L438" s="137"/>
      <c r="O438" s="136"/>
      <c r="R438" s="126"/>
    </row>
    <row r="439">
      <c r="B439" s="153"/>
      <c r="C439" s="154"/>
      <c r="E439" s="155"/>
      <c r="F439" s="156"/>
      <c r="H439" s="131"/>
      <c r="K439" s="137"/>
      <c r="L439" s="137"/>
      <c r="O439" s="136"/>
      <c r="R439" s="126"/>
    </row>
    <row r="440">
      <c r="B440" s="153"/>
      <c r="C440" s="154"/>
      <c r="E440" s="155"/>
      <c r="F440" s="156"/>
      <c r="H440" s="131"/>
      <c r="K440" s="137"/>
      <c r="L440" s="137"/>
      <c r="O440" s="136"/>
      <c r="R440" s="126"/>
    </row>
    <row r="441">
      <c r="B441" s="153"/>
      <c r="C441" s="154"/>
      <c r="E441" s="155"/>
      <c r="F441" s="156"/>
      <c r="H441" s="131"/>
      <c r="K441" s="137"/>
      <c r="L441" s="137"/>
      <c r="O441" s="136"/>
      <c r="R441" s="126"/>
    </row>
    <row r="442">
      <c r="B442" s="153"/>
      <c r="C442" s="154"/>
      <c r="E442" s="155"/>
      <c r="F442" s="156"/>
      <c r="H442" s="131"/>
      <c r="K442" s="137"/>
      <c r="L442" s="137"/>
      <c r="O442" s="136"/>
      <c r="R442" s="126"/>
    </row>
    <row r="443">
      <c r="B443" s="153"/>
      <c r="C443" s="154"/>
      <c r="E443" s="155"/>
      <c r="F443" s="156"/>
      <c r="H443" s="131"/>
      <c r="K443" s="137"/>
      <c r="L443" s="137"/>
      <c r="O443" s="136"/>
      <c r="R443" s="126"/>
    </row>
    <row r="444">
      <c r="B444" s="153"/>
      <c r="C444" s="154"/>
      <c r="E444" s="155"/>
      <c r="F444" s="156"/>
      <c r="H444" s="131"/>
      <c r="K444" s="137"/>
      <c r="L444" s="137"/>
      <c r="O444" s="136"/>
      <c r="R444" s="126"/>
    </row>
    <row r="445">
      <c r="B445" s="153"/>
      <c r="C445" s="154"/>
      <c r="E445" s="155"/>
      <c r="F445" s="156"/>
      <c r="H445" s="131"/>
      <c r="K445" s="137"/>
      <c r="L445" s="137"/>
      <c r="O445" s="136"/>
      <c r="R445" s="126"/>
    </row>
    <row r="446">
      <c r="B446" s="153"/>
      <c r="C446" s="154"/>
      <c r="E446" s="155"/>
      <c r="F446" s="156"/>
      <c r="H446" s="131"/>
      <c r="K446" s="137"/>
      <c r="L446" s="137"/>
      <c r="O446" s="136"/>
      <c r="R446" s="126"/>
    </row>
    <row r="447">
      <c r="B447" s="153"/>
      <c r="C447" s="154"/>
      <c r="E447" s="155"/>
      <c r="F447" s="156"/>
      <c r="H447" s="131"/>
      <c r="K447" s="137"/>
      <c r="L447" s="137"/>
      <c r="O447" s="136"/>
      <c r="R447" s="126"/>
    </row>
    <row r="448">
      <c r="B448" s="153"/>
      <c r="C448" s="154"/>
      <c r="E448" s="155"/>
      <c r="F448" s="156"/>
      <c r="H448" s="131"/>
      <c r="K448" s="137"/>
      <c r="L448" s="137"/>
      <c r="O448" s="136"/>
      <c r="R448" s="126"/>
    </row>
    <row r="449">
      <c r="B449" s="153"/>
      <c r="C449" s="154"/>
      <c r="E449" s="155"/>
      <c r="F449" s="156"/>
      <c r="H449" s="131"/>
      <c r="K449" s="137"/>
      <c r="L449" s="137"/>
      <c r="O449" s="136"/>
      <c r="R449" s="126"/>
    </row>
    <row r="450">
      <c r="B450" s="153"/>
      <c r="C450" s="154"/>
      <c r="E450" s="155"/>
      <c r="F450" s="156"/>
      <c r="H450" s="131"/>
      <c r="K450" s="137"/>
      <c r="L450" s="137"/>
      <c r="O450" s="136"/>
      <c r="R450" s="126"/>
    </row>
    <row r="451">
      <c r="B451" s="153"/>
      <c r="C451" s="154"/>
      <c r="E451" s="155"/>
      <c r="F451" s="156"/>
      <c r="H451" s="131"/>
      <c r="K451" s="137"/>
      <c r="L451" s="137"/>
      <c r="O451" s="136"/>
      <c r="R451" s="126"/>
    </row>
    <row r="452">
      <c r="B452" s="153"/>
      <c r="C452" s="154"/>
      <c r="E452" s="155"/>
      <c r="F452" s="156"/>
      <c r="H452" s="131"/>
      <c r="K452" s="137"/>
      <c r="L452" s="137"/>
      <c r="O452" s="136"/>
      <c r="R452" s="126"/>
    </row>
    <row r="453">
      <c r="B453" s="153"/>
      <c r="C453" s="154"/>
      <c r="E453" s="155"/>
      <c r="F453" s="156"/>
      <c r="H453" s="131"/>
      <c r="K453" s="137"/>
      <c r="L453" s="137"/>
      <c r="O453" s="136"/>
      <c r="R453" s="126"/>
    </row>
    <row r="454">
      <c r="B454" s="153"/>
      <c r="C454" s="154"/>
      <c r="E454" s="155"/>
      <c r="F454" s="156"/>
      <c r="H454" s="131"/>
      <c r="K454" s="137"/>
      <c r="L454" s="137"/>
      <c r="O454" s="136"/>
      <c r="R454" s="126"/>
    </row>
    <row r="455">
      <c r="B455" s="153"/>
      <c r="C455" s="154"/>
      <c r="E455" s="155"/>
      <c r="F455" s="156"/>
      <c r="H455" s="131"/>
      <c r="K455" s="137"/>
      <c r="L455" s="137"/>
      <c r="O455" s="136"/>
      <c r="R455" s="126"/>
    </row>
    <row r="456">
      <c r="B456" s="153"/>
      <c r="C456" s="154"/>
      <c r="E456" s="155"/>
      <c r="F456" s="156"/>
      <c r="H456" s="131"/>
      <c r="K456" s="137"/>
      <c r="L456" s="137"/>
      <c r="O456" s="136"/>
      <c r="R456" s="126"/>
    </row>
    <row r="457">
      <c r="B457" s="153"/>
      <c r="C457" s="154"/>
      <c r="E457" s="155"/>
      <c r="F457" s="156"/>
      <c r="H457" s="131"/>
      <c r="K457" s="137"/>
      <c r="L457" s="137"/>
      <c r="O457" s="136"/>
      <c r="R457" s="126"/>
    </row>
    <row r="458">
      <c r="B458" s="153"/>
      <c r="C458" s="154"/>
      <c r="E458" s="155"/>
      <c r="F458" s="156"/>
      <c r="H458" s="131"/>
      <c r="K458" s="137"/>
      <c r="L458" s="137"/>
      <c r="O458" s="136"/>
      <c r="R458" s="126"/>
    </row>
    <row r="459">
      <c r="B459" s="153"/>
      <c r="C459" s="154"/>
      <c r="E459" s="155"/>
      <c r="F459" s="156"/>
      <c r="H459" s="131"/>
      <c r="K459" s="137"/>
      <c r="L459" s="137"/>
      <c r="O459" s="136"/>
      <c r="R459" s="126"/>
    </row>
    <row r="460">
      <c r="B460" s="153"/>
      <c r="C460" s="154"/>
      <c r="E460" s="155"/>
      <c r="F460" s="156"/>
      <c r="H460" s="131"/>
      <c r="K460" s="137"/>
      <c r="L460" s="137"/>
      <c r="O460" s="136"/>
      <c r="R460" s="126"/>
    </row>
    <row r="461">
      <c r="B461" s="153"/>
      <c r="C461" s="154"/>
      <c r="E461" s="155"/>
      <c r="F461" s="156"/>
      <c r="H461" s="131"/>
      <c r="K461" s="137"/>
      <c r="L461" s="137"/>
      <c r="O461" s="136"/>
      <c r="R461" s="126"/>
    </row>
    <row r="462">
      <c r="B462" s="153"/>
      <c r="C462" s="154"/>
      <c r="E462" s="155"/>
      <c r="F462" s="156"/>
      <c r="H462" s="131"/>
      <c r="K462" s="137"/>
      <c r="L462" s="137"/>
      <c r="O462" s="136"/>
      <c r="R462" s="126"/>
    </row>
    <row r="463">
      <c r="B463" s="153"/>
      <c r="C463" s="154"/>
      <c r="E463" s="155"/>
      <c r="F463" s="156"/>
      <c r="H463" s="131"/>
      <c r="K463" s="137"/>
      <c r="L463" s="137"/>
      <c r="O463" s="136"/>
      <c r="R463" s="126"/>
    </row>
    <row r="464">
      <c r="B464" s="153"/>
      <c r="C464" s="154"/>
      <c r="E464" s="155"/>
      <c r="F464" s="156"/>
      <c r="H464" s="131"/>
      <c r="K464" s="137"/>
      <c r="L464" s="137"/>
      <c r="O464" s="136"/>
      <c r="R464" s="126"/>
    </row>
    <row r="465">
      <c r="B465" s="153"/>
      <c r="C465" s="154"/>
      <c r="E465" s="155"/>
      <c r="F465" s="156"/>
      <c r="H465" s="131"/>
      <c r="K465" s="137"/>
      <c r="L465" s="137"/>
      <c r="O465" s="136"/>
      <c r="R465" s="126"/>
    </row>
    <row r="466">
      <c r="B466" s="153"/>
      <c r="C466" s="154"/>
      <c r="E466" s="155"/>
      <c r="F466" s="156"/>
      <c r="H466" s="131"/>
      <c r="K466" s="137"/>
      <c r="L466" s="137"/>
      <c r="O466" s="136"/>
      <c r="R466" s="126"/>
    </row>
    <row r="467">
      <c r="B467" s="153"/>
      <c r="C467" s="154"/>
      <c r="E467" s="155"/>
      <c r="F467" s="156"/>
      <c r="H467" s="131"/>
      <c r="K467" s="137"/>
      <c r="L467" s="137"/>
      <c r="O467" s="136"/>
      <c r="R467" s="126"/>
    </row>
    <row r="468">
      <c r="B468" s="153"/>
      <c r="C468" s="154"/>
      <c r="E468" s="155"/>
      <c r="F468" s="156"/>
      <c r="H468" s="131"/>
      <c r="K468" s="137"/>
      <c r="L468" s="137"/>
      <c r="O468" s="136"/>
      <c r="R468" s="126"/>
    </row>
    <row r="469">
      <c r="B469" s="153"/>
      <c r="C469" s="154"/>
      <c r="E469" s="155"/>
      <c r="F469" s="156"/>
      <c r="H469" s="131"/>
      <c r="K469" s="137"/>
      <c r="L469" s="137"/>
      <c r="O469" s="136"/>
      <c r="R469" s="126"/>
    </row>
    <row r="470">
      <c r="B470" s="153"/>
      <c r="C470" s="154"/>
      <c r="E470" s="155"/>
      <c r="F470" s="156"/>
      <c r="H470" s="131"/>
      <c r="K470" s="137"/>
      <c r="L470" s="137"/>
      <c r="O470" s="136"/>
      <c r="R470" s="126"/>
    </row>
    <row r="471">
      <c r="B471" s="153"/>
      <c r="C471" s="154"/>
      <c r="E471" s="155"/>
      <c r="F471" s="156"/>
      <c r="H471" s="131"/>
      <c r="K471" s="137"/>
      <c r="L471" s="137"/>
      <c r="O471" s="136"/>
      <c r="R471" s="126"/>
    </row>
    <row r="472">
      <c r="B472" s="153"/>
      <c r="C472" s="154"/>
      <c r="E472" s="155"/>
      <c r="F472" s="156"/>
      <c r="H472" s="131"/>
      <c r="K472" s="137"/>
      <c r="L472" s="137"/>
      <c r="O472" s="136"/>
      <c r="R472" s="126"/>
    </row>
    <row r="473">
      <c r="B473" s="153"/>
      <c r="C473" s="154"/>
      <c r="E473" s="155"/>
      <c r="F473" s="156"/>
      <c r="H473" s="131"/>
      <c r="K473" s="137"/>
      <c r="L473" s="137"/>
      <c r="O473" s="136"/>
      <c r="R473" s="126"/>
    </row>
    <row r="474">
      <c r="B474" s="153"/>
      <c r="C474" s="154"/>
      <c r="E474" s="155"/>
      <c r="F474" s="156"/>
      <c r="H474" s="131"/>
      <c r="K474" s="137"/>
      <c r="L474" s="137"/>
      <c r="O474" s="136"/>
      <c r="R474" s="126"/>
    </row>
    <row r="475">
      <c r="B475" s="153"/>
      <c r="C475" s="154"/>
      <c r="E475" s="155"/>
      <c r="F475" s="156"/>
      <c r="H475" s="131"/>
      <c r="K475" s="137"/>
      <c r="L475" s="137"/>
      <c r="O475" s="136"/>
      <c r="R475" s="126"/>
    </row>
    <row r="476">
      <c r="B476" s="153"/>
      <c r="C476" s="154"/>
      <c r="E476" s="155"/>
      <c r="F476" s="156"/>
      <c r="H476" s="131"/>
      <c r="K476" s="137"/>
      <c r="L476" s="137"/>
      <c r="O476" s="136"/>
      <c r="R476" s="126"/>
    </row>
    <row r="477">
      <c r="B477" s="153"/>
      <c r="C477" s="154"/>
      <c r="E477" s="155"/>
      <c r="F477" s="156"/>
      <c r="H477" s="131"/>
      <c r="K477" s="137"/>
      <c r="L477" s="137"/>
      <c r="O477" s="136"/>
      <c r="R477" s="126"/>
    </row>
    <row r="478">
      <c r="B478" s="153"/>
      <c r="C478" s="154"/>
      <c r="E478" s="155"/>
      <c r="F478" s="156"/>
      <c r="H478" s="131"/>
      <c r="K478" s="137"/>
      <c r="L478" s="137"/>
      <c r="O478" s="136"/>
      <c r="R478" s="126"/>
    </row>
    <row r="479">
      <c r="B479" s="153"/>
      <c r="C479" s="154"/>
      <c r="E479" s="155"/>
      <c r="F479" s="156"/>
      <c r="H479" s="131"/>
      <c r="K479" s="137"/>
      <c r="L479" s="137"/>
      <c r="O479" s="136"/>
      <c r="R479" s="126"/>
    </row>
    <row r="480">
      <c r="B480" s="153"/>
      <c r="C480" s="154"/>
      <c r="E480" s="155"/>
      <c r="F480" s="156"/>
      <c r="H480" s="131"/>
      <c r="K480" s="137"/>
      <c r="L480" s="137"/>
      <c r="O480" s="136"/>
      <c r="R480" s="126"/>
    </row>
    <row r="481">
      <c r="B481" s="153"/>
      <c r="C481" s="154"/>
      <c r="E481" s="155"/>
      <c r="F481" s="156"/>
      <c r="H481" s="131"/>
      <c r="K481" s="137"/>
      <c r="L481" s="137"/>
      <c r="O481" s="136"/>
      <c r="R481" s="126"/>
    </row>
    <row r="482">
      <c r="B482" s="153"/>
      <c r="C482" s="154"/>
      <c r="E482" s="155"/>
      <c r="F482" s="156"/>
      <c r="H482" s="131"/>
      <c r="K482" s="137"/>
      <c r="L482" s="137"/>
      <c r="O482" s="136"/>
      <c r="R482" s="126"/>
    </row>
    <row r="483">
      <c r="B483" s="153"/>
      <c r="C483" s="154"/>
      <c r="E483" s="155"/>
      <c r="F483" s="156"/>
      <c r="H483" s="131"/>
      <c r="K483" s="137"/>
      <c r="L483" s="137"/>
      <c r="O483" s="136"/>
      <c r="R483" s="126"/>
    </row>
    <row r="484">
      <c r="B484" s="153"/>
      <c r="C484" s="154"/>
      <c r="E484" s="155"/>
      <c r="F484" s="156"/>
      <c r="H484" s="131"/>
      <c r="K484" s="137"/>
      <c r="L484" s="137"/>
      <c r="O484" s="136"/>
      <c r="R484" s="126"/>
    </row>
    <row r="485">
      <c r="B485" s="153"/>
      <c r="C485" s="154"/>
      <c r="E485" s="155"/>
      <c r="F485" s="156"/>
      <c r="H485" s="131"/>
      <c r="K485" s="137"/>
      <c r="L485" s="137"/>
      <c r="O485" s="136"/>
      <c r="R485" s="126"/>
    </row>
    <row r="486">
      <c r="B486" s="153"/>
      <c r="C486" s="154"/>
      <c r="E486" s="155"/>
      <c r="F486" s="156"/>
      <c r="H486" s="131"/>
      <c r="K486" s="137"/>
      <c r="L486" s="137"/>
      <c r="O486" s="136"/>
      <c r="R486" s="126"/>
    </row>
    <row r="487">
      <c r="B487" s="153"/>
      <c r="C487" s="154"/>
      <c r="E487" s="155"/>
      <c r="F487" s="156"/>
      <c r="H487" s="131"/>
      <c r="K487" s="137"/>
      <c r="L487" s="137"/>
      <c r="O487" s="136"/>
      <c r="R487" s="126"/>
    </row>
    <row r="488">
      <c r="B488" s="153"/>
      <c r="C488" s="154"/>
      <c r="E488" s="155"/>
      <c r="F488" s="156"/>
      <c r="H488" s="131"/>
      <c r="K488" s="137"/>
      <c r="L488" s="137"/>
      <c r="O488" s="136"/>
      <c r="R488" s="126"/>
    </row>
    <row r="489">
      <c r="B489" s="153"/>
      <c r="C489" s="154"/>
      <c r="E489" s="155"/>
      <c r="F489" s="156"/>
      <c r="H489" s="131"/>
      <c r="K489" s="137"/>
      <c r="L489" s="137"/>
      <c r="O489" s="136"/>
      <c r="R489" s="126"/>
    </row>
    <row r="490">
      <c r="B490" s="153"/>
      <c r="C490" s="154"/>
      <c r="E490" s="155"/>
      <c r="F490" s="156"/>
      <c r="H490" s="131"/>
      <c r="K490" s="137"/>
      <c r="L490" s="137"/>
      <c r="O490" s="136"/>
      <c r="R490" s="126"/>
    </row>
    <row r="491">
      <c r="B491" s="153"/>
      <c r="C491" s="154"/>
      <c r="E491" s="155"/>
      <c r="F491" s="156"/>
      <c r="H491" s="131"/>
      <c r="K491" s="137"/>
      <c r="L491" s="137"/>
      <c r="O491" s="136"/>
      <c r="R491" s="126"/>
    </row>
    <row r="492">
      <c r="B492" s="153"/>
      <c r="C492" s="154"/>
      <c r="E492" s="155"/>
      <c r="F492" s="156"/>
      <c r="H492" s="131"/>
      <c r="K492" s="137"/>
      <c r="L492" s="137"/>
      <c r="O492" s="136"/>
      <c r="R492" s="126"/>
    </row>
    <row r="493">
      <c r="B493" s="153"/>
      <c r="C493" s="154"/>
      <c r="E493" s="155"/>
      <c r="F493" s="156"/>
      <c r="H493" s="131"/>
      <c r="K493" s="137"/>
      <c r="L493" s="137"/>
      <c r="O493" s="136"/>
      <c r="R493" s="126"/>
    </row>
    <row r="494">
      <c r="B494" s="153"/>
      <c r="C494" s="154"/>
      <c r="E494" s="155"/>
      <c r="F494" s="156"/>
      <c r="H494" s="131"/>
      <c r="K494" s="137"/>
      <c r="L494" s="137"/>
      <c r="O494" s="136"/>
      <c r="R494" s="126"/>
    </row>
    <row r="495">
      <c r="B495" s="153"/>
      <c r="C495" s="154"/>
      <c r="E495" s="155"/>
      <c r="F495" s="156"/>
      <c r="H495" s="131"/>
      <c r="K495" s="137"/>
      <c r="L495" s="137"/>
      <c r="O495" s="136"/>
      <c r="R495" s="126"/>
    </row>
    <row r="496">
      <c r="B496" s="153"/>
      <c r="C496" s="154"/>
      <c r="E496" s="155"/>
      <c r="F496" s="156"/>
      <c r="H496" s="131"/>
      <c r="K496" s="137"/>
      <c r="L496" s="137"/>
      <c r="O496" s="136"/>
      <c r="R496" s="126"/>
    </row>
    <row r="497">
      <c r="B497" s="153"/>
      <c r="C497" s="154"/>
      <c r="E497" s="155"/>
      <c r="F497" s="156"/>
      <c r="H497" s="131"/>
      <c r="K497" s="137"/>
      <c r="L497" s="137"/>
      <c r="O497" s="136"/>
      <c r="R497" s="126"/>
    </row>
    <row r="498">
      <c r="B498" s="153"/>
      <c r="C498" s="154"/>
      <c r="E498" s="155"/>
      <c r="F498" s="156"/>
      <c r="H498" s="131"/>
      <c r="K498" s="137"/>
      <c r="L498" s="137"/>
      <c r="O498" s="136"/>
      <c r="R498" s="126"/>
    </row>
    <row r="499">
      <c r="B499" s="153"/>
      <c r="C499" s="154"/>
      <c r="E499" s="155"/>
      <c r="F499" s="156"/>
      <c r="H499" s="131"/>
      <c r="K499" s="137"/>
      <c r="L499" s="137"/>
      <c r="O499" s="136"/>
      <c r="R499" s="126"/>
    </row>
    <row r="500">
      <c r="B500" s="153"/>
      <c r="C500" s="154"/>
      <c r="E500" s="155"/>
      <c r="F500" s="156"/>
      <c r="H500" s="131"/>
      <c r="K500" s="137"/>
      <c r="L500" s="137"/>
      <c r="O500" s="136"/>
      <c r="R500" s="126"/>
    </row>
    <row r="501">
      <c r="B501" s="153"/>
      <c r="C501" s="154"/>
      <c r="E501" s="155"/>
      <c r="F501" s="156"/>
      <c r="H501" s="131"/>
      <c r="K501" s="137"/>
      <c r="L501" s="137"/>
      <c r="O501" s="136"/>
      <c r="R501" s="126"/>
    </row>
    <row r="502">
      <c r="B502" s="153"/>
      <c r="C502" s="154"/>
      <c r="E502" s="155"/>
      <c r="F502" s="156"/>
      <c r="H502" s="131"/>
      <c r="K502" s="137"/>
      <c r="L502" s="137"/>
      <c r="O502" s="136"/>
      <c r="R502" s="126"/>
    </row>
    <row r="503">
      <c r="B503" s="153"/>
      <c r="C503" s="154"/>
      <c r="E503" s="155"/>
      <c r="F503" s="156"/>
      <c r="H503" s="131"/>
      <c r="K503" s="137"/>
      <c r="L503" s="137"/>
      <c r="O503" s="136"/>
      <c r="R503" s="126"/>
    </row>
    <row r="504">
      <c r="B504" s="153"/>
      <c r="C504" s="154"/>
      <c r="E504" s="155"/>
      <c r="F504" s="156"/>
      <c r="H504" s="131"/>
      <c r="K504" s="137"/>
      <c r="L504" s="137"/>
      <c r="O504" s="136"/>
      <c r="R504" s="126"/>
    </row>
    <row r="505">
      <c r="B505" s="153"/>
      <c r="C505" s="154"/>
      <c r="E505" s="155"/>
      <c r="F505" s="156"/>
      <c r="H505" s="131"/>
      <c r="K505" s="137"/>
      <c r="L505" s="137"/>
      <c r="O505" s="136"/>
      <c r="R505" s="126"/>
    </row>
    <row r="506">
      <c r="B506" s="153"/>
      <c r="C506" s="154"/>
      <c r="E506" s="155"/>
      <c r="F506" s="156"/>
      <c r="H506" s="131"/>
      <c r="K506" s="137"/>
      <c r="L506" s="137"/>
      <c r="O506" s="136"/>
      <c r="R506" s="126"/>
    </row>
    <row r="507">
      <c r="B507" s="153"/>
      <c r="C507" s="154"/>
      <c r="E507" s="155"/>
      <c r="F507" s="156"/>
      <c r="H507" s="131"/>
      <c r="K507" s="137"/>
      <c r="L507" s="137"/>
      <c r="O507" s="136"/>
      <c r="R507" s="126"/>
    </row>
    <row r="508">
      <c r="B508" s="153"/>
      <c r="C508" s="154"/>
      <c r="E508" s="155"/>
      <c r="F508" s="156"/>
      <c r="H508" s="131"/>
      <c r="K508" s="137"/>
      <c r="L508" s="137"/>
      <c r="O508" s="136"/>
      <c r="R508" s="126"/>
    </row>
    <row r="509">
      <c r="B509" s="153"/>
      <c r="C509" s="154"/>
      <c r="E509" s="155"/>
      <c r="F509" s="156"/>
      <c r="H509" s="131"/>
      <c r="K509" s="137"/>
      <c r="L509" s="137"/>
      <c r="O509" s="136"/>
      <c r="R509" s="126"/>
    </row>
    <row r="510">
      <c r="B510" s="153"/>
      <c r="C510" s="154"/>
      <c r="E510" s="155"/>
      <c r="F510" s="156"/>
      <c r="H510" s="131"/>
      <c r="K510" s="137"/>
      <c r="L510" s="137"/>
      <c r="O510" s="136"/>
      <c r="R510" s="126"/>
    </row>
    <row r="511">
      <c r="B511" s="153"/>
      <c r="C511" s="154"/>
      <c r="E511" s="155"/>
      <c r="F511" s="156"/>
      <c r="H511" s="131"/>
      <c r="K511" s="137"/>
      <c r="L511" s="137"/>
      <c r="O511" s="136"/>
      <c r="R511" s="126"/>
    </row>
    <row r="512">
      <c r="B512" s="153"/>
      <c r="C512" s="154"/>
      <c r="E512" s="155"/>
      <c r="F512" s="156"/>
      <c r="H512" s="131"/>
      <c r="K512" s="137"/>
      <c r="L512" s="137"/>
      <c r="O512" s="136"/>
      <c r="R512" s="126"/>
    </row>
    <row r="513">
      <c r="B513" s="153"/>
      <c r="C513" s="154"/>
      <c r="E513" s="155"/>
      <c r="F513" s="156"/>
      <c r="H513" s="131"/>
      <c r="K513" s="137"/>
      <c r="L513" s="137"/>
      <c r="O513" s="136"/>
      <c r="R513" s="126"/>
    </row>
    <row r="514">
      <c r="B514" s="153"/>
      <c r="C514" s="154"/>
      <c r="E514" s="155"/>
      <c r="F514" s="156"/>
      <c r="H514" s="131"/>
      <c r="K514" s="137"/>
      <c r="L514" s="137"/>
      <c r="O514" s="136"/>
      <c r="R514" s="126"/>
    </row>
    <row r="515">
      <c r="B515" s="153"/>
      <c r="C515" s="154"/>
      <c r="E515" s="155"/>
      <c r="F515" s="156"/>
      <c r="H515" s="131"/>
      <c r="K515" s="137"/>
      <c r="L515" s="137"/>
      <c r="O515" s="136"/>
      <c r="R515" s="126"/>
    </row>
    <row r="516">
      <c r="B516" s="153"/>
      <c r="C516" s="154"/>
      <c r="E516" s="155"/>
      <c r="F516" s="156"/>
      <c r="H516" s="131"/>
      <c r="K516" s="137"/>
      <c r="L516" s="137"/>
      <c r="O516" s="136"/>
      <c r="R516" s="126"/>
    </row>
    <row r="517">
      <c r="B517" s="153"/>
      <c r="C517" s="154"/>
      <c r="E517" s="155"/>
      <c r="F517" s="156"/>
      <c r="H517" s="131"/>
      <c r="K517" s="137"/>
      <c r="L517" s="137"/>
      <c r="O517" s="136"/>
      <c r="R517" s="126"/>
    </row>
    <row r="518">
      <c r="B518" s="153"/>
      <c r="C518" s="154"/>
      <c r="E518" s="155"/>
      <c r="F518" s="156"/>
      <c r="H518" s="131"/>
      <c r="K518" s="137"/>
      <c r="L518" s="137"/>
      <c r="O518" s="136"/>
      <c r="R518" s="126"/>
    </row>
    <row r="519">
      <c r="B519" s="153"/>
      <c r="C519" s="154"/>
      <c r="E519" s="155"/>
      <c r="F519" s="156"/>
      <c r="H519" s="131"/>
      <c r="K519" s="137"/>
      <c r="L519" s="137"/>
      <c r="O519" s="136"/>
      <c r="R519" s="126"/>
    </row>
    <row r="520">
      <c r="B520" s="153"/>
      <c r="C520" s="154"/>
      <c r="E520" s="155"/>
      <c r="F520" s="156"/>
      <c r="H520" s="131"/>
      <c r="K520" s="137"/>
      <c r="L520" s="137"/>
      <c r="O520" s="136"/>
      <c r="R520" s="126"/>
    </row>
    <row r="521">
      <c r="B521" s="153"/>
      <c r="C521" s="154"/>
      <c r="E521" s="155"/>
      <c r="F521" s="156"/>
      <c r="H521" s="131"/>
      <c r="K521" s="137"/>
      <c r="L521" s="137"/>
      <c r="O521" s="136"/>
      <c r="R521" s="126"/>
    </row>
    <row r="522">
      <c r="B522" s="153"/>
      <c r="C522" s="154"/>
      <c r="E522" s="155"/>
      <c r="F522" s="156"/>
      <c r="H522" s="131"/>
      <c r="K522" s="137"/>
      <c r="L522" s="137"/>
      <c r="O522" s="136"/>
      <c r="R522" s="126"/>
    </row>
    <row r="523">
      <c r="B523" s="153"/>
      <c r="C523" s="154"/>
      <c r="E523" s="155"/>
      <c r="F523" s="156"/>
      <c r="H523" s="131"/>
      <c r="K523" s="137"/>
      <c r="L523" s="137"/>
      <c r="O523" s="136"/>
      <c r="R523" s="126"/>
    </row>
    <row r="524">
      <c r="B524" s="153"/>
      <c r="C524" s="154"/>
      <c r="E524" s="155"/>
      <c r="F524" s="156"/>
      <c r="H524" s="131"/>
      <c r="K524" s="137"/>
      <c r="L524" s="137"/>
      <c r="O524" s="136"/>
      <c r="R524" s="126"/>
    </row>
    <row r="525">
      <c r="B525" s="153"/>
      <c r="C525" s="154"/>
      <c r="E525" s="155"/>
      <c r="F525" s="156"/>
      <c r="H525" s="131"/>
      <c r="K525" s="137"/>
      <c r="L525" s="137"/>
      <c r="O525" s="136"/>
      <c r="R525" s="126"/>
    </row>
    <row r="526">
      <c r="B526" s="153"/>
      <c r="C526" s="154"/>
      <c r="E526" s="155"/>
      <c r="F526" s="156"/>
      <c r="H526" s="131"/>
      <c r="K526" s="137"/>
      <c r="L526" s="137"/>
      <c r="O526" s="136"/>
      <c r="R526" s="126"/>
    </row>
    <row r="527">
      <c r="B527" s="153"/>
      <c r="C527" s="154"/>
      <c r="E527" s="155"/>
      <c r="F527" s="156"/>
      <c r="H527" s="131"/>
      <c r="K527" s="137"/>
      <c r="L527" s="137"/>
      <c r="O527" s="136"/>
      <c r="R527" s="126"/>
    </row>
    <row r="528">
      <c r="B528" s="153"/>
      <c r="C528" s="154"/>
      <c r="E528" s="155"/>
      <c r="F528" s="156"/>
      <c r="H528" s="131"/>
      <c r="K528" s="137"/>
      <c r="L528" s="137"/>
      <c r="O528" s="136"/>
      <c r="R528" s="126"/>
    </row>
    <row r="529">
      <c r="B529" s="153"/>
      <c r="C529" s="154"/>
      <c r="E529" s="155"/>
      <c r="F529" s="156"/>
      <c r="H529" s="131"/>
      <c r="K529" s="137"/>
      <c r="L529" s="137"/>
      <c r="O529" s="136"/>
      <c r="R529" s="126"/>
    </row>
    <row r="530">
      <c r="B530" s="153"/>
      <c r="C530" s="154"/>
      <c r="E530" s="155"/>
      <c r="F530" s="156"/>
      <c r="H530" s="131"/>
      <c r="K530" s="137"/>
      <c r="L530" s="137"/>
      <c r="O530" s="136"/>
      <c r="R530" s="126"/>
    </row>
    <row r="531">
      <c r="B531" s="153"/>
      <c r="C531" s="154"/>
      <c r="E531" s="155"/>
      <c r="F531" s="156"/>
      <c r="H531" s="131"/>
      <c r="K531" s="137"/>
      <c r="L531" s="137"/>
      <c r="O531" s="136"/>
      <c r="R531" s="126"/>
    </row>
    <row r="532">
      <c r="B532" s="153"/>
      <c r="C532" s="154"/>
      <c r="E532" s="155"/>
      <c r="F532" s="156"/>
      <c r="H532" s="131"/>
      <c r="K532" s="137"/>
      <c r="L532" s="137"/>
      <c r="O532" s="136"/>
      <c r="R532" s="126"/>
    </row>
    <row r="533">
      <c r="B533" s="153"/>
      <c r="C533" s="154"/>
      <c r="E533" s="155"/>
      <c r="F533" s="156"/>
      <c r="H533" s="131"/>
      <c r="K533" s="137"/>
      <c r="L533" s="137"/>
      <c r="O533" s="136"/>
      <c r="R533" s="126"/>
    </row>
    <row r="534">
      <c r="B534" s="153"/>
      <c r="C534" s="154"/>
      <c r="E534" s="155"/>
      <c r="F534" s="156"/>
      <c r="H534" s="131"/>
      <c r="K534" s="137"/>
      <c r="L534" s="137"/>
      <c r="O534" s="136"/>
      <c r="R534" s="126"/>
    </row>
    <row r="535">
      <c r="B535" s="153"/>
      <c r="C535" s="154"/>
      <c r="E535" s="155"/>
      <c r="F535" s="156"/>
      <c r="H535" s="131"/>
      <c r="K535" s="137"/>
      <c r="L535" s="137"/>
      <c r="O535" s="136"/>
      <c r="R535" s="126"/>
    </row>
    <row r="536">
      <c r="B536" s="153"/>
      <c r="C536" s="154"/>
      <c r="E536" s="155"/>
      <c r="F536" s="156"/>
      <c r="H536" s="131"/>
      <c r="K536" s="137"/>
      <c r="L536" s="137"/>
      <c r="O536" s="136"/>
      <c r="R536" s="126"/>
    </row>
    <row r="537">
      <c r="B537" s="153"/>
      <c r="C537" s="154"/>
      <c r="E537" s="155"/>
      <c r="F537" s="156"/>
      <c r="H537" s="131"/>
      <c r="K537" s="137"/>
      <c r="L537" s="137"/>
      <c r="O537" s="136"/>
      <c r="R537" s="126"/>
    </row>
    <row r="538">
      <c r="B538" s="153"/>
      <c r="C538" s="154"/>
      <c r="E538" s="155"/>
      <c r="F538" s="156"/>
      <c r="H538" s="131"/>
      <c r="K538" s="137"/>
      <c r="L538" s="137"/>
      <c r="O538" s="136"/>
      <c r="R538" s="126"/>
    </row>
    <row r="539">
      <c r="B539" s="153"/>
      <c r="C539" s="154"/>
      <c r="E539" s="155"/>
      <c r="F539" s="156"/>
      <c r="H539" s="131"/>
      <c r="K539" s="137"/>
      <c r="L539" s="137"/>
      <c r="O539" s="136"/>
      <c r="R539" s="126"/>
    </row>
    <row r="540">
      <c r="B540" s="153"/>
      <c r="C540" s="154"/>
      <c r="E540" s="155"/>
      <c r="F540" s="156"/>
      <c r="H540" s="131"/>
      <c r="K540" s="137"/>
      <c r="L540" s="137"/>
      <c r="O540" s="136"/>
      <c r="R540" s="126"/>
    </row>
    <row r="541">
      <c r="B541" s="153"/>
      <c r="C541" s="154"/>
      <c r="E541" s="155"/>
      <c r="F541" s="156"/>
      <c r="H541" s="131"/>
      <c r="K541" s="137"/>
      <c r="L541" s="137"/>
      <c r="O541" s="136"/>
      <c r="R541" s="126"/>
    </row>
    <row r="542">
      <c r="B542" s="153"/>
      <c r="C542" s="154"/>
      <c r="E542" s="155"/>
      <c r="F542" s="156"/>
      <c r="H542" s="131"/>
      <c r="K542" s="137"/>
      <c r="L542" s="137"/>
      <c r="O542" s="136"/>
      <c r="R542" s="126"/>
    </row>
    <row r="543">
      <c r="B543" s="153"/>
      <c r="C543" s="154"/>
      <c r="E543" s="155"/>
      <c r="F543" s="156"/>
      <c r="H543" s="131"/>
      <c r="K543" s="137"/>
      <c r="L543" s="137"/>
      <c r="O543" s="136"/>
      <c r="R543" s="126"/>
    </row>
    <row r="544">
      <c r="B544" s="153"/>
      <c r="C544" s="154"/>
      <c r="E544" s="155"/>
      <c r="F544" s="156"/>
      <c r="H544" s="131"/>
      <c r="K544" s="137"/>
      <c r="L544" s="137"/>
      <c r="O544" s="136"/>
      <c r="R544" s="126"/>
    </row>
    <row r="545">
      <c r="B545" s="153"/>
      <c r="C545" s="154"/>
      <c r="E545" s="155"/>
      <c r="F545" s="156"/>
      <c r="H545" s="131"/>
      <c r="K545" s="137"/>
      <c r="L545" s="137"/>
      <c r="O545" s="136"/>
      <c r="R545" s="126"/>
    </row>
    <row r="546">
      <c r="B546" s="153"/>
      <c r="C546" s="154"/>
      <c r="E546" s="155"/>
      <c r="F546" s="156"/>
      <c r="H546" s="131"/>
      <c r="K546" s="137"/>
      <c r="L546" s="137"/>
      <c r="O546" s="136"/>
      <c r="R546" s="126"/>
    </row>
    <row r="547">
      <c r="B547" s="153"/>
      <c r="C547" s="154"/>
      <c r="E547" s="155"/>
      <c r="F547" s="156"/>
      <c r="H547" s="131"/>
      <c r="K547" s="137"/>
      <c r="L547" s="137"/>
      <c r="O547" s="136"/>
      <c r="R547" s="126"/>
    </row>
    <row r="548">
      <c r="B548" s="153"/>
      <c r="C548" s="154"/>
      <c r="E548" s="155"/>
      <c r="F548" s="156"/>
      <c r="H548" s="131"/>
      <c r="K548" s="137"/>
      <c r="L548" s="137"/>
      <c r="O548" s="136"/>
      <c r="R548" s="126"/>
    </row>
    <row r="549">
      <c r="B549" s="153"/>
      <c r="C549" s="154"/>
      <c r="E549" s="155"/>
      <c r="F549" s="156"/>
      <c r="H549" s="131"/>
      <c r="K549" s="137"/>
      <c r="L549" s="137"/>
      <c r="O549" s="136"/>
      <c r="R549" s="126"/>
    </row>
    <row r="550">
      <c r="B550" s="153"/>
      <c r="C550" s="154"/>
      <c r="E550" s="155"/>
      <c r="F550" s="156"/>
      <c r="H550" s="131"/>
      <c r="K550" s="137"/>
      <c r="L550" s="137"/>
      <c r="O550" s="136"/>
      <c r="R550" s="126"/>
    </row>
    <row r="551">
      <c r="B551" s="153"/>
      <c r="C551" s="154"/>
      <c r="E551" s="155"/>
      <c r="F551" s="156"/>
      <c r="H551" s="131"/>
      <c r="K551" s="137"/>
      <c r="L551" s="137"/>
      <c r="O551" s="136"/>
      <c r="R551" s="126"/>
    </row>
    <row r="552">
      <c r="B552" s="153"/>
      <c r="C552" s="154"/>
      <c r="E552" s="155"/>
      <c r="F552" s="156"/>
      <c r="H552" s="131"/>
      <c r="K552" s="137"/>
      <c r="L552" s="137"/>
      <c r="O552" s="136"/>
      <c r="R552" s="126"/>
    </row>
    <row r="553">
      <c r="B553" s="153"/>
      <c r="C553" s="154"/>
      <c r="E553" s="155"/>
      <c r="F553" s="156"/>
      <c r="H553" s="131"/>
      <c r="K553" s="137"/>
      <c r="L553" s="137"/>
      <c r="O553" s="136"/>
      <c r="R553" s="126"/>
    </row>
    <row r="554">
      <c r="B554" s="153"/>
      <c r="C554" s="154"/>
      <c r="E554" s="155"/>
      <c r="F554" s="156"/>
      <c r="H554" s="131"/>
      <c r="K554" s="137"/>
      <c r="L554" s="137"/>
      <c r="O554" s="136"/>
      <c r="R554" s="126"/>
    </row>
    <row r="555">
      <c r="B555" s="153"/>
      <c r="C555" s="154"/>
      <c r="E555" s="155"/>
      <c r="F555" s="156"/>
      <c r="H555" s="131"/>
      <c r="K555" s="137"/>
      <c r="L555" s="137"/>
      <c r="O555" s="136"/>
      <c r="R555" s="126"/>
    </row>
    <row r="556">
      <c r="B556" s="153"/>
      <c r="C556" s="154"/>
      <c r="E556" s="155"/>
      <c r="F556" s="156"/>
      <c r="H556" s="131"/>
      <c r="K556" s="137"/>
      <c r="L556" s="137"/>
      <c r="O556" s="136"/>
      <c r="R556" s="126"/>
    </row>
    <row r="557">
      <c r="B557" s="153"/>
      <c r="C557" s="154"/>
      <c r="E557" s="155"/>
      <c r="F557" s="156"/>
      <c r="H557" s="131"/>
      <c r="K557" s="137"/>
      <c r="L557" s="137"/>
      <c r="O557" s="136"/>
      <c r="R557" s="126"/>
    </row>
    <row r="558">
      <c r="B558" s="153"/>
      <c r="C558" s="154"/>
      <c r="E558" s="155"/>
      <c r="F558" s="156"/>
      <c r="H558" s="131"/>
      <c r="K558" s="137"/>
      <c r="L558" s="137"/>
      <c r="O558" s="136"/>
      <c r="R558" s="126"/>
    </row>
    <row r="559">
      <c r="B559" s="153"/>
      <c r="C559" s="154"/>
      <c r="E559" s="155"/>
      <c r="F559" s="156"/>
      <c r="H559" s="131"/>
      <c r="K559" s="137"/>
      <c r="L559" s="137"/>
      <c r="O559" s="136"/>
      <c r="R559" s="126"/>
    </row>
    <row r="560">
      <c r="B560" s="153"/>
      <c r="C560" s="154"/>
      <c r="E560" s="155"/>
      <c r="F560" s="156"/>
      <c r="H560" s="131"/>
      <c r="K560" s="137"/>
      <c r="L560" s="137"/>
      <c r="O560" s="136"/>
      <c r="R560" s="126"/>
    </row>
    <row r="561">
      <c r="B561" s="153"/>
      <c r="C561" s="154"/>
      <c r="E561" s="155"/>
      <c r="F561" s="156"/>
      <c r="H561" s="131"/>
      <c r="K561" s="137"/>
      <c r="L561" s="137"/>
      <c r="O561" s="136"/>
      <c r="R561" s="126"/>
    </row>
    <row r="562">
      <c r="B562" s="153"/>
      <c r="C562" s="154"/>
      <c r="E562" s="155"/>
      <c r="F562" s="156"/>
      <c r="H562" s="131"/>
      <c r="K562" s="137"/>
      <c r="L562" s="137"/>
      <c r="O562" s="136"/>
      <c r="R562" s="126"/>
    </row>
    <row r="563">
      <c r="B563" s="153"/>
      <c r="C563" s="154"/>
      <c r="E563" s="155"/>
      <c r="F563" s="156"/>
      <c r="H563" s="131"/>
      <c r="K563" s="137"/>
      <c r="L563" s="137"/>
      <c r="O563" s="136"/>
      <c r="R563" s="126"/>
    </row>
    <row r="564">
      <c r="B564" s="153"/>
      <c r="C564" s="154"/>
      <c r="E564" s="155"/>
      <c r="F564" s="156"/>
      <c r="H564" s="131"/>
      <c r="K564" s="137"/>
      <c r="L564" s="137"/>
      <c r="O564" s="136"/>
      <c r="R564" s="126"/>
    </row>
    <row r="565">
      <c r="B565" s="153"/>
      <c r="C565" s="154"/>
      <c r="E565" s="155"/>
      <c r="F565" s="156"/>
      <c r="H565" s="131"/>
      <c r="K565" s="137"/>
      <c r="L565" s="137"/>
      <c r="O565" s="136"/>
      <c r="R565" s="126"/>
    </row>
    <row r="566">
      <c r="B566" s="153"/>
      <c r="C566" s="154"/>
      <c r="E566" s="155"/>
      <c r="F566" s="156"/>
      <c r="H566" s="131"/>
      <c r="K566" s="137"/>
      <c r="L566" s="137"/>
      <c r="O566" s="136"/>
      <c r="R566" s="126"/>
    </row>
    <row r="567">
      <c r="B567" s="153"/>
      <c r="C567" s="154"/>
      <c r="E567" s="155"/>
      <c r="F567" s="156"/>
      <c r="H567" s="131"/>
      <c r="K567" s="137"/>
      <c r="L567" s="137"/>
      <c r="O567" s="136"/>
      <c r="R567" s="126"/>
    </row>
    <row r="568">
      <c r="B568" s="153"/>
      <c r="C568" s="154"/>
      <c r="E568" s="155"/>
      <c r="F568" s="156"/>
      <c r="H568" s="131"/>
      <c r="K568" s="137"/>
      <c r="L568" s="137"/>
      <c r="O568" s="136"/>
      <c r="R568" s="126"/>
    </row>
    <row r="569">
      <c r="B569" s="153"/>
      <c r="C569" s="154"/>
      <c r="E569" s="155"/>
      <c r="F569" s="156"/>
      <c r="H569" s="131"/>
      <c r="K569" s="137"/>
      <c r="L569" s="137"/>
      <c r="O569" s="136"/>
      <c r="R569" s="126"/>
    </row>
    <row r="570">
      <c r="B570" s="153"/>
      <c r="C570" s="154"/>
      <c r="E570" s="155"/>
      <c r="F570" s="156"/>
      <c r="H570" s="131"/>
      <c r="K570" s="137"/>
      <c r="L570" s="137"/>
      <c r="O570" s="136"/>
      <c r="R570" s="126"/>
    </row>
    <row r="571">
      <c r="B571" s="153"/>
      <c r="C571" s="154"/>
      <c r="E571" s="155"/>
      <c r="F571" s="156"/>
      <c r="H571" s="131"/>
      <c r="K571" s="137"/>
      <c r="L571" s="137"/>
      <c r="O571" s="136"/>
      <c r="R571" s="126"/>
    </row>
    <row r="572">
      <c r="B572" s="153"/>
      <c r="C572" s="154"/>
      <c r="E572" s="155"/>
      <c r="F572" s="156"/>
      <c r="H572" s="131"/>
      <c r="K572" s="137"/>
      <c r="L572" s="137"/>
      <c r="O572" s="136"/>
      <c r="R572" s="126"/>
    </row>
    <row r="573">
      <c r="B573" s="153"/>
      <c r="C573" s="154"/>
      <c r="E573" s="155"/>
      <c r="F573" s="156"/>
      <c r="H573" s="131"/>
      <c r="K573" s="137"/>
      <c r="L573" s="137"/>
      <c r="O573" s="136"/>
      <c r="R573" s="126"/>
    </row>
    <row r="574">
      <c r="B574" s="153"/>
      <c r="C574" s="154"/>
      <c r="E574" s="155"/>
      <c r="F574" s="156"/>
      <c r="H574" s="131"/>
      <c r="K574" s="137"/>
      <c r="L574" s="137"/>
      <c r="O574" s="136"/>
      <c r="R574" s="126"/>
    </row>
    <row r="575">
      <c r="B575" s="153"/>
      <c r="C575" s="154"/>
      <c r="E575" s="155"/>
      <c r="F575" s="156"/>
      <c r="H575" s="131"/>
      <c r="K575" s="137"/>
      <c r="L575" s="137"/>
      <c r="O575" s="136"/>
      <c r="R575" s="126"/>
    </row>
    <row r="576">
      <c r="B576" s="153"/>
      <c r="C576" s="154"/>
      <c r="E576" s="155"/>
      <c r="F576" s="156"/>
      <c r="H576" s="131"/>
      <c r="K576" s="137"/>
      <c r="L576" s="137"/>
      <c r="O576" s="136"/>
      <c r="R576" s="126"/>
    </row>
    <row r="577">
      <c r="B577" s="153"/>
      <c r="C577" s="154"/>
      <c r="E577" s="155"/>
      <c r="F577" s="156"/>
      <c r="H577" s="131"/>
      <c r="K577" s="137"/>
      <c r="L577" s="137"/>
      <c r="O577" s="136"/>
      <c r="R577" s="126"/>
    </row>
    <row r="578">
      <c r="B578" s="153"/>
      <c r="C578" s="154"/>
      <c r="E578" s="155"/>
      <c r="F578" s="156"/>
      <c r="H578" s="131"/>
      <c r="K578" s="137"/>
      <c r="L578" s="137"/>
      <c r="O578" s="136"/>
      <c r="R578" s="126"/>
    </row>
    <row r="579">
      <c r="B579" s="153"/>
      <c r="C579" s="154"/>
      <c r="E579" s="155"/>
      <c r="F579" s="156"/>
      <c r="H579" s="131"/>
      <c r="K579" s="137"/>
      <c r="L579" s="137"/>
      <c r="O579" s="136"/>
      <c r="R579" s="126"/>
    </row>
    <row r="580">
      <c r="B580" s="153"/>
      <c r="C580" s="154"/>
      <c r="E580" s="155"/>
      <c r="F580" s="156"/>
      <c r="H580" s="131"/>
      <c r="K580" s="137"/>
      <c r="L580" s="137"/>
      <c r="O580" s="136"/>
      <c r="R580" s="126"/>
    </row>
    <row r="581">
      <c r="B581" s="153"/>
      <c r="C581" s="154"/>
      <c r="E581" s="155"/>
      <c r="F581" s="156"/>
      <c r="H581" s="131"/>
      <c r="K581" s="137"/>
      <c r="L581" s="137"/>
      <c r="O581" s="136"/>
      <c r="R581" s="126"/>
    </row>
    <row r="582">
      <c r="B582" s="153"/>
      <c r="C582" s="154"/>
      <c r="E582" s="155"/>
      <c r="F582" s="156"/>
      <c r="H582" s="131"/>
      <c r="K582" s="137"/>
      <c r="L582" s="137"/>
      <c r="O582" s="136"/>
      <c r="R582" s="126"/>
    </row>
    <row r="583">
      <c r="B583" s="153"/>
      <c r="C583" s="154"/>
      <c r="E583" s="155"/>
      <c r="F583" s="156"/>
      <c r="H583" s="131"/>
      <c r="K583" s="137"/>
      <c r="L583" s="137"/>
      <c r="O583" s="136"/>
      <c r="R583" s="126"/>
    </row>
    <row r="584">
      <c r="B584" s="153"/>
      <c r="C584" s="154"/>
      <c r="E584" s="155"/>
      <c r="F584" s="156"/>
      <c r="H584" s="131"/>
      <c r="K584" s="137"/>
      <c r="L584" s="137"/>
      <c r="O584" s="136"/>
      <c r="R584" s="126"/>
    </row>
    <row r="585">
      <c r="B585" s="153"/>
      <c r="C585" s="154"/>
      <c r="E585" s="155"/>
      <c r="F585" s="156"/>
      <c r="H585" s="131"/>
      <c r="K585" s="137"/>
      <c r="L585" s="137"/>
      <c r="O585" s="136"/>
      <c r="R585" s="126"/>
    </row>
    <row r="586">
      <c r="B586" s="153"/>
      <c r="C586" s="154"/>
      <c r="E586" s="155"/>
      <c r="F586" s="156"/>
      <c r="H586" s="131"/>
      <c r="K586" s="137"/>
      <c r="L586" s="137"/>
      <c r="O586" s="136"/>
      <c r="R586" s="126"/>
    </row>
    <row r="587">
      <c r="B587" s="153"/>
      <c r="C587" s="154"/>
      <c r="E587" s="155"/>
      <c r="F587" s="156"/>
      <c r="H587" s="131"/>
      <c r="K587" s="137"/>
      <c r="L587" s="137"/>
      <c r="O587" s="136"/>
      <c r="R587" s="126"/>
    </row>
    <row r="588">
      <c r="B588" s="153"/>
      <c r="C588" s="154"/>
      <c r="E588" s="155"/>
      <c r="F588" s="156"/>
      <c r="H588" s="131"/>
      <c r="K588" s="137"/>
      <c r="L588" s="137"/>
      <c r="O588" s="136"/>
      <c r="R588" s="126"/>
    </row>
    <row r="589">
      <c r="B589" s="153"/>
      <c r="C589" s="154"/>
      <c r="E589" s="155"/>
      <c r="F589" s="156"/>
      <c r="H589" s="131"/>
      <c r="K589" s="137"/>
      <c r="L589" s="137"/>
      <c r="O589" s="136"/>
      <c r="R589" s="126"/>
    </row>
    <row r="590">
      <c r="B590" s="153"/>
      <c r="C590" s="154"/>
      <c r="E590" s="155"/>
      <c r="F590" s="156"/>
      <c r="H590" s="131"/>
      <c r="K590" s="137"/>
      <c r="L590" s="137"/>
      <c r="O590" s="136"/>
      <c r="R590" s="126"/>
    </row>
    <row r="591">
      <c r="B591" s="153"/>
      <c r="C591" s="154"/>
      <c r="E591" s="155"/>
      <c r="F591" s="156"/>
      <c r="H591" s="131"/>
      <c r="K591" s="137"/>
      <c r="L591" s="137"/>
      <c r="O591" s="136"/>
      <c r="R591" s="126"/>
    </row>
    <row r="592">
      <c r="B592" s="153"/>
      <c r="C592" s="154"/>
      <c r="E592" s="155"/>
      <c r="F592" s="156"/>
      <c r="H592" s="131"/>
      <c r="K592" s="137"/>
      <c r="L592" s="137"/>
      <c r="O592" s="136"/>
      <c r="R592" s="126"/>
    </row>
    <row r="593">
      <c r="B593" s="153"/>
      <c r="C593" s="154"/>
      <c r="E593" s="155"/>
      <c r="F593" s="156"/>
      <c r="H593" s="131"/>
      <c r="K593" s="137"/>
      <c r="L593" s="137"/>
      <c r="O593" s="136"/>
      <c r="R593" s="126"/>
    </row>
    <row r="594">
      <c r="B594" s="153"/>
      <c r="C594" s="154"/>
      <c r="E594" s="155"/>
      <c r="F594" s="156"/>
      <c r="H594" s="131"/>
      <c r="K594" s="137"/>
      <c r="L594" s="137"/>
      <c r="O594" s="136"/>
      <c r="R594" s="126"/>
    </row>
    <row r="595">
      <c r="B595" s="153"/>
      <c r="C595" s="154"/>
      <c r="E595" s="155"/>
      <c r="F595" s="156"/>
      <c r="H595" s="131"/>
      <c r="K595" s="137"/>
      <c r="L595" s="137"/>
      <c r="O595" s="136"/>
      <c r="R595" s="126"/>
    </row>
    <row r="596">
      <c r="B596" s="153"/>
      <c r="C596" s="154"/>
      <c r="E596" s="155"/>
      <c r="F596" s="156"/>
      <c r="H596" s="131"/>
      <c r="K596" s="137"/>
      <c r="L596" s="137"/>
      <c r="O596" s="136"/>
      <c r="R596" s="126"/>
    </row>
    <row r="597">
      <c r="B597" s="153"/>
      <c r="C597" s="154"/>
      <c r="E597" s="155"/>
      <c r="F597" s="156"/>
      <c r="H597" s="131"/>
      <c r="K597" s="137"/>
      <c r="L597" s="137"/>
      <c r="O597" s="136"/>
      <c r="R597" s="126"/>
    </row>
    <row r="598">
      <c r="B598" s="153"/>
      <c r="C598" s="154"/>
      <c r="E598" s="155"/>
      <c r="F598" s="156"/>
      <c r="H598" s="131"/>
      <c r="K598" s="137"/>
      <c r="L598" s="137"/>
      <c r="O598" s="136"/>
      <c r="R598" s="126"/>
    </row>
    <row r="599">
      <c r="B599" s="153"/>
      <c r="C599" s="154"/>
      <c r="E599" s="155"/>
      <c r="F599" s="156"/>
      <c r="H599" s="131"/>
      <c r="K599" s="137"/>
      <c r="L599" s="137"/>
      <c r="O599" s="136"/>
      <c r="R599" s="126"/>
    </row>
    <row r="600">
      <c r="B600" s="153"/>
      <c r="C600" s="154"/>
      <c r="E600" s="155"/>
      <c r="F600" s="156"/>
      <c r="H600" s="131"/>
      <c r="K600" s="137"/>
      <c r="L600" s="137"/>
      <c r="O600" s="136"/>
      <c r="R600" s="126"/>
    </row>
    <row r="601">
      <c r="B601" s="153"/>
      <c r="C601" s="154"/>
      <c r="E601" s="155"/>
      <c r="F601" s="156"/>
      <c r="H601" s="131"/>
      <c r="K601" s="137"/>
      <c r="L601" s="137"/>
      <c r="O601" s="136"/>
      <c r="R601" s="126"/>
    </row>
    <row r="602">
      <c r="B602" s="153"/>
      <c r="C602" s="154"/>
      <c r="E602" s="155"/>
      <c r="F602" s="156"/>
      <c r="H602" s="131"/>
      <c r="K602" s="137"/>
      <c r="L602" s="137"/>
      <c r="O602" s="136"/>
      <c r="R602" s="126"/>
    </row>
    <row r="603">
      <c r="B603" s="153"/>
      <c r="C603" s="154"/>
      <c r="E603" s="155"/>
      <c r="F603" s="156"/>
      <c r="H603" s="131"/>
      <c r="K603" s="137"/>
      <c r="L603" s="137"/>
      <c r="O603" s="136"/>
      <c r="R603" s="126"/>
    </row>
    <row r="604">
      <c r="B604" s="153"/>
      <c r="C604" s="154"/>
      <c r="E604" s="155"/>
      <c r="F604" s="156"/>
      <c r="H604" s="131"/>
      <c r="K604" s="137"/>
      <c r="L604" s="137"/>
      <c r="O604" s="136"/>
      <c r="R604" s="126"/>
    </row>
    <row r="605">
      <c r="B605" s="153"/>
      <c r="C605" s="154"/>
      <c r="E605" s="155"/>
      <c r="F605" s="156"/>
      <c r="H605" s="131"/>
      <c r="K605" s="137"/>
      <c r="L605" s="137"/>
      <c r="O605" s="136"/>
      <c r="R605" s="126"/>
    </row>
    <row r="606">
      <c r="B606" s="153"/>
      <c r="C606" s="154"/>
      <c r="E606" s="155"/>
      <c r="F606" s="156"/>
      <c r="H606" s="131"/>
      <c r="K606" s="137"/>
      <c r="L606" s="137"/>
      <c r="O606" s="136"/>
      <c r="R606" s="126"/>
    </row>
    <row r="607">
      <c r="B607" s="153"/>
      <c r="C607" s="154"/>
      <c r="E607" s="155"/>
      <c r="F607" s="156"/>
      <c r="H607" s="131"/>
      <c r="K607" s="137"/>
      <c r="L607" s="137"/>
      <c r="O607" s="136"/>
      <c r="R607" s="126"/>
    </row>
    <row r="608">
      <c r="B608" s="153"/>
      <c r="C608" s="154"/>
      <c r="E608" s="155"/>
      <c r="F608" s="156"/>
      <c r="H608" s="131"/>
      <c r="K608" s="137"/>
      <c r="L608" s="137"/>
      <c r="O608" s="136"/>
      <c r="R608" s="126"/>
    </row>
    <row r="609">
      <c r="B609" s="153"/>
      <c r="C609" s="154"/>
      <c r="E609" s="155"/>
      <c r="F609" s="156"/>
      <c r="H609" s="131"/>
      <c r="K609" s="137"/>
      <c r="L609" s="137"/>
      <c r="O609" s="136"/>
      <c r="R609" s="126"/>
    </row>
    <row r="610">
      <c r="B610" s="153"/>
      <c r="C610" s="154"/>
      <c r="E610" s="155"/>
      <c r="F610" s="156"/>
      <c r="H610" s="131"/>
      <c r="K610" s="137"/>
      <c r="L610" s="137"/>
      <c r="O610" s="136"/>
      <c r="R610" s="126"/>
    </row>
    <row r="611">
      <c r="B611" s="153"/>
      <c r="C611" s="154"/>
      <c r="E611" s="155"/>
      <c r="F611" s="156"/>
      <c r="H611" s="131"/>
      <c r="K611" s="137"/>
      <c r="L611" s="137"/>
      <c r="O611" s="136"/>
      <c r="R611" s="126"/>
    </row>
    <row r="612">
      <c r="B612" s="153"/>
      <c r="C612" s="154"/>
      <c r="E612" s="155"/>
      <c r="F612" s="156"/>
      <c r="H612" s="131"/>
      <c r="K612" s="137"/>
      <c r="L612" s="137"/>
      <c r="O612" s="136"/>
      <c r="R612" s="126"/>
    </row>
    <row r="613">
      <c r="B613" s="153"/>
      <c r="C613" s="154"/>
      <c r="E613" s="155"/>
      <c r="F613" s="156"/>
      <c r="H613" s="131"/>
      <c r="K613" s="137"/>
      <c r="L613" s="137"/>
      <c r="O613" s="136"/>
      <c r="R613" s="126"/>
    </row>
    <row r="614">
      <c r="B614" s="153"/>
      <c r="C614" s="154"/>
      <c r="E614" s="155"/>
      <c r="F614" s="156"/>
      <c r="H614" s="131"/>
      <c r="K614" s="137"/>
      <c r="L614" s="137"/>
      <c r="O614" s="136"/>
      <c r="R614" s="126"/>
    </row>
    <row r="615">
      <c r="B615" s="153"/>
      <c r="C615" s="154"/>
      <c r="E615" s="155"/>
      <c r="F615" s="156"/>
      <c r="H615" s="131"/>
      <c r="K615" s="137"/>
      <c r="L615" s="137"/>
      <c r="O615" s="136"/>
      <c r="R615" s="126"/>
    </row>
    <row r="616">
      <c r="B616" s="153"/>
      <c r="C616" s="154"/>
      <c r="E616" s="155"/>
      <c r="F616" s="156"/>
      <c r="H616" s="131"/>
      <c r="K616" s="137"/>
      <c r="L616" s="137"/>
      <c r="O616" s="136"/>
      <c r="R616" s="126"/>
    </row>
    <row r="617">
      <c r="B617" s="153"/>
      <c r="C617" s="154"/>
      <c r="E617" s="155"/>
      <c r="F617" s="156"/>
      <c r="H617" s="131"/>
      <c r="K617" s="137"/>
      <c r="L617" s="137"/>
      <c r="O617" s="136"/>
      <c r="R617" s="126"/>
    </row>
    <row r="618">
      <c r="B618" s="153"/>
      <c r="C618" s="154"/>
      <c r="E618" s="155"/>
      <c r="F618" s="156"/>
      <c r="H618" s="131"/>
      <c r="K618" s="137"/>
      <c r="L618" s="137"/>
      <c r="O618" s="136"/>
      <c r="R618" s="126"/>
    </row>
    <row r="619">
      <c r="B619" s="153"/>
      <c r="C619" s="154"/>
      <c r="E619" s="155"/>
      <c r="F619" s="156"/>
      <c r="H619" s="131"/>
      <c r="K619" s="137"/>
      <c r="L619" s="137"/>
      <c r="O619" s="136"/>
      <c r="R619" s="126"/>
    </row>
    <row r="620">
      <c r="B620" s="153"/>
      <c r="C620" s="154"/>
      <c r="E620" s="155"/>
      <c r="F620" s="156"/>
      <c r="H620" s="131"/>
      <c r="K620" s="137"/>
      <c r="L620" s="137"/>
      <c r="O620" s="136"/>
      <c r="R620" s="126"/>
    </row>
    <row r="621">
      <c r="B621" s="153"/>
      <c r="C621" s="154"/>
      <c r="E621" s="155"/>
      <c r="F621" s="156"/>
      <c r="H621" s="131"/>
      <c r="K621" s="137"/>
      <c r="L621" s="137"/>
      <c r="O621" s="136"/>
      <c r="R621" s="126"/>
    </row>
    <row r="622">
      <c r="B622" s="153"/>
      <c r="C622" s="154"/>
      <c r="E622" s="155"/>
      <c r="F622" s="156"/>
      <c r="H622" s="131"/>
      <c r="K622" s="137"/>
      <c r="L622" s="137"/>
      <c r="O622" s="136"/>
      <c r="R622" s="126"/>
    </row>
    <row r="623">
      <c r="B623" s="153"/>
      <c r="C623" s="154"/>
      <c r="E623" s="155"/>
      <c r="F623" s="156"/>
      <c r="H623" s="131"/>
      <c r="K623" s="137"/>
      <c r="L623" s="137"/>
      <c r="O623" s="136"/>
      <c r="R623" s="126"/>
    </row>
    <row r="624">
      <c r="B624" s="153"/>
      <c r="C624" s="154"/>
      <c r="E624" s="155"/>
      <c r="F624" s="156"/>
      <c r="H624" s="131"/>
      <c r="K624" s="137"/>
      <c r="L624" s="137"/>
      <c r="O624" s="136"/>
      <c r="R624" s="126"/>
    </row>
    <row r="625">
      <c r="B625" s="153"/>
      <c r="C625" s="154"/>
      <c r="E625" s="155"/>
      <c r="F625" s="156"/>
      <c r="H625" s="131"/>
      <c r="K625" s="137"/>
      <c r="L625" s="137"/>
      <c r="O625" s="136"/>
      <c r="R625" s="126"/>
    </row>
    <row r="626">
      <c r="B626" s="153"/>
      <c r="C626" s="154"/>
      <c r="E626" s="155"/>
      <c r="F626" s="156"/>
      <c r="H626" s="131"/>
      <c r="K626" s="137"/>
      <c r="L626" s="137"/>
      <c r="O626" s="136"/>
      <c r="R626" s="126"/>
    </row>
    <row r="627">
      <c r="B627" s="153"/>
      <c r="C627" s="154"/>
      <c r="E627" s="155"/>
      <c r="F627" s="156"/>
      <c r="H627" s="131"/>
      <c r="K627" s="137"/>
      <c r="L627" s="137"/>
      <c r="O627" s="136"/>
      <c r="R627" s="126"/>
    </row>
    <row r="628">
      <c r="B628" s="153"/>
      <c r="C628" s="154"/>
      <c r="E628" s="155"/>
      <c r="F628" s="156"/>
      <c r="H628" s="131"/>
      <c r="K628" s="137"/>
      <c r="L628" s="137"/>
      <c r="O628" s="136"/>
      <c r="R628" s="126"/>
    </row>
    <row r="629">
      <c r="B629" s="153"/>
      <c r="C629" s="154"/>
      <c r="E629" s="155"/>
      <c r="F629" s="156"/>
      <c r="H629" s="131"/>
      <c r="K629" s="137"/>
      <c r="L629" s="137"/>
      <c r="O629" s="136"/>
      <c r="R629" s="126"/>
    </row>
    <row r="630">
      <c r="B630" s="153"/>
      <c r="C630" s="154"/>
      <c r="E630" s="155"/>
      <c r="F630" s="156"/>
      <c r="H630" s="131"/>
      <c r="K630" s="137"/>
      <c r="L630" s="137"/>
      <c r="O630" s="136"/>
      <c r="R630" s="126"/>
    </row>
    <row r="631">
      <c r="B631" s="153"/>
      <c r="C631" s="154"/>
      <c r="E631" s="155"/>
      <c r="F631" s="156"/>
      <c r="H631" s="131"/>
      <c r="K631" s="137"/>
      <c r="L631" s="137"/>
      <c r="O631" s="136"/>
      <c r="R631" s="126"/>
    </row>
    <row r="632">
      <c r="B632" s="153"/>
      <c r="C632" s="154"/>
      <c r="E632" s="155"/>
      <c r="F632" s="156"/>
      <c r="H632" s="131"/>
      <c r="K632" s="137"/>
      <c r="L632" s="137"/>
      <c r="O632" s="136"/>
      <c r="R632" s="126"/>
    </row>
    <row r="633">
      <c r="B633" s="153"/>
      <c r="C633" s="154"/>
      <c r="E633" s="155"/>
      <c r="F633" s="156"/>
      <c r="H633" s="131"/>
      <c r="K633" s="137"/>
      <c r="L633" s="137"/>
      <c r="O633" s="136"/>
      <c r="R633" s="126"/>
    </row>
    <row r="634">
      <c r="B634" s="153"/>
      <c r="C634" s="154"/>
      <c r="E634" s="155"/>
      <c r="F634" s="156"/>
      <c r="H634" s="131"/>
      <c r="K634" s="137"/>
      <c r="L634" s="137"/>
      <c r="O634" s="136"/>
      <c r="R634" s="126"/>
    </row>
    <row r="635">
      <c r="B635" s="153"/>
      <c r="C635" s="154"/>
      <c r="E635" s="155"/>
      <c r="F635" s="156"/>
      <c r="H635" s="131"/>
      <c r="K635" s="137"/>
      <c r="L635" s="137"/>
      <c r="O635" s="136"/>
      <c r="R635" s="126"/>
    </row>
    <row r="636">
      <c r="B636" s="153"/>
      <c r="C636" s="154"/>
      <c r="E636" s="155"/>
      <c r="F636" s="156"/>
      <c r="H636" s="131"/>
      <c r="K636" s="137"/>
      <c r="L636" s="137"/>
      <c r="O636" s="136"/>
      <c r="R636" s="126"/>
    </row>
    <row r="637">
      <c r="B637" s="153"/>
      <c r="C637" s="154"/>
      <c r="E637" s="155"/>
      <c r="F637" s="156"/>
      <c r="H637" s="131"/>
      <c r="K637" s="137"/>
      <c r="L637" s="137"/>
      <c r="O637" s="136"/>
      <c r="R637" s="126"/>
    </row>
    <row r="638">
      <c r="B638" s="153"/>
      <c r="C638" s="154"/>
      <c r="E638" s="155"/>
      <c r="F638" s="156"/>
      <c r="H638" s="131"/>
      <c r="K638" s="137"/>
      <c r="L638" s="137"/>
      <c r="O638" s="136"/>
      <c r="R638" s="126"/>
    </row>
    <row r="639">
      <c r="B639" s="153"/>
      <c r="C639" s="154"/>
      <c r="E639" s="155"/>
      <c r="F639" s="156"/>
      <c r="H639" s="131"/>
      <c r="K639" s="137"/>
      <c r="L639" s="137"/>
      <c r="O639" s="136"/>
      <c r="R639" s="126"/>
    </row>
    <row r="640">
      <c r="B640" s="153"/>
      <c r="C640" s="154"/>
      <c r="E640" s="155"/>
      <c r="F640" s="156"/>
      <c r="H640" s="131"/>
      <c r="K640" s="137"/>
      <c r="L640" s="137"/>
      <c r="O640" s="136"/>
      <c r="R640" s="126"/>
    </row>
    <row r="641">
      <c r="B641" s="153"/>
      <c r="C641" s="154"/>
      <c r="E641" s="155"/>
      <c r="F641" s="156"/>
      <c r="H641" s="131"/>
      <c r="K641" s="137"/>
      <c r="L641" s="137"/>
      <c r="O641" s="136"/>
      <c r="R641" s="126"/>
    </row>
    <row r="642">
      <c r="B642" s="153"/>
      <c r="C642" s="154"/>
      <c r="E642" s="155"/>
      <c r="F642" s="156"/>
      <c r="H642" s="131"/>
      <c r="K642" s="137"/>
      <c r="L642" s="137"/>
      <c r="O642" s="136"/>
      <c r="R642" s="126"/>
    </row>
    <row r="643">
      <c r="B643" s="153"/>
      <c r="C643" s="154"/>
      <c r="E643" s="155"/>
      <c r="F643" s="156"/>
      <c r="H643" s="131"/>
      <c r="K643" s="137"/>
      <c r="L643" s="137"/>
      <c r="O643" s="136"/>
      <c r="R643" s="126"/>
    </row>
    <row r="644">
      <c r="B644" s="153"/>
      <c r="C644" s="154"/>
      <c r="E644" s="155"/>
      <c r="F644" s="156"/>
      <c r="H644" s="131"/>
      <c r="K644" s="137"/>
      <c r="L644" s="137"/>
      <c r="O644" s="136"/>
      <c r="R644" s="126"/>
    </row>
    <row r="645">
      <c r="B645" s="153"/>
      <c r="C645" s="154"/>
      <c r="E645" s="155"/>
      <c r="F645" s="156"/>
      <c r="H645" s="131"/>
      <c r="K645" s="137"/>
      <c r="L645" s="137"/>
      <c r="O645" s="136"/>
      <c r="R645" s="126"/>
    </row>
    <row r="646">
      <c r="B646" s="153"/>
      <c r="C646" s="154"/>
      <c r="E646" s="155"/>
      <c r="F646" s="156"/>
      <c r="H646" s="131"/>
      <c r="K646" s="137"/>
      <c r="L646" s="137"/>
      <c r="O646" s="136"/>
      <c r="R646" s="126"/>
    </row>
    <row r="647">
      <c r="B647" s="153"/>
      <c r="C647" s="154"/>
      <c r="E647" s="155"/>
      <c r="F647" s="156"/>
      <c r="H647" s="131"/>
      <c r="K647" s="137"/>
      <c r="L647" s="137"/>
      <c r="O647" s="136"/>
      <c r="R647" s="126"/>
    </row>
    <row r="648">
      <c r="B648" s="153"/>
      <c r="C648" s="154"/>
      <c r="E648" s="155"/>
      <c r="F648" s="156"/>
      <c r="H648" s="131"/>
      <c r="K648" s="137"/>
      <c r="L648" s="137"/>
      <c r="O648" s="136"/>
      <c r="R648" s="126"/>
    </row>
    <row r="649">
      <c r="B649" s="153"/>
      <c r="C649" s="154"/>
      <c r="E649" s="155"/>
      <c r="F649" s="156"/>
      <c r="H649" s="131"/>
      <c r="K649" s="137"/>
      <c r="L649" s="137"/>
      <c r="O649" s="136"/>
      <c r="R649" s="126"/>
    </row>
    <row r="650">
      <c r="B650" s="153"/>
      <c r="C650" s="154"/>
      <c r="E650" s="155"/>
      <c r="F650" s="156"/>
      <c r="H650" s="131"/>
      <c r="K650" s="137"/>
      <c r="L650" s="137"/>
      <c r="O650" s="136"/>
      <c r="R650" s="126"/>
    </row>
    <row r="651">
      <c r="B651" s="153"/>
      <c r="C651" s="154"/>
      <c r="E651" s="155"/>
      <c r="F651" s="156"/>
      <c r="H651" s="131"/>
      <c r="K651" s="137"/>
      <c r="L651" s="137"/>
      <c r="O651" s="136"/>
      <c r="R651" s="126"/>
    </row>
    <row r="652">
      <c r="B652" s="153"/>
      <c r="C652" s="154"/>
      <c r="E652" s="155"/>
      <c r="F652" s="156"/>
      <c r="H652" s="131"/>
      <c r="K652" s="137"/>
      <c r="L652" s="137"/>
      <c r="O652" s="136"/>
      <c r="R652" s="126"/>
    </row>
    <row r="653">
      <c r="B653" s="153"/>
      <c r="C653" s="154"/>
      <c r="E653" s="155"/>
      <c r="F653" s="156"/>
      <c r="H653" s="131"/>
      <c r="K653" s="137"/>
      <c r="L653" s="137"/>
      <c r="O653" s="136"/>
      <c r="R653" s="126"/>
    </row>
    <row r="654">
      <c r="B654" s="153"/>
      <c r="C654" s="154"/>
      <c r="E654" s="155"/>
      <c r="F654" s="156"/>
      <c r="H654" s="131"/>
      <c r="K654" s="137"/>
      <c r="L654" s="137"/>
      <c r="O654" s="136"/>
      <c r="R654" s="126"/>
    </row>
    <row r="655">
      <c r="B655" s="153"/>
      <c r="C655" s="154"/>
      <c r="E655" s="155"/>
      <c r="F655" s="156"/>
      <c r="H655" s="131"/>
      <c r="K655" s="137"/>
      <c r="L655" s="137"/>
      <c r="O655" s="136"/>
      <c r="R655" s="126"/>
    </row>
    <row r="656">
      <c r="B656" s="153"/>
      <c r="C656" s="154"/>
      <c r="E656" s="155"/>
      <c r="F656" s="156"/>
      <c r="H656" s="131"/>
      <c r="K656" s="137"/>
      <c r="L656" s="137"/>
      <c r="O656" s="136"/>
      <c r="R656" s="126"/>
    </row>
    <row r="657">
      <c r="B657" s="153"/>
      <c r="C657" s="154"/>
      <c r="E657" s="155"/>
      <c r="F657" s="156"/>
      <c r="H657" s="131"/>
      <c r="K657" s="137"/>
      <c r="L657" s="137"/>
      <c r="O657" s="136"/>
      <c r="R657" s="126"/>
    </row>
    <row r="658">
      <c r="B658" s="153"/>
      <c r="C658" s="154"/>
      <c r="E658" s="155"/>
      <c r="F658" s="156"/>
      <c r="H658" s="131"/>
      <c r="K658" s="137"/>
      <c r="L658" s="137"/>
      <c r="O658" s="136"/>
      <c r="R658" s="126"/>
    </row>
    <row r="659">
      <c r="B659" s="153"/>
      <c r="C659" s="154"/>
      <c r="E659" s="155"/>
      <c r="F659" s="156"/>
      <c r="H659" s="131"/>
      <c r="K659" s="137"/>
      <c r="L659" s="137"/>
      <c r="O659" s="136"/>
      <c r="R659" s="126"/>
    </row>
    <row r="660">
      <c r="B660" s="153"/>
      <c r="C660" s="154"/>
      <c r="E660" s="155"/>
      <c r="F660" s="156"/>
      <c r="H660" s="131"/>
      <c r="K660" s="137"/>
      <c r="L660" s="137"/>
      <c r="O660" s="136"/>
      <c r="R660" s="126"/>
    </row>
    <row r="661">
      <c r="B661" s="153"/>
      <c r="C661" s="154"/>
      <c r="E661" s="155"/>
      <c r="F661" s="156"/>
      <c r="H661" s="131"/>
      <c r="K661" s="137"/>
      <c r="L661" s="137"/>
      <c r="O661" s="136"/>
      <c r="R661" s="126"/>
    </row>
    <row r="662">
      <c r="B662" s="153"/>
      <c r="C662" s="154"/>
      <c r="E662" s="155"/>
      <c r="F662" s="156"/>
      <c r="H662" s="131"/>
      <c r="K662" s="137"/>
      <c r="L662" s="137"/>
      <c r="O662" s="136"/>
      <c r="R662" s="126"/>
    </row>
    <row r="663">
      <c r="B663" s="153"/>
      <c r="C663" s="154"/>
      <c r="E663" s="155"/>
      <c r="F663" s="156"/>
      <c r="H663" s="131"/>
      <c r="K663" s="137"/>
      <c r="L663" s="137"/>
      <c r="O663" s="136"/>
      <c r="R663" s="126"/>
    </row>
    <row r="664">
      <c r="B664" s="153"/>
      <c r="C664" s="154"/>
      <c r="E664" s="155"/>
      <c r="F664" s="156"/>
      <c r="H664" s="131"/>
      <c r="K664" s="137"/>
      <c r="L664" s="137"/>
      <c r="O664" s="136"/>
      <c r="R664" s="126"/>
    </row>
    <row r="665">
      <c r="B665" s="153"/>
      <c r="C665" s="154"/>
      <c r="E665" s="155"/>
      <c r="F665" s="156"/>
      <c r="H665" s="131"/>
      <c r="K665" s="137"/>
      <c r="L665" s="137"/>
      <c r="O665" s="136"/>
      <c r="R665" s="126"/>
    </row>
    <row r="666">
      <c r="B666" s="153"/>
      <c r="C666" s="154"/>
      <c r="E666" s="155"/>
      <c r="F666" s="156"/>
      <c r="H666" s="131"/>
      <c r="K666" s="137"/>
      <c r="L666" s="137"/>
      <c r="O666" s="136"/>
      <c r="R666" s="126"/>
    </row>
    <row r="667">
      <c r="B667" s="153"/>
      <c r="C667" s="154"/>
      <c r="E667" s="155"/>
      <c r="F667" s="156"/>
      <c r="H667" s="131"/>
      <c r="K667" s="137"/>
      <c r="L667" s="137"/>
      <c r="O667" s="136"/>
      <c r="R667" s="126"/>
    </row>
    <row r="668">
      <c r="B668" s="153"/>
      <c r="C668" s="154"/>
      <c r="E668" s="155"/>
      <c r="F668" s="156"/>
      <c r="H668" s="131"/>
      <c r="K668" s="137"/>
      <c r="L668" s="137"/>
      <c r="O668" s="136"/>
      <c r="R668" s="126"/>
    </row>
    <row r="669">
      <c r="B669" s="153"/>
      <c r="C669" s="154"/>
      <c r="E669" s="155"/>
      <c r="F669" s="156"/>
      <c r="H669" s="131"/>
      <c r="K669" s="137"/>
      <c r="L669" s="137"/>
      <c r="O669" s="136"/>
      <c r="R669" s="126"/>
    </row>
    <row r="670">
      <c r="B670" s="153"/>
      <c r="C670" s="154"/>
      <c r="E670" s="155"/>
      <c r="F670" s="156"/>
      <c r="H670" s="131"/>
      <c r="K670" s="137"/>
      <c r="L670" s="137"/>
      <c r="O670" s="136"/>
      <c r="R670" s="126"/>
    </row>
    <row r="671">
      <c r="B671" s="153"/>
      <c r="C671" s="154"/>
      <c r="E671" s="155"/>
      <c r="F671" s="156"/>
      <c r="H671" s="131"/>
      <c r="K671" s="137"/>
      <c r="L671" s="137"/>
      <c r="O671" s="136"/>
      <c r="R671" s="126"/>
    </row>
    <row r="672">
      <c r="B672" s="153"/>
      <c r="C672" s="154"/>
      <c r="E672" s="155"/>
      <c r="F672" s="156"/>
      <c r="H672" s="131"/>
      <c r="K672" s="137"/>
      <c r="L672" s="137"/>
      <c r="O672" s="136"/>
      <c r="R672" s="126"/>
    </row>
    <row r="673">
      <c r="B673" s="153"/>
      <c r="C673" s="154"/>
      <c r="E673" s="155"/>
      <c r="F673" s="156"/>
      <c r="H673" s="131"/>
      <c r="K673" s="137"/>
      <c r="L673" s="137"/>
      <c r="O673" s="136"/>
      <c r="R673" s="126"/>
    </row>
    <row r="674">
      <c r="B674" s="153"/>
      <c r="C674" s="154"/>
      <c r="E674" s="155"/>
      <c r="F674" s="156"/>
      <c r="H674" s="131"/>
      <c r="K674" s="137"/>
      <c r="L674" s="137"/>
      <c r="O674" s="136"/>
      <c r="R674" s="126"/>
    </row>
    <row r="675">
      <c r="B675" s="153"/>
      <c r="C675" s="154"/>
      <c r="E675" s="155"/>
      <c r="F675" s="156"/>
      <c r="H675" s="131"/>
      <c r="K675" s="137"/>
      <c r="L675" s="137"/>
      <c r="O675" s="136"/>
      <c r="R675" s="126"/>
    </row>
    <row r="676">
      <c r="B676" s="153"/>
      <c r="C676" s="154"/>
      <c r="E676" s="155"/>
      <c r="F676" s="156"/>
      <c r="H676" s="131"/>
      <c r="K676" s="137"/>
      <c r="L676" s="137"/>
      <c r="O676" s="136"/>
      <c r="R676" s="126"/>
    </row>
    <row r="677">
      <c r="B677" s="153"/>
      <c r="C677" s="154"/>
      <c r="E677" s="155"/>
      <c r="F677" s="156"/>
      <c r="H677" s="131"/>
      <c r="K677" s="137"/>
      <c r="L677" s="137"/>
      <c r="O677" s="136"/>
      <c r="R677" s="126"/>
    </row>
    <row r="678">
      <c r="B678" s="153"/>
      <c r="C678" s="154"/>
      <c r="E678" s="155"/>
      <c r="F678" s="156"/>
      <c r="H678" s="131"/>
      <c r="K678" s="137"/>
      <c r="L678" s="137"/>
      <c r="O678" s="136"/>
      <c r="R678" s="126"/>
    </row>
    <row r="679">
      <c r="B679" s="153"/>
      <c r="C679" s="154"/>
      <c r="E679" s="155"/>
      <c r="F679" s="156"/>
      <c r="H679" s="131"/>
      <c r="K679" s="137"/>
      <c r="L679" s="137"/>
      <c r="O679" s="136"/>
      <c r="R679" s="126"/>
    </row>
    <row r="680">
      <c r="B680" s="153"/>
      <c r="C680" s="154"/>
      <c r="E680" s="155"/>
      <c r="F680" s="156"/>
      <c r="H680" s="131"/>
      <c r="K680" s="137"/>
      <c r="L680" s="137"/>
      <c r="O680" s="136"/>
      <c r="R680" s="126"/>
    </row>
    <row r="681">
      <c r="B681" s="153"/>
      <c r="C681" s="154"/>
      <c r="E681" s="155"/>
      <c r="F681" s="156"/>
      <c r="H681" s="131"/>
      <c r="K681" s="137"/>
      <c r="L681" s="137"/>
      <c r="O681" s="136"/>
      <c r="R681" s="126"/>
    </row>
    <row r="682">
      <c r="B682" s="153"/>
      <c r="C682" s="154"/>
      <c r="E682" s="155"/>
      <c r="F682" s="156"/>
      <c r="H682" s="131"/>
      <c r="K682" s="137"/>
      <c r="L682" s="137"/>
      <c r="O682" s="136"/>
      <c r="R682" s="126"/>
    </row>
    <row r="683">
      <c r="B683" s="153"/>
      <c r="C683" s="154"/>
      <c r="E683" s="155"/>
      <c r="F683" s="156"/>
      <c r="H683" s="131"/>
      <c r="K683" s="137"/>
      <c r="L683" s="137"/>
      <c r="O683" s="136"/>
      <c r="R683" s="126"/>
    </row>
    <row r="684">
      <c r="B684" s="153"/>
      <c r="C684" s="154"/>
      <c r="E684" s="155"/>
      <c r="F684" s="156"/>
      <c r="H684" s="131"/>
      <c r="K684" s="137"/>
      <c r="L684" s="137"/>
      <c r="O684" s="136"/>
      <c r="R684" s="126"/>
    </row>
    <row r="685">
      <c r="B685" s="153"/>
      <c r="C685" s="154"/>
      <c r="E685" s="155"/>
      <c r="F685" s="156"/>
      <c r="H685" s="131"/>
      <c r="K685" s="137"/>
      <c r="L685" s="137"/>
      <c r="O685" s="136"/>
      <c r="R685" s="126"/>
    </row>
    <row r="686">
      <c r="B686" s="153"/>
      <c r="C686" s="154"/>
      <c r="E686" s="155"/>
      <c r="F686" s="156"/>
      <c r="H686" s="131"/>
      <c r="K686" s="137"/>
      <c r="L686" s="137"/>
      <c r="O686" s="136"/>
      <c r="R686" s="126"/>
    </row>
    <row r="687">
      <c r="B687" s="153"/>
      <c r="C687" s="154"/>
      <c r="E687" s="155"/>
      <c r="F687" s="156"/>
      <c r="H687" s="131"/>
      <c r="K687" s="137"/>
      <c r="L687" s="137"/>
      <c r="O687" s="136"/>
      <c r="R687" s="126"/>
    </row>
    <row r="688">
      <c r="B688" s="153"/>
      <c r="C688" s="154"/>
      <c r="E688" s="155"/>
      <c r="F688" s="156"/>
      <c r="H688" s="131"/>
      <c r="K688" s="137"/>
      <c r="L688" s="137"/>
      <c r="O688" s="136"/>
      <c r="R688" s="126"/>
    </row>
    <row r="689">
      <c r="B689" s="153"/>
      <c r="C689" s="154"/>
      <c r="E689" s="155"/>
      <c r="F689" s="156"/>
      <c r="H689" s="131"/>
      <c r="K689" s="137"/>
      <c r="L689" s="137"/>
      <c r="O689" s="136"/>
      <c r="R689" s="126"/>
    </row>
    <row r="690">
      <c r="B690" s="153"/>
      <c r="C690" s="154"/>
      <c r="E690" s="155"/>
      <c r="F690" s="156"/>
      <c r="H690" s="131"/>
      <c r="K690" s="137"/>
      <c r="L690" s="137"/>
      <c r="O690" s="136"/>
      <c r="R690" s="126"/>
    </row>
    <row r="691">
      <c r="B691" s="153"/>
      <c r="C691" s="154"/>
      <c r="E691" s="155"/>
      <c r="F691" s="156"/>
      <c r="H691" s="131"/>
      <c r="K691" s="137"/>
      <c r="L691" s="137"/>
      <c r="O691" s="136"/>
      <c r="R691" s="126"/>
    </row>
    <row r="692">
      <c r="B692" s="153"/>
      <c r="C692" s="154"/>
      <c r="E692" s="155"/>
      <c r="F692" s="156"/>
      <c r="H692" s="131"/>
      <c r="K692" s="137"/>
      <c r="L692" s="137"/>
      <c r="O692" s="136"/>
      <c r="R692" s="126"/>
    </row>
    <row r="693">
      <c r="B693" s="153"/>
      <c r="C693" s="154"/>
      <c r="E693" s="155"/>
      <c r="F693" s="156"/>
      <c r="H693" s="131"/>
      <c r="K693" s="137"/>
      <c r="L693" s="137"/>
      <c r="O693" s="136"/>
      <c r="R693" s="126"/>
    </row>
    <row r="694">
      <c r="B694" s="153"/>
      <c r="C694" s="154"/>
      <c r="E694" s="155"/>
      <c r="F694" s="156"/>
      <c r="H694" s="131"/>
      <c r="K694" s="137"/>
      <c r="L694" s="137"/>
      <c r="O694" s="136"/>
      <c r="R694" s="126"/>
    </row>
    <row r="695">
      <c r="B695" s="153"/>
      <c r="C695" s="154"/>
      <c r="E695" s="155"/>
      <c r="F695" s="156"/>
      <c r="H695" s="131"/>
      <c r="K695" s="137"/>
      <c r="L695" s="137"/>
      <c r="O695" s="136"/>
      <c r="R695" s="126"/>
    </row>
    <row r="696">
      <c r="B696" s="153"/>
      <c r="C696" s="154"/>
      <c r="E696" s="155"/>
      <c r="F696" s="156"/>
      <c r="H696" s="131"/>
      <c r="K696" s="137"/>
      <c r="L696" s="137"/>
      <c r="O696" s="136"/>
      <c r="R696" s="126"/>
    </row>
    <row r="697">
      <c r="B697" s="153"/>
      <c r="C697" s="154"/>
      <c r="E697" s="155"/>
      <c r="F697" s="156"/>
      <c r="H697" s="131"/>
      <c r="K697" s="137"/>
      <c r="L697" s="137"/>
      <c r="O697" s="136"/>
      <c r="R697" s="126"/>
    </row>
    <row r="698">
      <c r="B698" s="153"/>
      <c r="C698" s="154"/>
      <c r="E698" s="155"/>
      <c r="F698" s="156"/>
      <c r="H698" s="131"/>
      <c r="K698" s="137"/>
      <c r="L698" s="137"/>
      <c r="O698" s="136"/>
      <c r="R698" s="126"/>
    </row>
    <row r="699">
      <c r="B699" s="153"/>
      <c r="C699" s="154"/>
      <c r="E699" s="155"/>
      <c r="F699" s="156"/>
      <c r="H699" s="131"/>
      <c r="K699" s="137"/>
      <c r="L699" s="137"/>
      <c r="O699" s="136"/>
      <c r="R699" s="126"/>
    </row>
    <row r="700">
      <c r="B700" s="153"/>
      <c r="C700" s="154"/>
      <c r="E700" s="155"/>
      <c r="F700" s="156"/>
      <c r="H700" s="131"/>
      <c r="K700" s="137"/>
      <c r="L700" s="137"/>
      <c r="O700" s="136"/>
      <c r="R700" s="126"/>
    </row>
    <row r="701">
      <c r="B701" s="153"/>
      <c r="C701" s="154"/>
      <c r="E701" s="155"/>
      <c r="F701" s="156"/>
      <c r="H701" s="131"/>
      <c r="K701" s="137"/>
      <c r="L701" s="137"/>
      <c r="O701" s="136"/>
      <c r="R701" s="126"/>
    </row>
    <row r="702">
      <c r="B702" s="153"/>
      <c r="C702" s="154"/>
      <c r="E702" s="155"/>
      <c r="F702" s="156"/>
      <c r="H702" s="131"/>
      <c r="K702" s="137"/>
      <c r="L702" s="137"/>
      <c r="O702" s="136"/>
      <c r="R702" s="126"/>
    </row>
    <row r="703">
      <c r="B703" s="153"/>
      <c r="C703" s="154"/>
      <c r="E703" s="155"/>
      <c r="F703" s="156"/>
      <c r="H703" s="131"/>
      <c r="K703" s="137"/>
      <c r="L703" s="137"/>
      <c r="O703" s="136"/>
      <c r="R703" s="126"/>
    </row>
    <row r="704">
      <c r="B704" s="153"/>
      <c r="C704" s="154"/>
      <c r="E704" s="155"/>
      <c r="F704" s="156"/>
      <c r="H704" s="131"/>
      <c r="K704" s="137"/>
      <c r="L704" s="137"/>
      <c r="O704" s="136"/>
      <c r="R704" s="126"/>
    </row>
    <row r="705">
      <c r="B705" s="153"/>
      <c r="C705" s="154"/>
      <c r="E705" s="155"/>
      <c r="F705" s="156"/>
      <c r="H705" s="131"/>
      <c r="K705" s="137"/>
      <c r="L705" s="137"/>
      <c r="O705" s="136"/>
      <c r="R705" s="126"/>
    </row>
    <row r="706">
      <c r="B706" s="153"/>
      <c r="C706" s="154"/>
      <c r="E706" s="155"/>
      <c r="F706" s="156"/>
      <c r="H706" s="131"/>
      <c r="K706" s="137"/>
      <c r="L706" s="137"/>
      <c r="O706" s="136"/>
      <c r="R706" s="126"/>
    </row>
    <row r="707">
      <c r="B707" s="153"/>
      <c r="C707" s="154"/>
      <c r="E707" s="155"/>
      <c r="F707" s="156"/>
      <c r="H707" s="131"/>
      <c r="K707" s="137"/>
      <c r="L707" s="137"/>
      <c r="O707" s="136"/>
      <c r="R707" s="126"/>
    </row>
    <row r="708">
      <c r="B708" s="153"/>
      <c r="C708" s="154"/>
      <c r="E708" s="155"/>
      <c r="F708" s="156"/>
      <c r="H708" s="131"/>
      <c r="K708" s="137"/>
      <c r="L708" s="137"/>
      <c r="O708" s="136"/>
      <c r="R708" s="126"/>
    </row>
    <row r="709">
      <c r="B709" s="153"/>
      <c r="C709" s="154"/>
      <c r="E709" s="155"/>
      <c r="F709" s="156"/>
      <c r="H709" s="131"/>
      <c r="K709" s="137"/>
      <c r="L709" s="137"/>
      <c r="O709" s="136"/>
      <c r="R709" s="126"/>
    </row>
    <row r="710">
      <c r="B710" s="153"/>
      <c r="C710" s="154"/>
      <c r="E710" s="155"/>
      <c r="F710" s="156"/>
      <c r="H710" s="131"/>
      <c r="K710" s="137"/>
      <c r="L710" s="137"/>
      <c r="O710" s="136"/>
      <c r="R710" s="126"/>
    </row>
    <row r="711">
      <c r="B711" s="153"/>
      <c r="C711" s="154"/>
      <c r="E711" s="155"/>
      <c r="F711" s="156"/>
      <c r="H711" s="131"/>
      <c r="K711" s="137"/>
      <c r="L711" s="137"/>
      <c r="O711" s="136"/>
      <c r="R711" s="126"/>
    </row>
    <row r="712">
      <c r="B712" s="153"/>
      <c r="C712" s="154"/>
      <c r="E712" s="155"/>
      <c r="F712" s="156"/>
      <c r="H712" s="131"/>
      <c r="K712" s="137"/>
      <c r="L712" s="137"/>
      <c r="O712" s="136"/>
      <c r="R712" s="126"/>
    </row>
    <row r="713">
      <c r="B713" s="153"/>
      <c r="C713" s="154"/>
      <c r="E713" s="155"/>
      <c r="F713" s="156"/>
      <c r="H713" s="131"/>
      <c r="K713" s="137"/>
      <c r="L713" s="137"/>
      <c r="O713" s="136"/>
      <c r="R713" s="126"/>
    </row>
    <row r="714">
      <c r="B714" s="153"/>
      <c r="C714" s="154"/>
      <c r="E714" s="155"/>
      <c r="F714" s="156"/>
      <c r="H714" s="131"/>
      <c r="K714" s="137"/>
      <c r="L714" s="137"/>
      <c r="O714" s="136"/>
      <c r="R714" s="126"/>
    </row>
    <row r="715">
      <c r="B715" s="153"/>
      <c r="C715" s="154"/>
      <c r="E715" s="155"/>
      <c r="F715" s="156"/>
      <c r="H715" s="131"/>
      <c r="K715" s="137"/>
      <c r="L715" s="137"/>
      <c r="O715" s="136"/>
      <c r="R715" s="126"/>
    </row>
    <row r="716">
      <c r="B716" s="153"/>
      <c r="C716" s="154"/>
      <c r="E716" s="155"/>
      <c r="F716" s="156"/>
      <c r="H716" s="131"/>
      <c r="K716" s="137"/>
      <c r="L716" s="137"/>
      <c r="O716" s="136"/>
      <c r="R716" s="126"/>
    </row>
    <row r="717">
      <c r="B717" s="153"/>
      <c r="C717" s="154"/>
      <c r="E717" s="155"/>
      <c r="F717" s="156"/>
      <c r="H717" s="131"/>
      <c r="K717" s="137"/>
      <c r="L717" s="137"/>
      <c r="O717" s="136"/>
      <c r="R717" s="126"/>
    </row>
    <row r="718">
      <c r="B718" s="153"/>
      <c r="C718" s="154"/>
      <c r="E718" s="155"/>
      <c r="F718" s="156"/>
      <c r="H718" s="131"/>
      <c r="K718" s="137"/>
      <c r="L718" s="137"/>
      <c r="O718" s="136"/>
      <c r="R718" s="126"/>
    </row>
    <row r="719">
      <c r="B719" s="153"/>
      <c r="C719" s="154"/>
      <c r="E719" s="155"/>
      <c r="F719" s="156"/>
      <c r="H719" s="131"/>
      <c r="K719" s="137"/>
      <c r="L719" s="137"/>
      <c r="O719" s="136"/>
      <c r="R719" s="126"/>
    </row>
    <row r="720">
      <c r="B720" s="153"/>
      <c r="C720" s="154"/>
      <c r="E720" s="155"/>
      <c r="F720" s="156"/>
      <c r="H720" s="131"/>
      <c r="K720" s="137"/>
      <c r="L720" s="137"/>
      <c r="O720" s="136"/>
      <c r="R720" s="126"/>
    </row>
    <row r="721">
      <c r="B721" s="153"/>
      <c r="C721" s="154"/>
      <c r="E721" s="155"/>
      <c r="F721" s="156"/>
      <c r="H721" s="131"/>
      <c r="K721" s="137"/>
      <c r="L721" s="137"/>
      <c r="O721" s="136"/>
      <c r="R721" s="126"/>
    </row>
    <row r="722">
      <c r="B722" s="153"/>
      <c r="C722" s="154"/>
      <c r="E722" s="155"/>
      <c r="F722" s="156"/>
      <c r="H722" s="131"/>
      <c r="K722" s="137"/>
      <c r="L722" s="137"/>
      <c r="O722" s="136"/>
      <c r="R722" s="126"/>
    </row>
    <row r="723">
      <c r="B723" s="153"/>
      <c r="C723" s="154"/>
      <c r="E723" s="155"/>
      <c r="F723" s="156"/>
      <c r="H723" s="131"/>
      <c r="K723" s="137"/>
      <c r="L723" s="137"/>
      <c r="O723" s="136"/>
      <c r="R723" s="126"/>
    </row>
    <row r="724">
      <c r="B724" s="153"/>
      <c r="C724" s="154"/>
      <c r="E724" s="155"/>
      <c r="F724" s="156"/>
      <c r="H724" s="131"/>
      <c r="K724" s="137"/>
      <c r="L724" s="137"/>
      <c r="O724" s="136"/>
      <c r="R724" s="126"/>
    </row>
    <row r="725">
      <c r="B725" s="153"/>
      <c r="C725" s="154"/>
      <c r="E725" s="155"/>
      <c r="F725" s="156"/>
      <c r="H725" s="131"/>
      <c r="K725" s="137"/>
      <c r="L725" s="137"/>
      <c r="O725" s="136"/>
      <c r="R725" s="126"/>
    </row>
    <row r="726">
      <c r="B726" s="153"/>
      <c r="C726" s="154"/>
      <c r="E726" s="155"/>
      <c r="F726" s="156"/>
      <c r="H726" s="131"/>
      <c r="K726" s="137"/>
      <c r="L726" s="137"/>
      <c r="O726" s="136"/>
      <c r="R726" s="126"/>
    </row>
    <row r="727">
      <c r="B727" s="153"/>
      <c r="C727" s="154"/>
      <c r="E727" s="155"/>
      <c r="F727" s="156"/>
      <c r="H727" s="131"/>
      <c r="K727" s="137"/>
      <c r="L727" s="137"/>
      <c r="O727" s="136"/>
      <c r="R727" s="126"/>
    </row>
    <row r="728">
      <c r="B728" s="153"/>
      <c r="C728" s="154"/>
      <c r="E728" s="155"/>
      <c r="F728" s="156"/>
      <c r="H728" s="131"/>
      <c r="K728" s="137"/>
      <c r="L728" s="137"/>
      <c r="O728" s="136"/>
      <c r="R728" s="126"/>
    </row>
    <row r="729">
      <c r="B729" s="153"/>
      <c r="C729" s="154"/>
      <c r="E729" s="155"/>
      <c r="F729" s="156"/>
      <c r="H729" s="131"/>
      <c r="K729" s="137"/>
      <c r="L729" s="137"/>
      <c r="O729" s="136"/>
      <c r="R729" s="126"/>
    </row>
    <row r="730">
      <c r="B730" s="153"/>
      <c r="C730" s="154"/>
      <c r="E730" s="155"/>
      <c r="F730" s="156"/>
      <c r="H730" s="131"/>
      <c r="K730" s="137"/>
      <c r="L730" s="137"/>
      <c r="O730" s="136"/>
      <c r="R730" s="126"/>
    </row>
    <row r="731">
      <c r="B731" s="153"/>
      <c r="C731" s="154"/>
      <c r="E731" s="155"/>
      <c r="F731" s="156"/>
      <c r="H731" s="131"/>
      <c r="K731" s="137"/>
      <c r="L731" s="137"/>
      <c r="O731" s="136"/>
      <c r="R731" s="126"/>
    </row>
    <row r="732">
      <c r="B732" s="153"/>
      <c r="C732" s="154"/>
      <c r="E732" s="155"/>
      <c r="F732" s="156"/>
      <c r="H732" s="131"/>
      <c r="K732" s="137"/>
      <c r="L732" s="137"/>
      <c r="O732" s="136"/>
      <c r="R732" s="126"/>
    </row>
    <row r="733">
      <c r="B733" s="153"/>
      <c r="C733" s="154"/>
      <c r="E733" s="155"/>
      <c r="F733" s="156"/>
      <c r="H733" s="131"/>
      <c r="K733" s="137"/>
      <c r="L733" s="137"/>
      <c r="O733" s="136"/>
      <c r="R733" s="126"/>
    </row>
    <row r="734">
      <c r="B734" s="153"/>
      <c r="C734" s="154"/>
      <c r="E734" s="155"/>
      <c r="F734" s="156"/>
      <c r="H734" s="131"/>
      <c r="K734" s="137"/>
      <c r="L734" s="137"/>
      <c r="O734" s="136"/>
      <c r="R734" s="126"/>
    </row>
    <row r="735">
      <c r="B735" s="153"/>
      <c r="C735" s="154"/>
      <c r="E735" s="155"/>
      <c r="F735" s="156"/>
      <c r="H735" s="131"/>
      <c r="K735" s="137"/>
      <c r="L735" s="137"/>
      <c r="O735" s="136"/>
      <c r="R735" s="126"/>
    </row>
    <row r="736">
      <c r="B736" s="153"/>
      <c r="C736" s="154"/>
      <c r="E736" s="155"/>
      <c r="F736" s="156"/>
      <c r="H736" s="131"/>
      <c r="K736" s="137"/>
      <c r="L736" s="137"/>
      <c r="O736" s="136"/>
      <c r="R736" s="126"/>
    </row>
    <row r="737">
      <c r="B737" s="153"/>
      <c r="C737" s="154"/>
      <c r="E737" s="155"/>
      <c r="F737" s="156"/>
      <c r="H737" s="131"/>
      <c r="K737" s="137"/>
      <c r="L737" s="137"/>
      <c r="O737" s="136"/>
      <c r="R737" s="126"/>
    </row>
    <row r="738">
      <c r="B738" s="153"/>
      <c r="C738" s="154"/>
      <c r="E738" s="155"/>
      <c r="F738" s="156"/>
      <c r="H738" s="131"/>
      <c r="K738" s="137"/>
      <c r="L738" s="137"/>
      <c r="O738" s="136"/>
      <c r="R738" s="126"/>
    </row>
    <row r="739">
      <c r="B739" s="153"/>
      <c r="C739" s="154"/>
      <c r="E739" s="155"/>
      <c r="F739" s="156"/>
      <c r="H739" s="131"/>
      <c r="K739" s="137"/>
      <c r="L739" s="137"/>
      <c r="O739" s="136"/>
      <c r="R739" s="126"/>
    </row>
    <row r="740">
      <c r="B740" s="153"/>
      <c r="C740" s="154"/>
      <c r="E740" s="155"/>
      <c r="F740" s="156"/>
      <c r="H740" s="131"/>
      <c r="K740" s="137"/>
      <c r="L740" s="137"/>
      <c r="O740" s="136"/>
      <c r="R740" s="126"/>
    </row>
    <row r="741">
      <c r="B741" s="153"/>
      <c r="C741" s="154"/>
      <c r="E741" s="155"/>
      <c r="F741" s="156"/>
      <c r="H741" s="131"/>
      <c r="K741" s="137"/>
      <c r="L741" s="137"/>
      <c r="O741" s="136"/>
      <c r="R741" s="126"/>
    </row>
    <row r="742">
      <c r="B742" s="153"/>
      <c r="C742" s="154"/>
      <c r="E742" s="155"/>
      <c r="F742" s="156"/>
      <c r="H742" s="131"/>
      <c r="K742" s="137"/>
      <c r="L742" s="137"/>
      <c r="O742" s="136"/>
      <c r="R742" s="126"/>
    </row>
    <row r="743">
      <c r="B743" s="153"/>
      <c r="C743" s="154"/>
      <c r="E743" s="155"/>
      <c r="F743" s="156"/>
      <c r="H743" s="131"/>
      <c r="K743" s="137"/>
      <c r="L743" s="137"/>
      <c r="O743" s="136"/>
      <c r="R743" s="126"/>
    </row>
    <row r="744">
      <c r="B744" s="153"/>
      <c r="C744" s="154"/>
      <c r="E744" s="155"/>
      <c r="F744" s="156"/>
      <c r="H744" s="131"/>
      <c r="K744" s="137"/>
      <c r="L744" s="137"/>
      <c r="O744" s="136"/>
      <c r="R744" s="126"/>
    </row>
    <row r="745">
      <c r="B745" s="153"/>
      <c r="C745" s="154"/>
      <c r="E745" s="155"/>
      <c r="F745" s="156"/>
      <c r="H745" s="131"/>
      <c r="K745" s="137"/>
      <c r="L745" s="137"/>
      <c r="O745" s="136"/>
      <c r="R745" s="126"/>
    </row>
    <row r="746">
      <c r="B746" s="153"/>
      <c r="C746" s="154"/>
      <c r="E746" s="155"/>
      <c r="F746" s="156"/>
      <c r="H746" s="131"/>
      <c r="K746" s="137"/>
      <c r="L746" s="137"/>
      <c r="O746" s="136"/>
      <c r="R746" s="126"/>
    </row>
    <row r="747">
      <c r="B747" s="153"/>
      <c r="C747" s="154"/>
      <c r="E747" s="155"/>
      <c r="F747" s="156"/>
      <c r="H747" s="131"/>
      <c r="K747" s="137"/>
      <c r="L747" s="137"/>
      <c r="O747" s="136"/>
      <c r="R747" s="126"/>
    </row>
    <row r="748">
      <c r="B748" s="153"/>
      <c r="C748" s="154"/>
      <c r="E748" s="155"/>
      <c r="F748" s="156"/>
      <c r="H748" s="131"/>
      <c r="K748" s="137"/>
      <c r="L748" s="137"/>
      <c r="O748" s="136"/>
      <c r="R748" s="126"/>
    </row>
    <row r="749">
      <c r="B749" s="153"/>
      <c r="C749" s="154"/>
      <c r="E749" s="155"/>
      <c r="F749" s="156"/>
      <c r="H749" s="131"/>
      <c r="K749" s="137"/>
      <c r="L749" s="137"/>
      <c r="O749" s="136"/>
      <c r="R749" s="126"/>
    </row>
    <row r="750">
      <c r="B750" s="153"/>
      <c r="C750" s="154"/>
      <c r="E750" s="155"/>
      <c r="F750" s="156"/>
      <c r="H750" s="131"/>
      <c r="K750" s="137"/>
      <c r="L750" s="137"/>
      <c r="O750" s="136"/>
      <c r="R750" s="126"/>
    </row>
    <row r="751">
      <c r="B751" s="153"/>
      <c r="C751" s="154"/>
      <c r="E751" s="155"/>
      <c r="F751" s="156"/>
      <c r="H751" s="131"/>
      <c r="K751" s="137"/>
      <c r="L751" s="137"/>
      <c r="O751" s="136"/>
      <c r="R751" s="126"/>
    </row>
    <row r="752">
      <c r="B752" s="153"/>
      <c r="C752" s="154"/>
      <c r="E752" s="155"/>
      <c r="F752" s="156"/>
      <c r="H752" s="131"/>
      <c r="K752" s="137"/>
      <c r="L752" s="137"/>
      <c r="O752" s="136"/>
      <c r="R752" s="126"/>
    </row>
    <row r="753">
      <c r="B753" s="153"/>
      <c r="C753" s="154"/>
      <c r="E753" s="155"/>
      <c r="F753" s="156"/>
      <c r="H753" s="131"/>
      <c r="K753" s="137"/>
      <c r="L753" s="137"/>
      <c r="O753" s="136"/>
      <c r="R753" s="126"/>
    </row>
    <row r="754">
      <c r="B754" s="153"/>
      <c r="C754" s="154"/>
      <c r="E754" s="155"/>
      <c r="F754" s="156"/>
      <c r="H754" s="131"/>
      <c r="K754" s="137"/>
      <c r="L754" s="137"/>
      <c r="O754" s="136"/>
      <c r="R754" s="126"/>
    </row>
    <row r="755">
      <c r="B755" s="153"/>
      <c r="C755" s="154"/>
      <c r="E755" s="155"/>
      <c r="F755" s="156"/>
      <c r="H755" s="131"/>
      <c r="K755" s="137"/>
      <c r="L755" s="137"/>
      <c r="O755" s="136"/>
      <c r="R755" s="126"/>
    </row>
    <row r="756">
      <c r="B756" s="153"/>
      <c r="C756" s="154"/>
      <c r="E756" s="155"/>
      <c r="F756" s="156"/>
      <c r="H756" s="131"/>
      <c r="K756" s="137"/>
      <c r="L756" s="137"/>
      <c r="O756" s="136"/>
      <c r="R756" s="126"/>
    </row>
    <row r="757">
      <c r="B757" s="153"/>
      <c r="C757" s="154"/>
      <c r="E757" s="155"/>
      <c r="F757" s="156"/>
      <c r="H757" s="131"/>
      <c r="K757" s="137"/>
      <c r="L757" s="137"/>
      <c r="O757" s="136"/>
      <c r="R757" s="126"/>
    </row>
    <row r="758">
      <c r="B758" s="153"/>
      <c r="C758" s="154"/>
      <c r="E758" s="155"/>
      <c r="F758" s="156"/>
      <c r="H758" s="131"/>
      <c r="K758" s="137"/>
      <c r="L758" s="137"/>
      <c r="O758" s="136"/>
      <c r="R758" s="126"/>
    </row>
    <row r="759">
      <c r="B759" s="153"/>
      <c r="C759" s="154"/>
      <c r="E759" s="155"/>
      <c r="F759" s="156"/>
      <c r="H759" s="131"/>
      <c r="K759" s="137"/>
      <c r="L759" s="137"/>
      <c r="O759" s="136"/>
      <c r="R759" s="126"/>
    </row>
    <row r="760">
      <c r="B760" s="153"/>
      <c r="C760" s="154"/>
      <c r="E760" s="155"/>
      <c r="F760" s="156"/>
      <c r="H760" s="131"/>
      <c r="K760" s="137"/>
      <c r="L760" s="137"/>
      <c r="O760" s="136"/>
      <c r="R760" s="126"/>
    </row>
    <row r="761">
      <c r="B761" s="153"/>
      <c r="C761" s="154"/>
      <c r="E761" s="155"/>
      <c r="F761" s="156"/>
      <c r="H761" s="131"/>
      <c r="K761" s="137"/>
      <c r="L761" s="137"/>
      <c r="O761" s="136"/>
      <c r="R761" s="126"/>
    </row>
    <row r="762">
      <c r="B762" s="153"/>
      <c r="C762" s="154"/>
      <c r="E762" s="155"/>
      <c r="F762" s="156"/>
      <c r="H762" s="131"/>
      <c r="K762" s="137"/>
      <c r="L762" s="137"/>
      <c r="O762" s="136"/>
      <c r="R762" s="126"/>
    </row>
    <row r="763">
      <c r="B763" s="153"/>
      <c r="C763" s="154"/>
      <c r="E763" s="155"/>
      <c r="F763" s="156"/>
      <c r="H763" s="131"/>
      <c r="K763" s="137"/>
      <c r="L763" s="137"/>
      <c r="O763" s="136"/>
      <c r="R763" s="126"/>
    </row>
    <row r="764">
      <c r="B764" s="153"/>
      <c r="C764" s="154"/>
      <c r="E764" s="155"/>
      <c r="F764" s="156"/>
      <c r="H764" s="131"/>
      <c r="K764" s="137"/>
      <c r="L764" s="137"/>
      <c r="O764" s="136"/>
      <c r="R764" s="126"/>
    </row>
    <row r="765">
      <c r="B765" s="153"/>
      <c r="C765" s="154"/>
      <c r="E765" s="155"/>
      <c r="F765" s="156"/>
      <c r="H765" s="131"/>
      <c r="K765" s="137"/>
      <c r="L765" s="137"/>
      <c r="O765" s="136"/>
      <c r="R765" s="126"/>
    </row>
    <row r="766">
      <c r="B766" s="153"/>
      <c r="C766" s="154"/>
      <c r="E766" s="155"/>
      <c r="F766" s="156"/>
      <c r="H766" s="131"/>
      <c r="K766" s="137"/>
      <c r="L766" s="137"/>
      <c r="O766" s="136"/>
      <c r="R766" s="126"/>
    </row>
    <row r="767">
      <c r="B767" s="153"/>
      <c r="C767" s="154"/>
      <c r="E767" s="155"/>
      <c r="F767" s="156"/>
      <c r="H767" s="131"/>
      <c r="K767" s="137"/>
      <c r="L767" s="137"/>
      <c r="O767" s="136"/>
      <c r="R767" s="126"/>
    </row>
    <row r="768">
      <c r="B768" s="153"/>
      <c r="C768" s="154"/>
      <c r="E768" s="155"/>
      <c r="F768" s="156"/>
      <c r="H768" s="131"/>
      <c r="K768" s="137"/>
      <c r="L768" s="137"/>
      <c r="O768" s="136"/>
      <c r="R768" s="126"/>
    </row>
    <row r="769">
      <c r="B769" s="153"/>
      <c r="C769" s="154"/>
      <c r="E769" s="155"/>
      <c r="F769" s="156"/>
      <c r="H769" s="131"/>
      <c r="K769" s="137"/>
      <c r="L769" s="137"/>
      <c r="O769" s="136"/>
      <c r="R769" s="126"/>
    </row>
    <row r="770">
      <c r="B770" s="153"/>
      <c r="C770" s="154"/>
      <c r="E770" s="155"/>
      <c r="F770" s="156"/>
      <c r="H770" s="131"/>
      <c r="K770" s="137"/>
      <c r="L770" s="137"/>
      <c r="O770" s="136"/>
      <c r="R770" s="126"/>
    </row>
    <row r="771">
      <c r="B771" s="153"/>
      <c r="C771" s="154"/>
      <c r="E771" s="155"/>
      <c r="F771" s="156"/>
      <c r="H771" s="131"/>
      <c r="K771" s="137"/>
      <c r="L771" s="137"/>
      <c r="O771" s="136"/>
      <c r="R771" s="126"/>
    </row>
    <row r="772">
      <c r="B772" s="153"/>
      <c r="C772" s="154"/>
      <c r="E772" s="155"/>
      <c r="F772" s="156"/>
      <c r="H772" s="131"/>
      <c r="K772" s="137"/>
      <c r="L772" s="137"/>
      <c r="O772" s="136"/>
      <c r="R772" s="126"/>
    </row>
    <row r="773">
      <c r="B773" s="153"/>
      <c r="C773" s="154"/>
      <c r="E773" s="155"/>
      <c r="F773" s="156"/>
      <c r="H773" s="131"/>
      <c r="K773" s="137"/>
      <c r="L773" s="137"/>
      <c r="O773" s="136"/>
      <c r="R773" s="126"/>
    </row>
    <row r="774">
      <c r="B774" s="153"/>
      <c r="C774" s="154"/>
      <c r="E774" s="155"/>
      <c r="F774" s="156"/>
      <c r="H774" s="131"/>
      <c r="K774" s="137"/>
      <c r="L774" s="137"/>
      <c r="O774" s="136"/>
      <c r="R774" s="126"/>
    </row>
    <row r="775">
      <c r="B775" s="153"/>
      <c r="C775" s="154"/>
      <c r="E775" s="155"/>
      <c r="F775" s="156"/>
      <c r="H775" s="131"/>
      <c r="K775" s="137"/>
      <c r="L775" s="137"/>
      <c r="O775" s="136"/>
      <c r="R775" s="126"/>
    </row>
    <row r="776">
      <c r="B776" s="153"/>
      <c r="C776" s="154"/>
      <c r="E776" s="155"/>
      <c r="F776" s="156"/>
      <c r="H776" s="131"/>
      <c r="K776" s="137"/>
      <c r="L776" s="137"/>
      <c r="O776" s="136"/>
      <c r="R776" s="126"/>
    </row>
    <row r="777">
      <c r="B777" s="153"/>
      <c r="C777" s="154"/>
      <c r="E777" s="155"/>
      <c r="F777" s="156"/>
      <c r="H777" s="131"/>
      <c r="K777" s="137"/>
      <c r="L777" s="137"/>
      <c r="O777" s="136"/>
      <c r="R777" s="126"/>
    </row>
    <row r="778">
      <c r="B778" s="153"/>
      <c r="C778" s="154"/>
      <c r="E778" s="155"/>
      <c r="F778" s="156"/>
      <c r="H778" s="131"/>
      <c r="K778" s="137"/>
      <c r="L778" s="137"/>
      <c r="O778" s="136"/>
      <c r="R778" s="126"/>
    </row>
    <row r="779">
      <c r="B779" s="153"/>
      <c r="C779" s="154"/>
      <c r="E779" s="155"/>
      <c r="F779" s="156"/>
      <c r="H779" s="131"/>
      <c r="K779" s="137"/>
      <c r="L779" s="137"/>
      <c r="O779" s="136"/>
      <c r="R779" s="126"/>
    </row>
    <row r="780">
      <c r="B780" s="153"/>
      <c r="C780" s="154"/>
      <c r="E780" s="155"/>
      <c r="F780" s="156"/>
      <c r="H780" s="131"/>
      <c r="K780" s="137"/>
      <c r="L780" s="137"/>
      <c r="O780" s="136"/>
      <c r="R780" s="126"/>
    </row>
    <row r="781">
      <c r="B781" s="153"/>
      <c r="C781" s="154"/>
      <c r="E781" s="155"/>
      <c r="F781" s="156"/>
      <c r="H781" s="131"/>
      <c r="K781" s="137"/>
      <c r="L781" s="137"/>
      <c r="O781" s="136"/>
      <c r="R781" s="126"/>
    </row>
    <row r="782">
      <c r="B782" s="153"/>
      <c r="C782" s="154"/>
      <c r="E782" s="155"/>
      <c r="F782" s="156"/>
      <c r="H782" s="131"/>
      <c r="K782" s="137"/>
      <c r="L782" s="137"/>
      <c r="O782" s="136"/>
      <c r="R782" s="126"/>
    </row>
    <row r="783">
      <c r="B783" s="153"/>
      <c r="C783" s="154"/>
      <c r="E783" s="155"/>
      <c r="F783" s="156"/>
      <c r="H783" s="131"/>
      <c r="K783" s="137"/>
      <c r="L783" s="137"/>
      <c r="O783" s="136"/>
      <c r="R783" s="126"/>
    </row>
    <row r="784">
      <c r="B784" s="153"/>
      <c r="C784" s="154"/>
      <c r="E784" s="155"/>
      <c r="F784" s="156"/>
      <c r="H784" s="131"/>
      <c r="K784" s="137"/>
      <c r="L784" s="137"/>
      <c r="O784" s="136"/>
      <c r="R784" s="126"/>
    </row>
    <row r="785">
      <c r="B785" s="153"/>
      <c r="C785" s="154"/>
      <c r="E785" s="155"/>
      <c r="F785" s="156"/>
      <c r="H785" s="131"/>
      <c r="K785" s="137"/>
      <c r="L785" s="137"/>
      <c r="O785" s="136"/>
      <c r="R785" s="126"/>
    </row>
    <row r="786">
      <c r="B786" s="153"/>
      <c r="C786" s="154"/>
      <c r="E786" s="155"/>
      <c r="F786" s="156"/>
      <c r="H786" s="131"/>
      <c r="K786" s="137"/>
      <c r="L786" s="137"/>
      <c r="O786" s="136"/>
      <c r="R786" s="126"/>
    </row>
    <row r="787">
      <c r="B787" s="153"/>
      <c r="C787" s="154"/>
      <c r="E787" s="155"/>
      <c r="F787" s="156"/>
      <c r="H787" s="131"/>
      <c r="K787" s="137"/>
      <c r="L787" s="137"/>
      <c r="O787" s="136"/>
      <c r="R787" s="126"/>
    </row>
    <row r="788">
      <c r="B788" s="153"/>
      <c r="C788" s="154"/>
      <c r="E788" s="155"/>
      <c r="F788" s="156"/>
      <c r="H788" s="131"/>
      <c r="K788" s="137"/>
      <c r="L788" s="137"/>
      <c r="O788" s="136"/>
      <c r="R788" s="126"/>
    </row>
    <row r="789">
      <c r="B789" s="153"/>
      <c r="C789" s="154"/>
      <c r="E789" s="155"/>
      <c r="F789" s="156"/>
      <c r="H789" s="131"/>
      <c r="K789" s="137"/>
      <c r="L789" s="137"/>
      <c r="O789" s="136"/>
      <c r="R789" s="126"/>
    </row>
    <row r="790">
      <c r="B790" s="153"/>
      <c r="C790" s="154"/>
      <c r="E790" s="155"/>
      <c r="F790" s="156"/>
      <c r="H790" s="131"/>
      <c r="K790" s="137"/>
      <c r="L790" s="137"/>
      <c r="O790" s="136"/>
      <c r="R790" s="126"/>
    </row>
    <row r="791">
      <c r="B791" s="153"/>
      <c r="C791" s="154"/>
      <c r="E791" s="155"/>
      <c r="F791" s="156"/>
      <c r="H791" s="131"/>
      <c r="K791" s="137"/>
      <c r="L791" s="137"/>
      <c r="O791" s="136"/>
      <c r="R791" s="126"/>
    </row>
    <row r="792">
      <c r="B792" s="153"/>
      <c r="C792" s="154"/>
      <c r="E792" s="155"/>
      <c r="F792" s="156"/>
      <c r="H792" s="131"/>
      <c r="K792" s="137"/>
      <c r="L792" s="137"/>
      <c r="O792" s="136"/>
      <c r="R792" s="126"/>
    </row>
    <row r="793">
      <c r="B793" s="153"/>
      <c r="C793" s="154"/>
      <c r="E793" s="155"/>
      <c r="F793" s="156"/>
      <c r="H793" s="131"/>
      <c r="K793" s="137"/>
      <c r="L793" s="137"/>
      <c r="O793" s="136"/>
      <c r="R793" s="126"/>
    </row>
    <row r="794">
      <c r="B794" s="153"/>
      <c r="C794" s="154"/>
      <c r="E794" s="155"/>
      <c r="F794" s="156"/>
      <c r="H794" s="131"/>
      <c r="K794" s="137"/>
      <c r="L794" s="137"/>
      <c r="O794" s="136"/>
      <c r="R794" s="126"/>
    </row>
    <row r="795">
      <c r="B795" s="153"/>
      <c r="C795" s="154"/>
      <c r="E795" s="155"/>
      <c r="F795" s="156"/>
      <c r="H795" s="131"/>
      <c r="K795" s="137"/>
      <c r="L795" s="137"/>
      <c r="O795" s="136"/>
      <c r="R795" s="126"/>
    </row>
    <row r="796">
      <c r="B796" s="153"/>
      <c r="C796" s="154"/>
      <c r="E796" s="155"/>
      <c r="F796" s="156"/>
      <c r="H796" s="131"/>
      <c r="K796" s="137"/>
      <c r="L796" s="137"/>
      <c r="O796" s="136"/>
      <c r="R796" s="126"/>
    </row>
    <row r="797">
      <c r="B797" s="153"/>
      <c r="C797" s="154"/>
      <c r="E797" s="155"/>
      <c r="F797" s="156"/>
      <c r="H797" s="131"/>
      <c r="K797" s="137"/>
      <c r="L797" s="137"/>
      <c r="O797" s="136"/>
      <c r="R797" s="126"/>
    </row>
    <row r="798">
      <c r="B798" s="153"/>
      <c r="C798" s="154"/>
      <c r="E798" s="155"/>
      <c r="F798" s="156"/>
      <c r="H798" s="131"/>
      <c r="K798" s="137"/>
      <c r="L798" s="137"/>
      <c r="O798" s="136"/>
      <c r="R798" s="126"/>
    </row>
    <row r="799">
      <c r="B799" s="153"/>
      <c r="C799" s="154"/>
      <c r="E799" s="155"/>
      <c r="F799" s="156"/>
      <c r="H799" s="131"/>
      <c r="K799" s="137"/>
      <c r="L799" s="137"/>
      <c r="O799" s="136"/>
      <c r="R799" s="126"/>
    </row>
    <row r="800">
      <c r="B800" s="153"/>
      <c r="C800" s="154"/>
      <c r="E800" s="155"/>
      <c r="F800" s="156"/>
      <c r="H800" s="131"/>
      <c r="K800" s="137"/>
      <c r="L800" s="137"/>
      <c r="O800" s="136"/>
      <c r="R800" s="126"/>
    </row>
    <row r="801">
      <c r="B801" s="153"/>
      <c r="C801" s="154"/>
      <c r="E801" s="155"/>
      <c r="F801" s="156"/>
      <c r="H801" s="131"/>
      <c r="K801" s="137"/>
      <c r="L801" s="137"/>
      <c r="O801" s="136"/>
      <c r="R801" s="126"/>
    </row>
    <row r="802">
      <c r="B802" s="153"/>
      <c r="C802" s="154"/>
      <c r="E802" s="155"/>
      <c r="F802" s="156"/>
      <c r="H802" s="131"/>
      <c r="K802" s="137"/>
      <c r="L802" s="137"/>
      <c r="O802" s="136"/>
      <c r="R802" s="126"/>
    </row>
    <row r="803">
      <c r="B803" s="153"/>
      <c r="C803" s="154"/>
      <c r="E803" s="155"/>
      <c r="F803" s="156"/>
      <c r="H803" s="131"/>
      <c r="K803" s="137"/>
      <c r="L803" s="137"/>
      <c r="O803" s="136"/>
      <c r="R803" s="126"/>
    </row>
    <row r="804">
      <c r="B804" s="153"/>
      <c r="C804" s="154"/>
      <c r="E804" s="155"/>
      <c r="F804" s="156"/>
      <c r="H804" s="131"/>
      <c r="K804" s="137"/>
      <c r="L804" s="137"/>
      <c r="O804" s="136"/>
      <c r="R804" s="126"/>
    </row>
    <row r="805">
      <c r="B805" s="153"/>
      <c r="C805" s="154"/>
      <c r="E805" s="155"/>
      <c r="F805" s="156"/>
      <c r="H805" s="131"/>
      <c r="K805" s="137"/>
      <c r="L805" s="137"/>
      <c r="O805" s="136"/>
      <c r="R805" s="126"/>
    </row>
    <row r="806">
      <c r="B806" s="153"/>
      <c r="C806" s="154"/>
      <c r="E806" s="155"/>
      <c r="F806" s="156"/>
      <c r="H806" s="131"/>
      <c r="K806" s="137"/>
      <c r="L806" s="137"/>
      <c r="O806" s="136"/>
      <c r="R806" s="126"/>
    </row>
    <row r="807">
      <c r="B807" s="153"/>
      <c r="C807" s="154"/>
      <c r="E807" s="155"/>
      <c r="F807" s="156"/>
      <c r="H807" s="131"/>
      <c r="K807" s="137"/>
      <c r="L807" s="137"/>
      <c r="O807" s="136"/>
      <c r="R807" s="126"/>
    </row>
    <row r="808">
      <c r="B808" s="153"/>
      <c r="C808" s="154"/>
      <c r="E808" s="155"/>
      <c r="F808" s="156"/>
      <c r="H808" s="131"/>
      <c r="K808" s="137"/>
      <c r="L808" s="137"/>
      <c r="O808" s="136"/>
      <c r="R808" s="126"/>
    </row>
    <row r="809">
      <c r="B809" s="153"/>
      <c r="C809" s="154"/>
      <c r="E809" s="155"/>
      <c r="F809" s="156"/>
      <c r="H809" s="131"/>
      <c r="K809" s="137"/>
      <c r="L809" s="137"/>
      <c r="O809" s="136"/>
      <c r="R809" s="126"/>
    </row>
    <row r="810">
      <c r="B810" s="153"/>
      <c r="C810" s="154"/>
      <c r="E810" s="155"/>
      <c r="F810" s="156"/>
      <c r="H810" s="131"/>
      <c r="K810" s="137"/>
      <c r="L810" s="137"/>
      <c r="O810" s="136"/>
      <c r="R810" s="126"/>
    </row>
    <row r="811">
      <c r="B811" s="153"/>
      <c r="C811" s="154"/>
      <c r="E811" s="155"/>
      <c r="F811" s="156"/>
      <c r="H811" s="131"/>
      <c r="K811" s="137"/>
      <c r="L811" s="137"/>
      <c r="O811" s="136"/>
      <c r="R811" s="126"/>
    </row>
    <row r="812">
      <c r="B812" s="153"/>
      <c r="C812" s="154"/>
      <c r="E812" s="155"/>
      <c r="F812" s="156"/>
      <c r="H812" s="131"/>
      <c r="K812" s="137"/>
      <c r="L812" s="137"/>
      <c r="O812" s="136"/>
      <c r="R812" s="126"/>
    </row>
    <row r="813">
      <c r="B813" s="153"/>
      <c r="C813" s="154"/>
      <c r="E813" s="155"/>
      <c r="F813" s="156"/>
      <c r="H813" s="131"/>
      <c r="K813" s="137"/>
      <c r="L813" s="137"/>
      <c r="O813" s="136"/>
      <c r="R813" s="126"/>
    </row>
    <row r="814">
      <c r="B814" s="153"/>
      <c r="C814" s="154"/>
      <c r="E814" s="155"/>
      <c r="F814" s="156"/>
      <c r="H814" s="131"/>
      <c r="K814" s="137"/>
      <c r="L814" s="137"/>
      <c r="O814" s="136"/>
      <c r="R814" s="126"/>
    </row>
    <row r="815">
      <c r="B815" s="153"/>
      <c r="C815" s="154"/>
      <c r="E815" s="155"/>
      <c r="F815" s="156"/>
      <c r="H815" s="131"/>
      <c r="K815" s="137"/>
      <c r="L815" s="137"/>
      <c r="O815" s="136"/>
      <c r="R815" s="126"/>
    </row>
    <row r="816">
      <c r="B816" s="153"/>
      <c r="C816" s="154"/>
      <c r="E816" s="155"/>
      <c r="F816" s="156"/>
      <c r="H816" s="131"/>
      <c r="K816" s="137"/>
      <c r="L816" s="137"/>
      <c r="O816" s="136"/>
      <c r="R816" s="126"/>
    </row>
    <row r="817">
      <c r="B817" s="153"/>
      <c r="C817" s="154"/>
      <c r="E817" s="155"/>
      <c r="F817" s="156"/>
      <c r="H817" s="131"/>
      <c r="K817" s="137"/>
      <c r="L817" s="137"/>
      <c r="O817" s="136"/>
      <c r="R817" s="126"/>
    </row>
    <row r="818">
      <c r="B818" s="153"/>
      <c r="C818" s="154"/>
      <c r="E818" s="155"/>
      <c r="F818" s="156"/>
      <c r="H818" s="131"/>
      <c r="K818" s="137"/>
      <c r="L818" s="137"/>
      <c r="O818" s="136"/>
      <c r="R818" s="126"/>
    </row>
    <row r="819">
      <c r="B819" s="153"/>
      <c r="C819" s="154"/>
      <c r="E819" s="155"/>
      <c r="F819" s="156"/>
      <c r="H819" s="131"/>
      <c r="K819" s="137"/>
      <c r="L819" s="137"/>
      <c r="O819" s="136"/>
      <c r="R819" s="126"/>
    </row>
    <row r="820">
      <c r="B820" s="153"/>
      <c r="C820" s="154"/>
      <c r="E820" s="155"/>
      <c r="F820" s="156"/>
      <c r="H820" s="131"/>
      <c r="K820" s="137"/>
      <c r="L820" s="137"/>
      <c r="O820" s="136"/>
      <c r="R820" s="126"/>
    </row>
    <row r="821">
      <c r="B821" s="153"/>
      <c r="C821" s="154"/>
      <c r="E821" s="155"/>
      <c r="F821" s="156"/>
      <c r="H821" s="131"/>
      <c r="K821" s="137"/>
      <c r="L821" s="137"/>
      <c r="O821" s="136"/>
      <c r="R821" s="126"/>
    </row>
    <row r="822">
      <c r="B822" s="153"/>
      <c r="C822" s="154"/>
      <c r="E822" s="155"/>
      <c r="F822" s="156"/>
      <c r="H822" s="131"/>
      <c r="K822" s="137"/>
      <c r="L822" s="137"/>
      <c r="O822" s="136"/>
      <c r="R822" s="126"/>
    </row>
    <row r="823">
      <c r="B823" s="153"/>
      <c r="C823" s="154"/>
      <c r="E823" s="155"/>
      <c r="F823" s="156"/>
      <c r="H823" s="131"/>
      <c r="K823" s="137"/>
      <c r="L823" s="137"/>
      <c r="O823" s="136"/>
      <c r="R823" s="126"/>
    </row>
    <row r="824">
      <c r="B824" s="153"/>
      <c r="C824" s="154"/>
      <c r="E824" s="155"/>
      <c r="F824" s="156"/>
      <c r="H824" s="131"/>
      <c r="K824" s="137"/>
      <c r="L824" s="137"/>
      <c r="O824" s="136"/>
      <c r="R824" s="126"/>
    </row>
    <row r="825">
      <c r="B825" s="153"/>
      <c r="C825" s="154"/>
      <c r="E825" s="155"/>
      <c r="F825" s="156"/>
      <c r="H825" s="131"/>
      <c r="K825" s="137"/>
      <c r="L825" s="137"/>
      <c r="O825" s="136"/>
      <c r="R825" s="126"/>
    </row>
    <row r="826">
      <c r="B826" s="153"/>
      <c r="C826" s="154"/>
      <c r="E826" s="155"/>
      <c r="F826" s="156"/>
      <c r="H826" s="131"/>
      <c r="K826" s="137"/>
      <c r="L826" s="137"/>
      <c r="O826" s="136"/>
      <c r="R826" s="126"/>
    </row>
    <row r="827">
      <c r="B827" s="153"/>
      <c r="C827" s="154"/>
      <c r="E827" s="155"/>
      <c r="F827" s="156"/>
      <c r="H827" s="131"/>
      <c r="K827" s="137"/>
      <c r="L827" s="137"/>
      <c r="O827" s="136"/>
      <c r="R827" s="126"/>
    </row>
    <row r="828">
      <c r="B828" s="153"/>
      <c r="C828" s="154"/>
      <c r="E828" s="155"/>
      <c r="F828" s="156"/>
      <c r="H828" s="131"/>
      <c r="K828" s="137"/>
      <c r="L828" s="137"/>
      <c r="O828" s="136"/>
      <c r="R828" s="126"/>
    </row>
    <row r="829">
      <c r="B829" s="153"/>
      <c r="C829" s="154"/>
      <c r="E829" s="155"/>
      <c r="F829" s="156"/>
      <c r="H829" s="131"/>
      <c r="K829" s="137"/>
      <c r="L829" s="137"/>
      <c r="O829" s="136"/>
      <c r="R829" s="126"/>
    </row>
    <row r="830">
      <c r="B830" s="153"/>
      <c r="C830" s="154"/>
      <c r="E830" s="155"/>
      <c r="F830" s="156"/>
      <c r="H830" s="131"/>
      <c r="K830" s="137"/>
      <c r="L830" s="137"/>
      <c r="O830" s="136"/>
      <c r="R830" s="126"/>
    </row>
    <row r="831">
      <c r="B831" s="153"/>
      <c r="C831" s="154"/>
      <c r="E831" s="155"/>
      <c r="F831" s="156"/>
      <c r="H831" s="131"/>
      <c r="K831" s="137"/>
      <c r="L831" s="137"/>
      <c r="O831" s="136"/>
      <c r="R831" s="126"/>
    </row>
    <row r="832">
      <c r="B832" s="153"/>
      <c r="C832" s="154"/>
      <c r="E832" s="155"/>
      <c r="F832" s="156"/>
      <c r="H832" s="131"/>
      <c r="K832" s="137"/>
      <c r="L832" s="137"/>
      <c r="O832" s="136"/>
      <c r="R832" s="126"/>
    </row>
    <row r="833">
      <c r="B833" s="153"/>
      <c r="C833" s="154"/>
      <c r="E833" s="155"/>
      <c r="F833" s="156"/>
      <c r="H833" s="131"/>
      <c r="K833" s="137"/>
      <c r="L833" s="137"/>
      <c r="O833" s="136"/>
      <c r="R833" s="126"/>
    </row>
    <row r="834">
      <c r="B834" s="153"/>
      <c r="C834" s="154"/>
      <c r="E834" s="155"/>
      <c r="F834" s="156"/>
      <c r="H834" s="131"/>
      <c r="K834" s="137"/>
      <c r="L834" s="137"/>
      <c r="O834" s="136"/>
      <c r="R834" s="126"/>
    </row>
    <row r="835">
      <c r="B835" s="153"/>
      <c r="C835" s="154"/>
      <c r="E835" s="155"/>
      <c r="F835" s="156"/>
      <c r="H835" s="131"/>
      <c r="K835" s="137"/>
      <c r="L835" s="137"/>
      <c r="O835" s="136"/>
      <c r="R835" s="126"/>
    </row>
    <row r="836">
      <c r="B836" s="153"/>
      <c r="C836" s="154"/>
      <c r="E836" s="155"/>
      <c r="F836" s="156"/>
      <c r="H836" s="131"/>
      <c r="K836" s="137"/>
      <c r="L836" s="137"/>
      <c r="O836" s="136"/>
      <c r="R836" s="126"/>
    </row>
    <row r="837">
      <c r="B837" s="153"/>
      <c r="C837" s="154"/>
      <c r="E837" s="155"/>
      <c r="F837" s="156"/>
      <c r="H837" s="131"/>
      <c r="K837" s="137"/>
      <c r="L837" s="137"/>
      <c r="O837" s="136"/>
      <c r="R837" s="126"/>
    </row>
    <row r="838">
      <c r="B838" s="153"/>
      <c r="C838" s="154"/>
      <c r="E838" s="155"/>
      <c r="F838" s="156"/>
      <c r="H838" s="131"/>
      <c r="K838" s="137"/>
      <c r="L838" s="137"/>
      <c r="O838" s="136"/>
      <c r="R838" s="126"/>
    </row>
    <row r="839">
      <c r="B839" s="153"/>
      <c r="C839" s="154"/>
      <c r="E839" s="155"/>
      <c r="F839" s="156"/>
      <c r="H839" s="131"/>
      <c r="K839" s="137"/>
      <c r="L839" s="137"/>
      <c r="O839" s="136"/>
      <c r="R839" s="126"/>
    </row>
    <row r="840">
      <c r="B840" s="153"/>
      <c r="C840" s="154"/>
      <c r="E840" s="155"/>
      <c r="F840" s="156"/>
      <c r="H840" s="131"/>
      <c r="K840" s="137"/>
      <c r="L840" s="137"/>
      <c r="O840" s="136"/>
      <c r="R840" s="126"/>
    </row>
    <row r="841">
      <c r="B841" s="153"/>
      <c r="C841" s="154"/>
      <c r="E841" s="155"/>
      <c r="F841" s="156"/>
      <c r="H841" s="131"/>
      <c r="K841" s="137"/>
      <c r="L841" s="137"/>
      <c r="O841" s="136"/>
      <c r="R841" s="126"/>
    </row>
    <row r="842">
      <c r="B842" s="153"/>
      <c r="C842" s="154"/>
      <c r="E842" s="155"/>
      <c r="F842" s="156"/>
      <c r="H842" s="131"/>
      <c r="K842" s="137"/>
      <c r="L842" s="137"/>
      <c r="O842" s="136"/>
      <c r="R842" s="126"/>
    </row>
    <row r="843">
      <c r="B843" s="153"/>
      <c r="C843" s="154"/>
      <c r="E843" s="155"/>
      <c r="F843" s="156"/>
      <c r="H843" s="131"/>
      <c r="K843" s="137"/>
      <c r="L843" s="137"/>
      <c r="O843" s="136"/>
      <c r="R843" s="126"/>
    </row>
    <row r="844">
      <c r="B844" s="153"/>
      <c r="C844" s="154"/>
      <c r="E844" s="155"/>
      <c r="F844" s="156"/>
      <c r="H844" s="131"/>
      <c r="K844" s="137"/>
      <c r="L844" s="137"/>
      <c r="O844" s="136"/>
      <c r="R844" s="126"/>
    </row>
    <row r="845">
      <c r="B845" s="153"/>
      <c r="C845" s="154"/>
      <c r="E845" s="155"/>
      <c r="F845" s="156"/>
      <c r="H845" s="131"/>
      <c r="K845" s="137"/>
      <c r="L845" s="137"/>
      <c r="O845" s="136"/>
      <c r="R845" s="126"/>
    </row>
    <row r="846">
      <c r="B846" s="153"/>
      <c r="C846" s="154"/>
      <c r="E846" s="155"/>
      <c r="F846" s="156"/>
      <c r="H846" s="131"/>
      <c r="K846" s="137"/>
      <c r="L846" s="137"/>
      <c r="O846" s="136"/>
      <c r="R846" s="126"/>
    </row>
    <row r="847">
      <c r="B847" s="153"/>
      <c r="C847" s="154"/>
      <c r="E847" s="155"/>
      <c r="F847" s="156"/>
      <c r="H847" s="131"/>
      <c r="K847" s="137"/>
      <c r="L847" s="137"/>
      <c r="O847" s="136"/>
      <c r="R847" s="126"/>
    </row>
    <row r="848">
      <c r="B848" s="153"/>
      <c r="C848" s="154"/>
      <c r="E848" s="155"/>
      <c r="F848" s="156"/>
      <c r="H848" s="131"/>
      <c r="K848" s="137"/>
      <c r="L848" s="137"/>
      <c r="O848" s="136"/>
      <c r="R848" s="126"/>
    </row>
    <row r="849">
      <c r="B849" s="153"/>
      <c r="C849" s="154"/>
      <c r="E849" s="155"/>
      <c r="F849" s="156"/>
      <c r="H849" s="131"/>
      <c r="K849" s="137"/>
      <c r="L849" s="137"/>
      <c r="O849" s="136"/>
      <c r="R849" s="126"/>
    </row>
    <row r="850">
      <c r="B850" s="153"/>
      <c r="C850" s="154"/>
      <c r="E850" s="155"/>
      <c r="F850" s="156"/>
      <c r="H850" s="131"/>
      <c r="K850" s="137"/>
      <c r="L850" s="137"/>
      <c r="O850" s="136"/>
      <c r="R850" s="126"/>
    </row>
    <row r="851">
      <c r="B851" s="153"/>
      <c r="C851" s="154"/>
      <c r="E851" s="155"/>
      <c r="F851" s="156"/>
      <c r="H851" s="131"/>
      <c r="K851" s="137"/>
      <c r="L851" s="137"/>
      <c r="O851" s="136"/>
      <c r="R851" s="126"/>
    </row>
    <row r="852">
      <c r="B852" s="153"/>
      <c r="C852" s="154"/>
      <c r="E852" s="155"/>
      <c r="F852" s="156"/>
      <c r="H852" s="131"/>
      <c r="K852" s="137"/>
      <c r="L852" s="137"/>
      <c r="O852" s="136"/>
      <c r="R852" s="126"/>
    </row>
    <row r="853">
      <c r="B853" s="153"/>
      <c r="C853" s="154"/>
      <c r="E853" s="155"/>
      <c r="F853" s="156"/>
      <c r="H853" s="131"/>
      <c r="K853" s="137"/>
      <c r="L853" s="137"/>
      <c r="O853" s="136"/>
      <c r="R853" s="126"/>
    </row>
    <row r="854">
      <c r="B854" s="153"/>
      <c r="C854" s="154"/>
      <c r="E854" s="155"/>
      <c r="F854" s="156"/>
      <c r="H854" s="131"/>
      <c r="K854" s="137"/>
      <c r="L854" s="137"/>
      <c r="O854" s="136"/>
      <c r="R854" s="126"/>
    </row>
    <row r="855">
      <c r="B855" s="153"/>
      <c r="C855" s="154"/>
      <c r="E855" s="155"/>
      <c r="F855" s="156"/>
      <c r="H855" s="131"/>
      <c r="K855" s="137"/>
      <c r="L855" s="137"/>
      <c r="O855" s="136"/>
      <c r="R855" s="126"/>
    </row>
    <row r="856">
      <c r="B856" s="153"/>
      <c r="C856" s="154"/>
      <c r="E856" s="155"/>
      <c r="F856" s="156"/>
      <c r="H856" s="131"/>
      <c r="K856" s="137"/>
      <c r="L856" s="137"/>
      <c r="O856" s="136"/>
      <c r="R856" s="126"/>
    </row>
    <row r="857">
      <c r="B857" s="153"/>
      <c r="C857" s="154"/>
      <c r="E857" s="155"/>
      <c r="F857" s="156"/>
      <c r="H857" s="131"/>
      <c r="K857" s="137"/>
      <c r="L857" s="137"/>
      <c r="O857" s="136"/>
      <c r="R857" s="126"/>
    </row>
    <row r="858">
      <c r="B858" s="153"/>
      <c r="C858" s="154"/>
      <c r="E858" s="155"/>
      <c r="F858" s="156"/>
      <c r="H858" s="131"/>
      <c r="K858" s="137"/>
      <c r="L858" s="137"/>
      <c r="O858" s="136"/>
      <c r="R858" s="126"/>
    </row>
    <row r="859">
      <c r="B859" s="153"/>
      <c r="C859" s="154"/>
      <c r="E859" s="155"/>
      <c r="F859" s="156"/>
      <c r="H859" s="131"/>
      <c r="K859" s="137"/>
      <c r="L859" s="137"/>
      <c r="O859" s="136"/>
      <c r="R859" s="126"/>
    </row>
    <row r="860">
      <c r="B860" s="153"/>
      <c r="C860" s="154"/>
      <c r="E860" s="155"/>
      <c r="F860" s="156"/>
      <c r="H860" s="131"/>
      <c r="K860" s="137"/>
      <c r="L860" s="137"/>
      <c r="O860" s="136"/>
      <c r="R860" s="126"/>
    </row>
    <row r="861">
      <c r="B861" s="153"/>
      <c r="C861" s="154"/>
      <c r="E861" s="155"/>
      <c r="F861" s="156"/>
      <c r="H861" s="131"/>
      <c r="K861" s="137"/>
      <c r="L861" s="137"/>
      <c r="O861" s="136"/>
      <c r="R861" s="126"/>
    </row>
    <row r="862">
      <c r="B862" s="153"/>
      <c r="C862" s="154"/>
      <c r="E862" s="155"/>
      <c r="F862" s="156"/>
      <c r="H862" s="131"/>
      <c r="K862" s="137"/>
      <c r="L862" s="137"/>
      <c r="O862" s="136"/>
      <c r="R862" s="126"/>
    </row>
    <row r="863">
      <c r="B863" s="153"/>
      <c r="C863" s="154"/>
      <c r="E863" s="155"/>
      <c r="F863" s="156"/>
      <c r="H863" s="131"/>
      <c r="K863" s="137"/>
      <c r="L863" s="137"/>
      <c r="O863" s="136"/>
      <c r="R863" s="126"/>
    </row>
    <row r="864">
      <c r="B864" s="153"/>
      <c r="C864" s="154"/>
      <c r="E864" s="155"/>
      <c r="F864" s="156"/>
      <c r="H864" s="131"/>
      <c r="K864" s="137"/>
      <c r="L864" s="137"/>
      <c r="O864" s="136"/>
      <c r="R864" s="126"/>
    </row>
    <row r="865">
      <c r="B865" s="153"/>
      <c r="C865" s="154"/>
      <c r="E865" s="155"/>
      <c r="F865" s="156"/>
      <c r="H865" s="131"/>
      <c r="K865" s="137"/>
      <c r="L865" s="137"/>
      <c r="O865" s="136"/>
      <c r="R865" s="126"/>
    </row>
    <row r="866">
      <c r="B866" s="153"/>
      <c r="C866" s="154"/>
      <c r="E866" s="155"/>
      <c r="F866" s="156"/>
      <c r="H866" s="131"/>
      <c r="K866" s="137"/>
      <c r="L866" s="137"/>
      <c r="O866" s="136"/>
      <c r="R866" s="126"/>
    </row>
    <row r="867">
      <c r="B867" s="153"/>
      <c r="C867" s="154"/>
      <c r="E867" s="155"/>
      <c r="F867" s="156"/>
      <c r="H867" s="131"/>
      <c r="K867" s="137"/>
      <c r="L867" s="137"/>
      <c r="O867" s="136"/>
      <c r="R867" s="126"/>
    </row>
    <row r="868">
      <c r="B868" s="153"/>
      <c r="C868" s="154"/>
      <c r="E868" s="155"/>
      <c r="F868" s="156"/>
      <c r="H868" s="131"/>
      <c r="K868" s="137"/>
      <c r="L868" s="137"/>
      <c r="O868" s="136"/>
      <c r="R868" s="126"/>
    </row>
    <row r="869">
      <c r="B869" s="153"/>
      <c r="C869" s="154"/>
      <c r="E869" s="155"/>
      <c r="F869" s="156"/>
      <c r="H869" s="131"/>
      <c r="K869" s="137"/>
      <c r="L869" s="137"/>
      <c r="O869" s="136"/>
      <c r="R869" s="126"/>
    </row>
    <row r="870">
      <c r="B870" s="153"/>
      <c r="C870" s="154"/>
      <c r="E870" s="155"/>
      <c r="F870" s="156"/>
      <c r="H870" s="131"/>
      <c r="K870" s="137"/>
      <c r="L870" s="137"/>
      <c r="O870" s="136"/>
      <c r="R870" s="126"/>
    </row>
    <row r="871">
      <c r="B871" s="153"/>
      <c r="C871" s="154"/>
      <c r="E871" s="155"/>
      <c r="F871" s="156"/>
      <c r="H871" s="131"/>
      <c r="K871" s="137"/>
      <c r="L871" s="137"/>
      <c r="O871" s="136"/>
      <c r="R871" s="126"/>
    </row>
    <row r="872">
      <c r="B872" s="153"/>
      <c r="C872" s="154"/>
      <c r="E872" s="155"/>
      <c r="F872" s="156"/>
      <c r="H872" s="131"/>
      <c r="K872" s="137"/>
      <c r="L872" s="137"/>
      <c r="O872" s="136"/>
      <c r="R872" s="126"/>
    </row>
    <row r="873">
      <c r="B873" s="153"/>
      <c r="C873" s="154"/>
      <c r="E873" s="155"/>
      <c r="F873" s="156"/>
      <c r="H873" s="131"/>
      <c r="K873" s="137"/>
      <c r="L873" s="137"/>
      <c r="O873" s="136"/>
      <c r="R873" s="126"/>
    </row>
    <row r="874">
      <c r="B874" s="153"/>
      <c r="C874" s="154"/>
      <c r="E874" s="155"/>
      <c r="F874" s="156"/>
      <c r="H874" s="131"/>
      <c r="K874" s="137"/>
      <c r="L874" s="137"/>
      <c r="O874" s="136"/>
      <c r="R874" s="126"/>
    </row>
    <row r="875">
      <c r="B875" s="153"/>
      <c r="C875" s="154"/>
      <c r="E875" s="155"/>
      <c r="F875" s="156"/>
      <c r="H875" s="131"/>
      <c r="K875" s="137"/>
      <c r="L875" s="137"/>
      <c r="O875" s="136"/>
      <c r="R875" s="126"/>
    </row>
    <row r="876">
      <c r="B876" s="153"/>
      <c r="C876" s="154"/>
      <c r="E876" s="155"/>
      <c r="F876" s="156"/>
      <c r="H876" s="131"/>
      <c r="K876" s="137"/>
      <c r="L876" s="137"/>
      <c r="O876" s="136"/>
      <c r="R876" s="126"/>
    </row>
    <row r="877">
      <c r="B877" s="153"/>
      <c r="C877" s="154"/>
      <c r="E877" s="155"/>
      <c r="F877" s="156"/>
      <c r="H877" s="131"/>
      <c r="K877" s="137"/>
      <c r="L877" s="137"/>
      <c r="O877" s="136"/>
      <c r="R877" s="126"/>
    </row>
    <row r="878">
      <c r="B878" s="153"/>
      <c r="C878" s="154"/>
      <c r="E878" s="155"/>
      <c r="F878" s="156"/>
      <c r="H878" s="131"/>
      <c r="K878" s="137"/>
      <c r="L878" s="137"/>
      <c r="O878" s="136"/>
      <c r="R878" s="126"/>
    </row>
    <row r="879">
      <c r="B879" s="153"/>
      <c r="C879" s="154"/>
      <c r="E879" s="155"/>
      <c r="F879" s="156"/>
      <c r="H879" s="131"/>
      <c r="K879" s="137"/>
      <c r="L879" s="137"/>
      <c r="O879" s="136"/>
      <c r="R879" s="126"/>
    </row>
    <row r="880">
      <c r="B880" s="153"/>
      <c r="C880" s="154"/>
      <c r="E880" s="155"/>
      <c r="F880" s="156"/>
      <c r="H880" s="131"/>
      <c r="K880" s="137"/>
      <c r="L880" s="137"/>
      <c r="O880" s="136"/>
      <c r="R880" s="126"/>
    </row>
    <row r="881">
      <c r="B881" s="153"/>
      <c r="C881" s="154"/>
      <c r="E881" s="155"/>
      <c r="F881" s="156"/>
      <c r="H881" s="131"/>
      <c r="K881" s="137"/>
      <c r="L881" s="137"/>
      <c r="O881" s="136"/>
      <c r="R881" s="126"/>
    </row>
    <row r="882">
      <c r="B882" s="153"/>
      <c r="C882" s="154"/>
      <c r="E882" s="155"/>
      <c r="F882" s="156"/>
      <c r="H882" s="131"/>
      <c r="K882" s="137"/>
      <c r="L882" s="137"/>
      <c r="O882" s="136"/>
      <c r="R882" s="126"/>
    </row>
    <row r="883">
      <c r="B883" s="153"/>
      <c r="C883" s="154"/>
      <c r="E883" s="155"/>
      <c r="F883" s="156"/>
      <c r="H883" s="131"/>
      <c r="K883" s="137"/>
      <c r="L883" s="137"/>
      <c r="O883" s="136"/>
      <c r="R883" s="126"/>
    </row>
    <row r="884">
      <c r="B884" s="153"/>
      <c r="C884" s="154"/>
      <c r="E884" s="155"/>
      <c r="F884" s="156"/>
      <c r="H884" s="131"/>
      <c r="K884" s="137"/>
      <c r="L884" s="137"/>
      <c r="O884" s="136"/>
      <c r="R884" s="126"/>
    </row>
    <row r="885">
      <c r="B885" s="153"/>
      <c r="C885" s="154"/>
      <c r="E885" s="155"/>
      <c r="F885" s="156"/>
      <c r="H885" s="131"/>
      <c r="K885" s="137"/>
      <c r="L885" s="137"/>
      <c r="O885" s="136"/>
      <c r="R885" s="126"/>
    </row>
    <row r="886">
      <c r="B886" s="153"/>
      <c r="C886" s="154"/>
      <c r="E886" s="155"/>
      <c r="F886" s="156"/>
      <c r="H886" s="131"/>
      <c r="K886" s="137"/>
      <c r="L886" s="137"/>
      <c r="O886" s="136"/>
      <c r="R886" s="126"/>
    </row>
    <row r="887">
      <c r="B887" s="153"/>
      <c r="C887" s="154"/>
      <c r="E887" s="155"/>
      <c r="F887" s="156"/>
      <c r="H887" s="131"/>
      <c r="K887" s="137"/>
      <c r="L887" s="137"/>
      <c r="O887" s="136"/>
      <c r="R887" s="126"/>
    </row>
    <row r="888">
      <c r="B888" s="153"/>
      <c r="C888" s="154"/>
      <c r="E888" s="155"/>
      <c r="F888" s="156"/>
      <c r="H888" s="131"/>
      <c r="K888" s="137"/>
      <c r="L888" s="137"/>
      <c r="O888" s="136"/>
      <c r="R888" s="126"/>
    </row>
    <row r="889">
      <c r="B889" s="153"/>
      <c r="C889" s="154"/>
      <c r="E889" s="155"/>
      <c r="F889" s="156"/>
      <c r="H889" s="131"/>
      <c r="K889" s="137"/>
      <c r="L889" s="137"/>
      <c r="O889" s="136"/>
      <c r="R889" s="126"/>
    </row>
    <row r="890">
      <c r="B890" s="153"/>
      <c r="C890" s="154"/>
      <c r="E890" s="155"/>
      <c r="F890" s="156"/>
      <c r="H890" s="131"/>
      <c r="K890" s="137"/>
      <c r="L890" s="137"/>
      <c r="O890" s="136"/>
      <c r="R890" s="126"/>
    </row>
    <row r="891">
      <c r="B891" s="153"/>
      <c r="C891" s="154"/>
      <c r="E891" s="155"/>
      <c r="F891" s="156"/>
      <c r="H891" s="131"/>
      <c r="K891" s="137"/>
      <c r="L891" s="137"/>
      <c r="O891" s="136"/>
      <c r="R891" s="126"/>
    </row>
    <row r="892">
      <c r="B892" s="153"/>
      <c r="C892" s="154"/>
      <c r="E892" s="155"/>
      <c r="F892" s="156"/>
      <c r="H892" s="131"/>
      <c r="K892" s="137"/>
      <c r="L892" s="137"/>
      <c r="O892" s="136"/>
      <c r="R892" s="126"/>
    </row>
    <row r="893">
      <c r="B893" s="153"/>
      <c r="C893" s="154"/>
      <c r="E893" s="155"/>
      <c r="F893" s="156"/>
      <c r="H893" s="131"/>
      <c r="K893" s="137"/>
      <c r="L893" s="137"/>
      <c r="O893" s="136"/>
      <c r="R893" s="126"/>
    </row>
    <row r="894">
      <c r="B894" s="153"/>
      <c r="C894" s="154"/>
      <c r="E894" s="155"/>
      <c r="F894" s="156"/>
      <c r="H894" s="131"/>
      <c r="K894" s="137"/>
      <c r="L894" s="137"/>
      <c r="O894" s="136"/>
      <c r="R894" s="126"/>
    </row>
    <row r="895">
      <c r="B895" s="153"/>
      <c r="C895" s="154"/>
      <c r="E895" s="155"/>
      <c r="F895" s="156"/>
      <c r="H895" s="131"/>
      <c r="K895" s="137"/>
      <c r="L895" s="137"/>
      <c r="O895" s="136"/>
      <c r="R895" s="126"/>
    </row>
    <row r="896">
      <c r="B896" s="153"/>
      <c r="C896" s="154"/>
      <c r="E896" s="155"/>
      <c r="F896" s="156"/>
      <c r="H896" s="131"/>
      <c r="K896" s="137"/>
      <c r="L896" s="137"/>
      <c r="O896" s="136"/>
      <c r="R896" s="126"/>
    </row>
    <row r="897">
      <c r="B897" s="153"/>
      <c r="C897" s="154"/>
      <c r="E897" s="155"/>
      <c r="F897" s="156"/>
      <c r="H897" s="131"/>
      <c r="K897" s="137"/>
      <c r="L897" s="137"/>
      <c r="O897" s="136"/>
      <c r="R897" s="126"/>
    </row>
    <row r="898">
      <c r="B898" s="153"/>
      <c r="C898" s="154"/>
      <c r="E898" s="155"/>
      <c r="F898" s="156"/>
      <c r="H898" s="131"/>
      <c r="K898" s="137"/>
      <c r="L898" s="137"/>
      <c r="O898" s="136"/>
      <c r="R898" s="126"/>
    </row>
    <row r="899">
      <c r="B899" s="153"/>
      <c r="C899" s="154"/>
      <c r="E899" s="155"/>
      <c r="F899" s="156"/>
      <c r="H899" s="131"/>
      <c r="K899" s="137"/>
      <c r="L899" s="137"/>
      <c r="O899" s="136"/>
      <c r="R899" s="126"/>
    </row>
    <row r="900">
      <c r="B900" s="153"/>
      <c r="C900" s="154"/>
      <c r="E900" s="155"/>
      <c r="F900" s="156"/>
      <c r="H900" s="131"/>
      <c r="K900" s="137"/>
      <c r="L900" s="137"/>
      <c r="O900" s="136"/>
      <c r="R900" s="126"/>
    </row>
    <row r="901">
      <c r="B901" s="153"/>
      <c r="C901" s="154"/>
      <c r="E901" s="155"/>
      <c r="F901" s="156"/>
      <c r="H901" s="131"/>
      <c r="K901" s="137"/>
      <c r="L901" s="137"/>
      <c r="O901" s="136"/>
      <c r="R901" s="126"/>
    </row>
    <row r="902">
      <c r="B902" s="153"/>
      <c r="C902" s="154"/>
      <c r="E902" s="155"/>
      <c r="F902" s="156"/>
      <c r="H902" s="131"/>
      <c r="K902" s="137"/>
      <c r="L902" s="137"/>
      <c r="O902" s="136"/>
      <c r="R902" s="126"/>
    </row>
    <row r="903">
      <c r="B903" s="153"/>
      <c r="C903" s="154"/>
      <c r="E903" s="155"/>
      <c r="F903" s="156"/>
      <c r="H903" s="131"/>
      <c r="K903" s="137"/>
      <c r="L903" s="137"/>
      <c r="O903" s="136"/>
      <c r="R903" s="126"/>
    </row>
    <row r="904">
      <c r="B904" s="153"/>
      <c r="C904" s="154"/>
      <c r="E904" s="155"/>
      <c r="F904" s="156"/>
      <c r="H904" s="131"/>
      <c r="K904" s="137"/>
      <c r="L904" s="137"/>
      <c r="O904" s="136"/>
      <c r="R904" s="126"/>
    </row>
    <row r="905">
      <c r="B905" s="153"/>
      <c r="C905" s="154"/>
      <c r="E905" s="155"/>
      <c r="F905" s="156"/>
      <c r="H905" s="131"/>
      <c r="K905" s="137"/>
      <c r="L905" s="137"/>
      <c r="O905" s="136"/>
      <c r="R905" s="126"/>
    </row>
    <row r="906">
      <c r="B906" s="153"/>
      <c r="C906" s="154"/>
      <c r="E906" s="155"/>
      <c r="F906" s="156"/>
      <c r="H906" s="131"/>
      <c r="K906" s="137"/>
      <c r="L906" s="137"/>
      <c r="O906" s="136"/>
      <c r="R906" s="126"/>
    </row>
    <row r="907">
      <c r="B907" s="153"/>
      <c r="C907" s="154"/>
      <c r="E907" s="155"/>
      <c r="F907" s="156"/>
      <c r="H907" s="131"/>
      <c r="K907" s="137"/>
      <c r="L907" s="137"/>
      <c r="O907" s="136"/>
      <c r="R907" s="126"/>
    </row>
    <row r="908">
      <c r="B908" s="153"/>
      <c r="C908" s="154"/>
      <c r="E908" s="155"/>
      <c r="F908" s="156"/>
      <c r="H908" s="131"/>
      <c r="K908" s="137"/>
      <c r="L908" s="137"/>
      <c r="O908" s="136"/>
      <c r="R908" s="126"/>
    </row>
    <row r="909">
      <c r="B909" s="153"/>
      <c r="C909" s="154"/>
      <c r="E909" s="155"/>
      <c r="F909" s="156"/>
      <c r="H909" s="131"/>
      <c r="K909" s="137"/>
      <c r="L909" s="137"/>
      <c r="O909" s="136"/>
      <c r="R909" s="126"/>
    </row>
    <row r="910">
      <c r="B910" s="153"/>
      <c r="C910" s="154"/>
      <c r="E910" s="155"/>
      <c r="F910" s="156"/>
      <c r="H910" s="131"/>
      <c r="K910" s="137"/>
      <c r="L910" s="137"/>
      <c r="O910" s="136"/>
      <c r="R910" s="126"/>
    </row>
    <row r="911">
      <c r="B911" s="153"/>
      <c r="C911" s="154"/>
      <c r="E911" s="155"/>
      <c r="F911" s="156"/>
      <c r="H911" s="131"/>
      <c r="K911" s="137"/>
      <c r="L911" s="137"/>
      <c r="O911" s="136"/>
      <c r="R911" s="126"/>
    </row>
    <row r="912">
      <c r="B912" s="153"/>
      <c r="C912" s="154"/>
      <c r="E912" s="155"/>
      <c r="F912" s="156"/>
      <c r="H912" s="131"/>
      <c r="K912" s="137"/>
      <c r="L912" s="137"/>
      <c r="O912" s="136"/>
      <c r="R912" s="126"/>
    </row>
    <row r="913">
      <c r="B913" s="153"/>
      <c r="C913" s="154"/>
      <c r="E913" s="155"/>
      <c r="F913" s="156"/>
      <c r="H913" s="131"/>
      <c r="K913" s="137"/>
      <c r="L913" s="137"/>
      <c r="O913" s="136"/>
      <c r="R913" s="126"/>
    </row>
    <row r="914">
      <c r="B914" s="153"/>
      <c r="C914" s="154"/>
      <c r="E914" s="155"/>
      <c r="F914" s="156"/>
      <c r="H914" s="131"/>
      <c r="K914" s="137"/>
      <c r="L914" s="137"/>
      <c r="O914" s="136"/>
      <c r="R914" s="126"/>
    </row>
    <row r="915">
      <c r="B915" s="153"/>
      <c r="C915" s="154"/>
      <c r="E915" s="155"/>
      <c r="F915" s="156"/>
      <c r="H915" s="131"/>
      <c r="K915" s="137"/>
      <c r="L915" s="137"/>
      <c r="O915" s="136"/>
      <c r="R915" s="126"/>
    </row>
    <row r="916">
      <c r="B916" s="153"/>
      <c r="C916" s="154"/>
      <c r="E916" s="155"/>
      <c r="F916" s="156"/>
      <c r="H916" s="131"/>
      <c r="K916" s="137"/>
      <c r="L916" s="137"/>
      <c r="O916" s="136"/>
      <c r="R916" s="126"/>
    </row>
    <row r="917">
      <c r="B917" s="153"/>
      <c r="C917" s="154"/>
      <c r="E917" s="155"/>
      <c r="F917" s="156"/>
      <c r="H917" s="131"/>
      <c r="K917" s="137"/>
      <c r="L917" s="137"/>
      <c r="O917" s="136"/>
      <c r="R917" s="126"/>
    </row>
    <row r="918">
      <c r="B918" s="153"/>
      <c r="C918" s="154"/>
      <c r="E918" s="155"/>
      <c r="F918" s="156"/>
      <c r="H918" s="131"/>
      <c r="K918" s="137"/>
      <c r="L918" s="137"/>
      <c r="O918" s="136"/>
      <c r="R918" s="126"/>
    </row>
    <row r="919">
      <c r="B919" s="153"/>
      <c r="C919" s="154"/>
      <c r="E919" s="155"/>
      <c r="F919" s="156"/>
      <c r="H919" s="131"/>
      <c r="K919" s="137"/>
      <c r="L919" s="137"/>
      <c r="O919" s="136"/>
      <c r="R919" s="126"/>
    </row>
    <row r="920">
      <c r="B920" s="153"/>
      <c r="C920" s="154"/>
      <c r="E920" s="155"/>
      <c r="F920" s="156"/>
      <c r="H920" s="131"/>
      <c r="K920" s="137"/>
      <c r="L920" s="137"/>
      <c r="O920" s="136"/>
      <c r="R920" s="126"/>
    </row>
    <row r="921">
      <c r="B921" s="153"/>
      <c r="C921" s="154"/>
      <c r="E921" s="155"/>
      <c r="F921" s="156"/>
      <c r="H921" s="131"/>
      <c r="K921" s="137"/>
      <c r="L921" s="137"/>
      <c r="O921" s="136"/>
      <c r="R921" s="126"/>
    </row>
    <row r="922">
      <c r="B922" s="153"/>
      <c r="C922" s="154"/>
      <c r="E922" s="155"/>
      <c r="F922" s="156"/>
      <c r="H922" s="131"/>
      <c r="K922" s="137"/>
      <c r="L922" s="137"/>
      <c r="O922" s="136"/>
      <c r="R922" s="126"/>
    </row>
    <row r="923">
      <c r="B923" s="153"/>
      <c r="C923" s="154"/>
      <c r="E923" s="155"/>
      <c r="F923" s="156"/>
      <c r="H923" s="131"/>
      <c r="K923" s="137"/>
      <c r="L923" s="137"/>
      <c r="O923" s="136"/>
      <c r="R923" s="126"/>
    </row>
    <row r="924">
      <c r="B924" s="153"/>
      <c r="C924" s="154"/>
      <c r="E924" s="155"/>
      <c r="F924" s="156"/>
      <c r="H924" s="131"/>
      <c r="K924" s="137"/>
      <c r="L924" s="137"/>
      <c r="O924" s="136"/>
      <c r="R924" s="126"/>
    </row>
    <row r="925">
      <c r="B925" s="153"/>
      <c r="C925" s="154"/>
      <c r="E925" s="155"/>
      <c r="F925" s="156"/>
      <c r="H925" s="131"/>
      <c r="K925" s="137"/>
      <c r="L925" s="137"/>
      <c r="O925" s="136"/>
      <c r="R925" s="126"/>
    </row>
    <row r="926">
      <c r="B926" s="153"/>
      <c r="C926" s="154"/>
      <c r="E926" s="155"/>
      <c r="F926" s="156"/>
      <c r="H926" s="131"/>
      <c r="K926" s="137"/>
      <c r="L926" s="137"/>
      <c r="O926" s="136"/>
      <c r="R926" s="126"/>
    </row>
    <row r="927">
      <c r="B927" s="153"/>
      <c r="C927" s="154"/>
      <c r="E927" s="155"/>
      <c r="F927" s="156"/>
      <c r="H927" s="131"/>
      <c r="K927" s="137"/>
      <c r="L927" s="137"/>
      <c r="O927" s="136"/>
      <c r="R927" s="126"/>
    </row>
    <row r="928">
      <c r="B928" s="153"/>
      <c r="C928" s="154"/>
      <c r="E928" s="155"/>
      <c r="F928" s="156"/>
      <c r="H928" s="131"/>
      <c r="K928" s="137"/>
      <c r="L928" s="137"/>
      <c r="O928" s="136"/>
      <c r="R928" s="126"/>
    </row>
    <row r="929">
      <c r="B929" s="153"/>
      <c r="C929" s="154"/>
      <c r="E929" s="155"/>
      <c r="F929" s="156"/>
      <c r="H929" s="131"/>
      <c r="K929" s="137"/>
      <c r="L929" s="137"/>
      <c r="O929" s="136"/>
      <c r="R929" s="126"/>
    </row>
    <row r="930">
      <c r="B930" s="153"/>
      <c r="C930" s="154"/>
      <c r="E930" s="155"/>
      <c r="F930" s="156"/>
      <c r="H930" s="131"/>
      <c r="K930" s="137"/>
      <c r="L930" s="137"/>
      <c r="O930" s="136"/>
      <c r="R930" s="126"/>
    </row>
    <row r="931">
      <c r="B931" s="153"/>
      <c r="C931" s="154"/>
      <c r="E931" s="155"/>
      <c r="F931" s="156"/>
      <c r="H931" s="131"/>
      <c r="K931" s="137"/>
      <c r="L931" s="137"/>
      <c r="O931" s="136"/>
      <c r="R931" s="126"/>
    </row>
    <row r="932">
      <c r="B932" s="153"/>
      <c r="C932" s="154"/>
      <c r="E932" s="155"/>
      <c r="F932" s="156"/>
      <c r="H932" s="131"/>
      <c r="K932" s="137"/>
      <c r="L932" s="137"/>
      <c r="O932" s="136"/>
      <c r="R932" s="126"/>
    </row>
    <row r="933">
      <c r="B933" s="153"/>
      <c r="C933" s="154"/>
      <c r="E933" s="155"/>
      <c r="F933" s="156"/>
      <c r="H933" s="131"/>
      <c r="K933" s="137"/>
      <c r="L933" s="137"/>
      <c r="O933" s="136"/>
      <c r="R933" s="126"/>
    </row>
    <row r="934">
      <c r="B934" s="153"/>
      <c r="C934" s="154"/>
      <c r="E934" s="155"/>
      <c r="F934" s="156"/>
      <c r="H934" s="131"/>
      <c r="K934" s="137"/>
      <c r="L934" s="137"/>
      <c r="O934" s="136"/>
      <c r="R934" s="126"/>
    </row>
    <row r="935">
      <c r="B935" s="153"/>
      <c r="C935" s="154"/>
      <c r="E935" s="155"/>
      <c r="F935" s="156"/>
      <c r="H935" s="131"/>
      <c r="K935" s="137"/>
      <c r="L935" s="137"/>
      <c r="O935" s="136"/>
      <c r="R935" s="126"/>
    </row>
    <row r="936">
      <c r="B936" s="153"/>
      <c r="C936" s="154"/>
      <c r="E936" s="155"/>
      <c r="F936" s="156"/>
      <c r="H936" s="131"/>
      <c r="K936" s="137"/>
      <c r="L936" s="137"/>
      <c r="O936" s="136"/>
      <c r="R936" s="126"/>
    </row>
    <row r="937">
      <c r="B937" s="153"/>
      <c r="C937" s="154"/>
      <c r="E937" s="155"/>
      <c r="F937" s="156"/>
      <c r="H937" s="131"/>
      <c r="K937" s="137"/>
      <c r="L937" s="137"/>
      <c r="O937" s="136"/>
      <c r="R937" s="126"/>
    </row>
    <row r="938">
      <c r="B938" s="153"/>
      <c r="C938" s="154"/>
      <c r="E938" s="155"/>
      <c r="F938" s="156"/>
      <c r="H938" s="131"/>
      <c r="K938" s="137"/>
      <c r="L938" s="137"/>
      <c r="O938" s="136"/>
      <c r="R938" s="126"/>
    </row>
    <row r="939">
      <c r="B939" s="153"/>
      <c r="C939" s="154"/>
      <c r="E939" s="155"/>
      <c r="F939" s="156"/>
      <c r="H939" s="131"/>
      <c r="K939" s="137"/>
      <c r="L939" s="137"/>
      <c r="O939" s="136"/>
      <c r="R939" s="126"/>
    </row>
    <row r="940">
      <c r="B940" s="153"/>
      <c r="C940" s="154"/>
      <c r="E940" s="155"/>
      <c r="F940" s="156"/>
      <c r="H940" s="131"/>
      <c r="K940" s="137"/>
      <c r="L940" s="137"/>
      <c r="O940" s="136"/>
      <c r="R940" s="126"/>
    </row>
    <row r="941">
      <c r="B941" s="153"/>
      <c r="C941" s="154"/>
      <c r="E941" s="155"/>
      <c r="F941" s="156"/>
      <c r="H941" s="131"/>
      <c r="K941" s="137"/>
      <c r="L941" s="137"/>
      <c r="O941" s="136"/>
      <c r="R941" s="126"/>
    </row>
    <row r="942">
      <c r="B942" s="153"/>
      <c r="C942" s="154"/>
      <c r="E942" s="155"/>
      <c r="F942" s="156"/>
      <c r="H942" s="131"/>
      <c r="K942" s="137"/>
      <c r="L942" s="137"/>
      <c r="O942" s="136"/>
      <c r="R942" s="126"/>
    </row>
    <row r="943">
      <c r="B943" s="153"/>
      <c r="C943" s="154"/>
      <c r="E943" s="155"/>
      <c r="F943" s="156"/>
      <c r="H943" s="131"/>
      <c r="K943" s="137"/>
      <c r="L943" s="137"/>
      <c r="O943" s="136"/>
      <c r="R943" s="126"/>
    </row>
    <row r="944">
      <c r="B944" s="153"/>
      <c r="C944" s="154"/>
      <c r="E944" s="155"/>
      <c r="F944" s="156"/>
      <c r="H944" s="131"/>
      <c r="K944" s="137"/>
      <c r="L944" s="137"/>
      <c r="O944" s="136"/>
      <c r="R944" s="126"/>
    </row>
    <row r="945">
      <c r="B945" s="153"/>
      <c r="C945" s="154"/>
      <c r="E945" s="155"/>
      <c r="F945" s="156"/>
      <c r="H945" s="131"/>
      <c r="K945" s="137"/>
      <c r="L945" s="137"/>
      <c r="O945" s="136"/>
      <c r="R945" s="126"/>
    </row>
    <row r="946">
      <c r="B946" s="153"/>
      <c r="C946" s="154"/>
      <c r="E946" s="155"/>
      <c r="F946" s="156"/>
      <c r="H946" s="131"/>
      <c r="K946" s="137"/>
      <c r="L946" s="137"/>
      <c r="O946" s="136"/>
      <c r="R946" s="126"/>
    </row>
    <row r="947">
      <c r="B947" s="153"/>
      <c r="C947" s="154"/>
      <c r="E947" s="155"/>
      <c r="F947" s="156"/>
      <c r="H947" s="131"/>
      <c r="K947" s="137"/>
      <c r="L947" s="137"/>
      <c r="O947" s="136"/>
      <c r="R947" s="126"/>
    </row>
    <row r="948">
      <c r="B948" s="153"/>
      <c r="C948" s="154"/>
      <c r="E948" s="155"/>
      <c r="F948" s="156"/>
      <c r="H948" s="131"/>
      <c r="K948" s="137"/>
      <c r="L948" s="137"/>
      <c r="O948" s="136"/>
      <c r="R948" s="126"/>
    </row>
    <row r="949">
      <c r="B949" s="153"/>
      <c r="C949" s="154"/>
      <c r="E949" s="155"/>
      <c r="F949" s="156"/>
      <c r="H949" s="131"/>
      <c r="K949" s="137"/>
      <c r="L949" s="137"/>
      <c r="O949" s="136"/>
      <c r="R949" s="126"/>
    </row>
    <row r="950">
      <c r="B950" s="153"/>
      <c r="C950" s="154"/>
      <c r="E950" s="155"/>
      <c r="F950" s="156"/>
      <c r="H950" s="131"/>
      <c r="K950" s="137"/>
      <c r="L950" s="137"/>
      <c r="O950" s="136"/>
      <c r="R950" s="126"/>
    </row>
    <row r="951">
      <c r="B951" s="153"/>
      <c r="C951" s="154"/>
      <c r="E951" s="155"/>
      <c r="F951" s="156"/>
      <c r="H951" s="131"/>
      <c r="K951" s="137"/>
      <c r="L951" s="137"/>
      <c r="O951" s="136"/>
      <c r="R951" s="126"/>
    </row>
    <row r="952">
      <c r="B952" s="153"/>
      <c r="C952" s="154"/>
      <c r="E952" s="155"/>
      <c r="F952" s="156"/>
      <c r="H952" s="131"/>
      <c r="K952" s="137"/>
      <c r="L952" s="137"/>
      <c r="O952" s="136"/>
      <c r="R952" s="126"/>
    </row>
    <row r="953">
      <c r="B953" s="153"/>
      <c r="C953" s="154"/>
      <c r="E953" s="155"/>
      <c r="F953" s="156"/>
      <c r="H953" s="131"/>
      <c r="K953" s="137"/>
      <c r="L953" s="137"/>
      <c r="O953" s="136"/>
      <c r="R953" s="126"/>
    </row>
    <row r="954">
      <c r="B954" s="153"/>
      <c r="C954" s="154"/>
      <c r="E954" s="155"/>
      <c r="F954" s="156"/>
      <c r="H954" s="131"/>
      <c r="K954" s="137"/>
      <c r="L954" s="137"/>
      <c r="O954" s="136"/>
      <c r="R954" s="126"/>
    </row>
    <row r="955">
      <c r="B955" s="153"/>
      <c r="C955" s="154"/>
      <c r="E955" s="155"/>
      <c r="F955" s="156"/>
      <c r="H955" s="131"/>
      <c r="K955" s="137"/>
      <c r="L955" s="137"/>
      <c r="O955" s="136"/>
      <c r="R955" s="126"/>
    </row>
    <row r="956">
      <c r="B956" s="153"/>
      <c r="C956" s="154"/>
      <c r="E956" s="155"/>
      <c r="F956" s="156"/>
      <c r="H956" s="131"/>
      <c r="K956" s="137"/>
      <c r="L956" s="137"/>
      <c r="O956" s="136"/>
      <c r="R956" s="126"/>
    </row>
    <row r="957">
      <c r="B957" s="153"/>
      <c r="C957" s="154"/>
      <c r="E957" s="155"/>
      <c r="F957" s="156"/>
      <c r="H957" s="131"/>
      <c r="K957" s="137"/>
      <c r="L957" s="137"/>
      <c r="O957" s="136"/>
      <c r="R957" s="126"/>
    </row>
    <row r="958">
      <c r="B958" s="153"/>
      <c r="C958" s="154"/>
      <c r="E958" s="155"/>
      <c r="F958" s="156"/>
      <c r="H958" s="131"/>
      <c r="K958" s="137"/>
      <c r="L958" s="137"/>
      <c r="O958" s="136"/>
      <c r="R958" s="126"/>
    </row>
    <row r="959">
      <c r="B959" s="153"/>
      <c r="C959" s="154"/>
      <c r="E959" s="155"/>
      <c r="F959" s="156"/>
      <c r="H959" s="131"/>
      <c r="K959" s="137"/>
      <c r="L959" s="137"/>
      <c r="O959" s="136"/>
      <c r="R959" s="126"/>
    </row>
    <row r="960">
      <c r="B960" s="153"/>
      <c r="C960" s="154"/>
      <c r="E960" s="155"/>
      <c r="F960" s="156"/>
      <c r="H960" s="131"/>
      <c r="K960" s="137"/>
      <c r="L960" s="137"/>
      <c r="O960" s="136"/>
      <c r="R960" s="126"/>
    </row>
    <row r="961">
      <c r="B961" s="153"/>
      <c r="C961" s="154"/>
      <c r="E961" s="155"/>
      <c r="F961" s="156"/>
      <c r="H961" s="131"/>
      <c r="K961" s="137"/>
      <c r="L961" s="137"/>
      <c r="O961" s="136"/>
      <c r="R961" s="126"/>
    </row>
    <row r="962">
      <c r="B962" s="153"/>
      <c r="C962" s="154"/>
      <c r="E962" s="155"/>
      <c r="F962" s="156"/>
      <c r="H962" s="131"/>
      <c r="K962" s="137"/>
      <c r="L962" s="137"/>
      <c r="O962" s="136"/>
      <c r="R962" s="126"/>
    </row>
    <row r="963">
      <c r="B963" s="153"/>
      <c r="C963" s="154"/>
      <c r="E963" s="155"/>
      <c r="F963" s="156"/>
      <c r="H963" s="131"/>
      <c r="K963" s="137"/>
      <c r="L963" s="137"/>
      <c r="O963" s="136"/>
      <c r="R963" s="126"/>
    </row>
    <row r="964">
      <c r="B964" s="153"/>
      <c r="C964" s="154"/>
      <c r="E964" s="155"/>
      <c r="F964" s="156"/>
      <c r="H964" s="131"/>
      <c r="K964" s="137"/>
      <c r="L964" s="137"/>
      <c r="O964" s="136"/>
      <c r="R964" s="126"/>
    </row>
    <row r="965">
      <c r="B965" s="153"/>
      <c r="C965" s="154"/>
      <c r="E965" s="155"/>
      <c r="F965" s="156"/>
      <c r="H965" s="131"/>
      <c r="K965" s="137"/>
      <c r="L965" s="137"/>
      <c r="O965" s="136"/>
      <c r="R965" s="126"/>
    </row>
    <row r="966">
      <c r="B966" s="153"/>
      <c r="C966" s="154"/>
      <c r="E966" s="155"/>
      <c r="F966" s="156"/>
      <c r="H966" s="131"/>
      <c r="K966" s="137"/>
      <c r="L966" s="137"/>
      <c r="O966" s="136"/>
      <c r="R966" s="126"/>
    </row>
    <row r="967">
      <c r="B967" s="153"/>
      <c r="C967" s="154"/>
      <c r="E967" s="155"/>
      <c r="F967" s="156"/>
      <c r="H967" s="131"/>
      <c r="K967" s="137"/>
      <c r="L967" s="137"/>
      <c r="O967" s="136"/>
      <c r="R967" s="126"/>
    </row>
    <row r="968">
      <c r="B968" s="153"/>
      <c r="C968" s="154"/>
      <c r="E968" s="155"/>
      <c r="F968" s="156"/>
      <c r="H968" s="131"/>
      <c r="K968" s="137"/>
      <c r="L968" s="137"/>
      <c r="O968" s="136"/>
      <c r="R968" s="126"/>
    </row>
    <row r="969">
      <c r="B969" s="153"/>
      <c r="C969" s="154"/>
      <c r="E969" s="155"/>
      <c r="F969" s="156"/>
      <c r="H969" s="131"/>
      <c r="K969" s="137"/>
      <c r="L969" s="137"/>
      <c r="O969" s="136"/>
      <c r="R969" s="126"/>
    </row>
    <row r="970">
      <c r="B970" s="153"/>
      <c r="C970" s="154"/>
      <c r="E970" s="155"/>
      <c r="F970" s="156"/>
      <c r="H970" s="131"/>
      <c r="K970" s="137"/>
      <c r="L970" s="137"/>
      <c r="O970" s="136"/>
      <c r="R970" s="126"/>
    </row>
    <row r="971">
      <c r="B971" s="153"/>
      <c r="C971" s="154"/>
      <c r="E971" s="155"/>
      <c r="F971" s="156"/>
      <c r="H971" s="131"/>
      <c r="K971" s="137"/>
      <c r="L971" s="137"/>
      <c r="O971" s="136"/>
      <c r="R971" s="126"/>
    </row>
    <row r="972">
      <c r="B972" s="153"/>
      <c r="C972" s="154"/>
      <c r="E972" s="155"/>
      <c r="F972" s="156"/>
      <c r="H972" s="131"/>
      <c r="K972" s="137"/>
      <c r="L972" s="137"/>
      <c r="O972" s="136"/>
      <c r="R972" s="126"/>
    </row>
    <row r="973">
      <c r="B973" s="153"/>
      <c r="C973" s="154"/>
      <c r="E973" s="155"/>
      <c r="F973" s="156"/>
      <c r="H973" s="131"/>
      <c r="K973" s="137"/>
      <c r="L973" s="137"/>
      <c r="O973" s="136"/>
      <c r="R973" s="126"/>
    </row>
    <row r="974">
      <c r="B974" s="153"/>
      <c r="C974" s="154"/>
      <c r="E974" s="155"/>
      <c r="F974" s="156"/>
      <c r="H974" s="131"/>
      <c r="K974" s="137"/>
      <c r="L974" s="137"/>
      <c r="O974" s="136"/>
      <c r="R974" s="126"/>
    </row>
    <row r="975">
      <c r="B975" s="153"/>
      <c r="C975" s="154"/>
      <c r="E975" s="155"/>
      <c r="F975" s="156"/>
      <c r="H975" s="131"/>
      <c r="K975" s="137"/>
      <c r="L975" s="137"/>
      <c r="O975" s="136"/>
      <c r="R975" s="126"/>
    </row>
    <row r="976">
      <c r="B976" s="153"/>
      <c r="C976" s="154"/>
      <c r="E976" s="155"/>
      <c r="F976" s="156"/>
      <c r="H976" s="131"/>
      <c r="K976" s="137"/>
      <c r="L976" s="137"/>
      <c r="O976" s="136"/>
      <c r="R976" s="126"/>
    </row>
    <row r="977">
      <c r="B977" s="153"/>
      <c r="C977" s="154"/>
      <c r="E977" s="155"/>
      <c r="F977" s="156"/>
      <c r="H977" s="131"/>
      <c r="K977" s="137"/>
      <c r="L977" s="137"/>
      <c r="O977" s="136"/>
      <c r="R977" s="126"/>
    </row>
    <row r="978">
      <c r="B978" s="153"/>
      <c r="C978" s="154"/>
      <c r="E978" s="155"/>
      <c r="F978" s="156"/>
      <c r="H978" s="131"/>
      <c r="K978" s="137"/>
      <c r="L978" s="137"/>
      <c r="O978" s="136"/>
      <c r="R978" s="126"/>
    </row>
    <row r="979">
      <c r="B979" s="153"/>
      <c r="C979" s="154"/>
      <c r="E979" s="155"/>
      <c r="F979" s="156"/>
      <c r="H979" s="131"/>
      <c r="K979" s="137"/>
      <c r="L979" s="137"/>
      <c r="O979" s="136"/>
      <c r="R979" s="126"/>
    </row>
    <row r="980">
      <c r="B980" s="153"/>
      <c r="C980" s="154"/>
      <c r="E980" s="155"/>
      <c r="F980" s="156"/>
      <c r="H980" s="131"/>
      <c r="K980" s="137"/>
      <c r="L980" s="137"/>
      <c r="O980" s="136"/>
      <c r="R980" s="126"/>
    </row>
    <row r="981">
      <c r="B981" s="153"/>
      <c r="C981" s="154"/>
      <c r="E981" s="155"/>
      <c r="F981" s="156"/>
      <c r="H981" s="131"/>
      <c r="K981" s="137"/>
      <c r="L981" s="137"/>
      <c r="O981" s="136"/>
      <c r="R981" s="126"/>
    </row>
    <row r="982">
      <c r="B982" s="153"/>
      <c r="C982" s="154"/>
      <c r="E982" s="155"/>
      <c r="F982" s="156"/>
      <c r="H982" s="131"/>
      <c r="K982" s="137"/>
      <c r="L982" s="137"/>
      <c r="O982" s="136"/>
      <c r="R982" s="126"/>
    </row>
    <row r="983">
      <c r="B983" s="153"/>
      <c r="C983" s="154"/>
      <c r="E983" s="155"/>
      <c r="F983" s="156"/>
      <c r="H983" s="131"/>
      <c r="K983" s="137"/>
      <c r="L983" s="137"/>
      <c r="O983" s="136"/>
      <c r="R983" s="126"/>
    </row>
    <row r="984">
      <c r="B984" s="153"/>
      <c r="C984" s="154"/>
      <c r="E984" s="155"/>
      <c r="F984" s="156"/>
      <c r="H984" s="131"/>
      <c r="K984" s="137"/>
      <c r="L984" s="137"/>
      <c r="O984" s="136"/>
      <c r="R984" s="126"/>
    </row>
    <row r="985">
      <c r="B985" s="153"/>
      <c r="C985" s="154"/>
      <c r="E985" s="155"/>
      <c r="F985" s="156"/>
      <c r="H985" s="131"/>
      <c r="K985" s="137"/>
      <c r="L985" s="137"/>
      <c r="O985" s="136"/>
      <c r="R985" s="126"/>
    </row>
    <row r="986">
      <c r="B986" s="153"/>
      <c r="C986" s="154"/>
      <c r="E986" s="155"/>
      <c r="F986" s="156"/>
      <c r="H986" s="131"/>
      <c r="K986" s="137"/>
      <c r="L986" s="137"/>
      <c r="O986" s="136"/>
      <c r="R986" s="126"/>
    </row>
    <row r="987">
      <c r="B987" s="153"/>
      <c r="C987" s="154"/>
      <c r="E987" s="155"/>
      <c r="F987" s="156"/>
      <c r="H987" s="131"/>
      <c r="K987" s="137"/>
      <c r="L987" s="137"/>
      <c r="O987" s="136"/>
      <c r="R987" s="126"/>
    </row>
    <row r="988">
      <c r="B988" s="153"/>
      <c r="C988" s="154"/>
      <c r="E988" s="155"/>
      <c r="F988" s="156"/>
      <c r="H988" s="131"/>
      <c r="K988" s="137"/>
      <c r="L988" s="137"/>
      <c r="O988" s="136"/>
      <c r="R988" s="126"/>
    </row>
    <row r="989">
      <c r="B989" s="153"/>
      <c r="C989" s="154"/>
      <c r="E989" s="155"/>
      <c r="F989" s="156"/>
      <c r="H989" s="131"/>
      <c r="K989" s="137"/>
      <c r="L989" s="137"/>
      <c r="O989" s="136"/>
      <c r="R989" s="126"/>
    </row>
    <row r="990">
      <c r="B990" s="153"/>
      <c r="C990" s="154"/>
      <c r="E990" s="155"/>
      <c r="F990" s="156"/>
      <c r="H990" s="131"/>
      <c r="K990" s="137"/>
      <c r="L990" s="137"/>
      <c r="O990" s="136"/>
      <c r="R990" s="126"/>
    </row>
    <row r="991">
      <c r="B991" s="153"/>
      <c r="C991" s="154"/>
      <c r="E991" s="155"/>
      <c r="F991" s="156"/>
      <c r="H991" s="131"/>
      <c r="K991" s="137"/>
      <c r="L991" s="137"/>
      <c r="O991" s="136"/>
      <c r="R991" s="126"/>
    </row>
    <row r="992">
      <c r="B992" s="153"/>
      <c r="C992" s="154"/>
      <c r="E992" s="155"/>
      <c r="F992" s="156"/>
      <c r="H992" s="131"/>
      <c r="K992" s="137"/>
      <c r="L992" s="137"/>
      <c r="O992" s="136"/>
      <c r="R992" s="126"/>
    </row>
    <row r="993">
      <c r="B993" s="153"/>
      <c r="C993" s="154"/>
      <c r="E993" s="155"/>
      <c r="F993" s="156"/>
      <c r="H993" s="131"/>
      <c r="K993" s="137"/>
      <c r="L993" s="137"/>
      <c r="O993" s="136"/>
      <c r="R993" s="126"/>
    </row>
    <row r="994">
      <c r="B994" s="153"/>
      <c r="C994" s="154"/>
      <c r="E994" s="155"/>
      <c r="F994" s="156"/>
      <c r="H994" s="131"/>
      <c r="K994" s="137"/>
      <c r="L994" s="137"/>
      <c r="O994" s="136"/>
      <c r="R994" s="126"/>
    </row>
    <row r="995">
      <c r="B995" s="153"/>
      <c r="C995" s="154"/>
      <c r="E995" s="155"/>
      <c r="F995" s="156"/>
      <c r="H995" s="131"/>
      <c r="K995" s="137"/>
      <c r="L995" s="137"/>
      <c r="O995" s="136"/>
      <c r="R995" s="126"/>
    </row>
    <row r="996">
      <c r="B996" s="153"/>
      <c r="C996" s="154"/>
      <c r="E996" s="155"/>
      <c r="F996" s="156"/>
      <c r="H996" s="131"/>
      <c r="K996" s="137"/>
      <c r="L996" s="137"/>
      <c r="O996" s="136"/>
      <c r="R996" s="126"/>
    </row>
    <row r="997">
      <c r="B997" s="153"/>
      <c r="C997" s="154"/>
      <c r="E997" s="155"/>
      <c r="F997" s="156"/>
      <c r="H997" s="131"/>
      <c r="K997" s="137"/>
      <c r="L997" s="137"/>
      <c r="O997" s="136"/>
      <c r="R997" s="126"/>
    </row>
    <row r="998">
      <c r="B998" s="153"/>
      <c r="C998" s="154"/>
      <c r="E998" s="155"/>
      <c r="F998" s="156"/>
      <c r="H998" s="131"/>
      <c r="K998" s="137"/>
      <c r="L998" s="137"/>
      <c r="O998" s="136"/>
      <c r="R998" s="126"/>
    </row>
    <row r="999">
      <c r="B999" s="153"/>
      <c r="C999" s="154"/>
      <c r="E999" s="155"/>
      <c r="F999" s="156"/>
      <c r="H999" s="131"/>
      <c r="K999" s="137"/>
      <c r="L999" s="137"/>
      <c r="O999" s="136"/>
      <c r="R999" s="126"/>
    </row>
    <row r="1000">
      <c r="B1000" s="153"/>
      <c r="C1000" s="154"/>
      <c r="E1000" s="155"/>
      <c r="F1000" s="156"/>
      <c r="H1000" s="131"/>
      <c r="K1000" s="137"/>
      <c r="L1000" s="137"/>
      <c r="O1000" s="136"/>
      <c r="R1000" s="126"/>
    </row>
    <row r="1001">
      <c r="B1001" s="153"/>
      <c r="C1001" s="154"/>
      <c r="E1001" s="155"/>
      <c r="F1001" s="156"/>
      <c r="H1001" s="131"/>
      <c r="K1001" s="137"/>
      <c r="L1001" s="137"/>
      <c r="O1001" s="136"/>
      <c r="R1001" s="126"/>
    </row>
    <row r="1002">
      <c r="B1002" s="153"/>
      <c r="C1002" s="154"/>
      <c r="E1002" s="155"/>
      <c r="F1002" s="156"/>
      <c r="H1002" s="131"/>
      <c r="K1002" s="137"/>
      <c r="L1002" s="137"/>
      <c r="O1002" s="136"/>
      <c r="R1002" s="126"/>
    </row>
    <row r="1003">
      <c r="B1003" s="153"/>
      <c r="C1003" s="154"/>
      <c r="E1003" s="155"/>
      <c r="F1003" s="156"/>
      <c r="H1003" s="131"/>
      <c r="K1003" s="137"/>
      <c r="L1003" s="137"/>
      <c r="O1003" s="136"/>
      <c r="R1003" s="126"/>
    </row>
    <row r="1004">
      <c r="B1004" s="153"/>
      <c r="C1004" s="154"/>
      <c r="E1004" s="155"/>
      <c r="F1004" s="156"/>
      <c r="H1004" s="131"/>
      <c r="K1004" s="137"/>
      <c r="L1004" s="137"/>
      <c r="O1004" s="136"/>
      <c r="R1004" s="126"/>
    </row>
    <row r="1005">
      <c r="B1005" s="153"/>
      <c r="C1005" s="154"/>
      <c r="E1005" s="155"/>
      <c r="F1005" s="156"/>
      <c r="H1005" s="131"/>
      <c r="K1005" s="137"/>
      <c r="L1005" s="137"/>
      <c r="O1005" s="136"/>
      <c r="R1005" s="126"/>
    </row>
    <row r="1006">
      <c r="B1006" s="153"/>
      <c r="C1006" s="154"/>
      <c r="E1006" s="155"/>
      <c r="F1006" s="156"/>
      <c r="H1006" s="131"/>
      <c r="K1006" s="137"/>
      <c r="L1006" s="137"/>
      <c r="O1006" s="136"/>
      <c r="R1006" s="126"/>
    </row>
    <row r="1007">
      <c r="B1007" s="153"/>
      <c r="C1007" s="154"/>
      <c r="E1007" s="155"/>
      <c r="F1007" s="156"/>
      <c r="H1007" s="131"/>
      <c r="K1007" s="137"/>
      <c r="L1007" s="137"/>
      <c r="O1007" s="136"/>
      <c r="R1007" s="126"/>
    </row>
    <row r="1008">
      <c r="B1008" s="153"/>
      <c r="C1008" s="154"/>
      <c r="E1008" s="155"/>
      <c r="F1008" s="156"/>
      <c r="H1008" s="131"/>
      <c r="K1008" s="137"/>
      <c r="L1008" s="137"/>
      <c r="O1008" s="136"/>
      <c r="R1008" s="126"/>
    </row>
    <row r="1009">
      <c r="B1009" s="153"/>
      <c r="C1009" s="154"/>
      <c r="E1009" s="155"/>
      <c r="F1009" s="156"/>
      <c r="H1009" s="131"/>
      <c r="K1009" s="137"/>
      <c r="L1009" s="137"/>
      <c r="O1009" s="136"/>
      <c r="R1009" s="126"/>
    </row>
    <row r="1010">
      <c r="B1010" s="153"/>
      <c r="C1010" s="154"/>
      <c r="E1010" s="155"/>
      <c r="F1010" s="156"/>
      <c r="H1010" s="131"/>
      <c r="K1010" s="137"/>
      <c r="L1010" s="137"/>
      <c r="O1010" s="136"/>
      <c r="R1010" s="126"/>
    </row>
    <row r="1011">
      <c r="B1011" s="153"/>
      <c r="C1011" s="154"/>
      <c r="E1011" s="155"/>
      <c r="F1011" s="156"/>
      <c r="H1011" s="131"/>
      <c r="K1011" s="137"/>
      <c r="L1011" s="137"/>
      <c r="O1011" s="136"/>
      <c r="R1011" s="126"/>
    </row>
    <row r="1012">
      <c r="B1012" s="153"/>
      <c r="C1012" s="154"/>
      <c r="E1012" s="155"/>
      <c r="F1012" s="156"/>
      <c r="H1012" s="131"/>
      <c r="K1012" s="137"/>
      <c r="L1012" s="137"/>
      <c r="O1012" s="136"/>
      <c r="R1012" s="126"/>
    </row>
    <row r="1013">
      <c r="B1013" s="153"/>
      <c r="C1013" s="154"/>
      <c r="E1013" s="155"/>
      <c r="F1013" s="156"/>
      <c r="H1013" s="131"/>
      <c r="K1013" s="137"/>
      <c r="L1013" s="137"/>
      <c r="O1013" s="136"/>
      <c r="R1013" s="126"/>
    </row>
    <row r="1014">
      <c r="B1014" s="153"/>
      <c r="C1014" s="154"/>
      <c r="E1014" s="155"/>
      <c r="F1014" s="156"/>
      <c r="H1014" s="131"/>
      <c r="K1014" s="137"/>
      <c r="L1014" s="137"/>
      <c r="O1014" s="136"/>
      <c r="R1014" s="126"/>
    </row>
    <row r="1015">
      <c r="B1015" s="153"/>
      <c r="C1015" s="154"/>
      <c r="E1015" s="155"/>
      <c r="F1015" s="156"/>
      <c r="H1015" s="157"/>
      <c r="K1015" s="137"/>
      <c r="L1015" s="137"/>
      <c r="O1015" s="136"/>
      <c r="R1015" s="12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12.88"/>
    <col customWidth="1" min="4" max="4" width="4.75"/>
    <col customWidth="1" min="5" max="5" width="6.5"/>
    <col customWidth="1" min="7" max="7" width="36.88"/>
  </cols>
  <sheetData>
    <row r="1">
      <c r="A1" s="158" t="s">
        <v>625</v>
      </c>
      <c r="B1" s="158" t="s">
        <v>626</v>
      </c>
      <c r="C1" s="159" t="s">
        <v>627</v>
      </c>
      <c r="E1" s="148" t="s">
        <v>11</v>
      </c>
      <c r="F1" s="148" t="s">
        <v>628</v>
      </c>
      <c r="G1" s="148" t="s">
        <v>520</v>
      </c>
      <c r="H1" s="160" t="s">
        <v>18</v>
      </c>
      <c r="I1" s="148" t="s">
        <v>3</v>
      </c>
    </row>
    <row r="2">
      <c r="A2" s="161">
        <v>45950.0</v>
      </c>
      <c r="B2" s="52" t="s">
        <v>629</v>
      </c>
      <c r="C2" s="162">
        <v>75000.0</v>
      </c>
      <c r="E2" s="148">
        <v>1.0</v>
      </c>
      <c r="F2" s="163">
        <v>46027.0</v>
      </c>
      <c r="G2" s="148" t="s">
        <v>630</v>
      </c>
      <c r="H2" s="160">
        <v>1365000.0</v>
      </c>
      <c r="I2" s="164">
        <f>H2</f>
        <v>1365000</v>
      </c>
    </row>
    <row r="3">
      <c r="A3" s="161">
        <v>45950.0</v>
      </c>
      <c r="B3" s="52" t="s">
        <v>631</v>
      </c>
      <c r="C3" s="162">
        <v>475750.0</v>
      </c>
      <c r="E3" s="148">
        <v>2.0</v>
      </c>
      <c r="F3" s="163">
        <v>46025.0</v>
      </c>
      <c r="G3" s="148" t="s">
        <v>632</v>
      </c>
      <c r="H3" s="160">
        <v>1050000.0</v>
      </c>
      <c r="I3" s="164">
        <f>I2+H3</f>
        <v>2415000</v>
      </c>
    </row>
    <row r="4">
      <c r="A4" s="165">
        <v>45951.0</v>
      </c>
      <c r="B4" s="52" t="s">
        <v>633</v>
      </c>
      <c r="C4" s="162">
        <v>59000.0</v>
      </c>
      <c r="H4" s="164"/>
    </row>
    <row r="5">
      <c r="A5" s="165">
        <v>45951.0</v>
      </c>
      <c r="B5" s="52" t="s">
        <v>634</v>
      </c>
      <c r="C5" s="162">
        <v>212000.0</v>
      </c>
      <c r="H5" s="164"/>
    </row>
    <row r="6">
      <c r="A6" s="165">
        <v>45952.0</v>
      </c>
      <c r="B6" s="52" t="s">
        <v>635</v>
      </c>
      <c r="C6" s="162">
        <v>501750.0</v>
      </c>
      <c r="H6" s="164"/>
    </row>
    <row r="7">
      <c r="A7" s="165">
        <v>45952.0</v>
      </c>
      <c r="B7" s="52" t="s">
        <v>636</v>
      </c>
      <c r="C7" s="162">
        <v>201750.0</v>
      </c>
      <c r="H7" s="164"/>
    </row>
    <row r="8">
      <c r="A8" s="165">
        <v>45952.0</v>
      </c>
      <c r="B8" s="52" t="s">
        <v>637</v>
      </c>
      <c r="C8" s="162">
        <v>500000.0</v>
      </c>
      <c r="H8" s="164"/>
    </row>
    <row r="9">
      <c r="A9" s="165">
        <v>45952.0</v>
      </c>
      <c r="B9" s="52" t="s">
        <v>638</v>
      </c>
      <c r="C9" s="162">
        <v>333000.0</v>
      </c>
      <c r="H9" s="164"/>
    </row>
    <row r="10">
      <c r="A10" s="165">
        <v>45953.0</v>
      </c>
      <c r="B10" s="52" t="s">
        <v>639</v>
      </c>
      <c r="C10" s="162">
        <v>200000.0</v>
      </c>
      <c r="H10" s="164"/>
    </row>
    <row r="11">
      <c r="A11" s="165">
        <v>45954.0</v>
      </c>
      <c r="B11" s="52" t="s">
        <v>640</v>
      </c>
      <c r="C11" s="162">
        <v>1201575.0</v>
      </c>
      <c r="H11" s="164"/>
    </row>
    <row r="12">
      <c r="A12" s="165">
        <v>45954.0</v>
      </c>
      <c r="B12" s="52" t="s">
        <v>641</v>
      </c>
      <c r="C12" s="162">
        <v>67000.0</v>
      </c>
      <c r="H12" s="164"/>
    </row>
    <row r="13">
      <c r="A13" s="165">
        <v>45954.0</v>
      </c>
      <c r="B13" s="52" t="s">
        <v>642</v>
      </c>
      <c r="C13" s="162">
        <v>100000.0</v>
      </c>
      <c r="H13" s="164"/>
    </row>
    <row r="14">
      <c r="C14" s="166"/>
      <c r="H14" s="164"/>
    </row>
    <row r="15">
      <c r="C15" s="166"/>
      <c r="H15" s="164"/>
    </row>
    <row r="16">
      <c r="C16" s="166"/>
      <c r="H16" s="164"/>
    </row>
    <row r="17">
      <c r="C17" s="166"/>
      <c r="H17" s="164"/>
    </row>
    <row r="18">
      <c r="C18" s="166"/>
      <c r="H18" s="164"/>
    </row>
    <row r="19">
      <c r="C19" s="166"/>
      <c r="H19" s="164"/>
    </row>
    <row r="20">
      <c r="C20" s="166"/>
      <c r="H20" s="164"/>
    </row>
    <row r="21">
      <c r="C21" s="166"/>
      <c r="H21" s="164"/>
    </row>
    <row r="22">
      <c r="C22" s="166"/>
      <c r="H22" s="164"/>
    </row>
    <row r="23">
      <c r="C23" s="166"/>
      <c r="H23" s="164"/>
    </row>
    <row r="24">
      <c r="C24" s="166"/>
      <c r="H24" s="164"/>
    </row>
    <row r="25">
      <c r="C25" s="166"/>
      <c r="H25" s="164"/>
    </row>
    <row r="26">
      <c r="C26" s="166"/>
      <c r="H26" s="164"/>
    </row>
    <row r="27">
      <c r="C27" s="166"/>
      <c r="H27" s="164"/>
    </row>
    <row r="28">
      <c r="C28" s="166"/>
      <c r="H28" s="164"/>
    </row>
    <row r="29">
      <c r="C29" s="166"/>
      <c r="H29" s="164"/>
    </row>
    <row r="30">
      <c r="C30" s="166"/>
      <c r="H30" s="164"/>
    </row>
    <row r="31">
      <c r="C31" s="166"/>
      <c r="H31" s="164"/>
    </row>
    <row r="32">
      <c r="C32" s="166"/>
      <c r="H32" s="164"/>
    </row>
    <row r="33">
      <c r="C33" s="166"/>
      <c r="H33" s="164"/>
    </row>
    <row r="34">
      <c r="C34" s="166"/>
      <c r="H34" s="164"/>
    </row>
    <row r="35">
      <c r="C35" s="166"/>
      <c r="H35" s="164"/>
    </row>
    <row r="36">
      <c r="C36" s="166"/>
      <c r="H36" s="164"/>
    </row>
    <row r="37">
      <c r="C37" s="166"/>
      <c r="H37" s="164"/>
    </row>
    <row r="38">
      <c r="C38" s="166"/>
      <c r="H38" s="164"/>
    </row>
    <row r="39">
      <c r="C39" s="166"/>
      <c r="H39" s="164"/>
    </row>
    <row r="40">
      <c r="C40" s="166"/>
      <c r="H40" s="164"/>
    </row>
    <row r="41">
      <c r="C41" s="166"/>
      <c r="H41" s="164"/>
    </row>
    <row r="42">
      <c r="C42" s="166"/>
      <c r="H42" s="164"/>
    </row>
    <row r="43">
      <c r="C43" s="166"/>
      <c r="H43" s="164"/>
    </row>
    <row r="44">
      <c r="C44" s="166"/>
      <c r="H44" s="164"/>
    </row>
    <row r="45">
      <c r="C45" s="166"/>
      <c r="H45" s="164"/>
    </row>
    <row r="46">
      <c r="C46" s="166"/>
      <c r="H46" s="164"/>
    </row>
    <row r="47">
      <c r="C47" s="166"/>
      <c r="H47" s="164"/>
    </row>
    <row r="48">
      <c r="C48" s="166"/>
      <c r="H48" s="164"/>
    </row>
    <row r="49">
      <c r="C49" s="166"/>
      <c r="H49" s="164"/>
    </row>
    <row r="50">
      <c r="C50" s="166"/>
      <c r="H50" s="164"/>
    </row>
    <row r="51">
      <c r="C51" s="166"/>
      <c r="H51" s="164"/>
    </row>
    <row r="52">
      <c r="C52" s="166"/>
      <c r="H52" s="164"/>
    </row>
    <row r="53">
      <c r="C53" s="166"/>
      <c r="H53" s="164"/>
    </row>
    <row r="54">
      <c r="C54" s="166"/>
      <c r="H54" s="164"/>
    </row>
    <row r="55">
      <c r="C55" s="166"/>
      <c r="H55" s="164"/>
    </row>
    <row r="56">
      <c r="C56" s="166"/>
      <c r="H56" s="164"/>
    </row>
    <row r="57">
      <c r="C57" s="166"/>
      <c r="H57" s="164"/>
    </row>
    <row r="58">
      <c r="C58" s="166"/>
      <c r="H58" s="164"/>
    </row>
    <row r="59">
      <c r="C59" s="166"/>
      <c r="H59" s="164"/>
    </row>
    <row r="60">
      <c r="C60" s="166"/>
      <c r="H60" s="164"/>
    </row>
    <row r="61">
      <c r="C61" s="166"/>
      <c r="H61" s="164"/>
    </row>
    <row r="62">
      <c r="C62" s="166"/>
      <c r="H62" s="164"/>
    </row>
    <row r="63">
      <c r="C63" s="166"/>
      <c r="H63" s="164"/>
    </row>
    <row r="64">
      <c r="C64" s="166"/>
      <c r="H64" s="164"/>
    </row>
    <row r="65">
      <c r="C65" s="166"/>
      <c r="H65" s="164"/>
    </row>
    <row r="66">
      <c r="C66" s="166"/>
      <c r="H66" s="164"/>
    </row>
    <row r="67">
      <c r="C67" s="166"/>
      <c r="H67" s="164"/>
    </row>
    <row r="68">
      <c r="C68" s="166"/>
      <c r="H68" s="164"/>
    </row>
    <row r="69">
      <c r="C69" s="166"/>
      <c r="H69" s="164"/>
    </row>
    <row r="70">
      <c r="C70" s="166"/>
      <c r="H70" s="164"/>
    </row>
    <row r="71">
      <c r="C71" s="166"/>
      <c r="H71" s="164"/>
    </row>
    <row r="72">
      <c r="C72" s="166"/>
      <c r="H72" s="164"/>
    </row>
    <row r="73">
      <c r="C73" s="166"/>
      <c r="H73" s="164"/>
    </row>
    <row r="74">
      <c r="C74" s="166"/>
      <c r="H74" s="164"/>
    </row>
    <row r="75">
      <c r="C75" s="166"/>
      <c r="H75" s="164"/>
    </row>
    <row r="76">
      <c r="C76" s="166"/>
      <c r="H76" s="164"/>
    </row>
    <row r="77">
      <c r="C77" s="166"/>
      <c r="H77" s="164"/>
    </row>
    <row r="78">
      <c r="C78" s="166"/>
      <c r="H78" s="164"/>
    </row>
    <row r="79">
      <c r="C79" s="166"/>
      <c r="H79" s="164"/>
    </row>
    <row r="80">
      <c r="C80" s="166"/>
      <c r="H80" s="164"/>
    </row>
    <row r="81">
      <c r="C81" s="166"/>
      <c r="H81" s="164"/>
    </row>
    <row r="82">
      <c r="C82" s="166"/>
      <c r="H82" s="164"/>
    </row>
    <row r="83">
      <c r="C83" s="166"/>
      <c r="H83" s="164"/>
    </row>
    <row r="84">
      <c r="C84" s="166"/>
      <c r="H84" s="164"/>
    </row>
    <row r="85">
      <c r="C85" s="166"/>
      <c r="H85" s="164"/>
    </row>
    <row r="86">
      <c r="C86" s="166"/>
      <c r="H86" s="164"/>
    </row>
    <row r="87">
      <c r="C87" s="166"/>
      <c r="H87" s="164"/>
    </row>
    <row r="88">
      <c r="C88" s="166"/>
      <c r="H88" s="164"/>
    </row>
    <row r="89">
      <c r="C89" s="166"/>
      <c r="H89" s="164"/>
    </row>
    <row r="90">
      <c r="C90" s="166"/>
      <c r="H90" s="164"/>
    </row>
    <row r="91">
      <c r="C91" s="166"/>
      <c r="H91" s="164"/>
    </row>
    <row r="92">
      <c r="C92" s="166"/>
      <c r="H92" s="164"/>
    </row>
    <row r="93">
      <c r="C93" s="166"/>
      <c r="H93" s="164"/>
    </row>
    <row r="94">
      <c r="C94" s="166"/>
      <c r="H94" s="164"/>
    </row>
    <row r="95">
      <c r="C95" s="166"/>
      <c r="H95" s="164"/>
    </row>
    <row r="96">
      <c r="C96" s="166"/>
      <c r="H96" s="164"/>
    </row>
    <row r="97">
      <c r="C97" s="166"/>
      <c r="H97" s="164"/>
    </row>
    <row r="98">
      <c r="C98" s="166"/>
      <c r="H98" s="164"/>
    </row>
    <row r="99">
      <c r="C99" s="166"/>
      <c r="H99" s="164"/>
    </row>
    <row r="100">
      <c r="C100" s="166"/>
      <c r="H100" s="164"/>
    </row>
    <row r="101">
      <c r="C101" s="166"/>
      <c r="H101" s="164"/>
    </row>
    <row r="102">
      <c r="C102" s="166"/>
      <c r="H102" s="164"/>
    </row>
    <row r="103">
      <c r="C103" s="166"/>
      <c r="H103" s="164"/>
    </row>
    <row r="104">
      <c r="C104" s="166"/>
      <c r="H104" s="164"/>
    </row>
    <row r="105">
      <c r="C105" s="166"/>
      <c r="H105" s="164"/>
    </row>
    <row r="106">
      <c r="C106" s="166"/>
      <c r="H106" s="164"/>
    </row>
    <row r="107">
      <c r="C107" s="166"/>
      <c r="H107" s="164"/>
    </row>
    <row r="108">
      <c r="C108" s="166"/>
      <c r="H108" s="164"/>
    </row>
    <row r="109">
      <c r="C109" s="166"/>
      <c r="H109" s="164"/>
    </row>
    <row r="110">
      <c r="C110" s="166"/>
      <c r="H110" s="164"/>
    </row>
    <row r="111">
      <c r="C111" s="166"/>
      <c r="H111" s="164"/>
    </row>
    <row r="112">
      <c r="C112" s="166"/>
      <c r="H112" s="164"/>
    </row>
    <row r="113">
      <c r="C113" s="166"/>
      <c r="H113" s="164"/>
    </row>
    <row r="114">
      <c r="C114" s="166"/>
      <c r="H114" s="164"/>
    </row>
    <row r="115">
      <c r="C115" s="166"/>
      <c r="H115" s="164"/>
    </row>
    <row r="116">
      <c r="C116" s="166"/>
      <c r="H116" s="164"/>
    </row>
    <row r="117">
      <c r="C117" s="166"/>
      <c r="H117" s="164"/>
    </row>
    <row r="118">
      <c r="C118" s="166"/>
      <c r="H118" s="164"/>
    </row>
    <row r="119">
      <c r="C119" s="166"/>
      <c r="H119" s="164"/>
    </row>
    <row r="120">
      <c r="C120" s="166"/>
      <c r="H120" s="164"/>
    </row>
    <row r="121">
      <c r="C121" s="166"/>
      <c r="H121" s="164"/>
    </row>
    <row r="122">
      <c r="C122" s="166"/>
      <c r="H122" s="164"/>
    </row>
    <row r="123">
      <c r="C123" s="166"/>
      <c r="H123" s="164"/>
    </row>
    <row r="124">
      <c r="C124" s="166"/>
      <c r="H124" s="164"/>
    </row>
    <row r="125">
      <c r="C125" s="166"/>
      <c r="H125" s="164"/>
    </row>
    <row r="126">
      <c r="C126" s="166"/>
      <c r="H126" s="164"/>
    </row>
    <row r="127">
      <c r="C127" s="166"/>
      <c r="H127" s="164"/>
    </row>
    <row r="128">
      <c r="C128" s="166"/>
      <c r="H128" s="164"/>
    </row>
    <row r="129">
      <c r="C129" s="166"/>
      <c r="H129" s="164"/>
    </row>
    <row r="130">
      <c r="C130" s="166"/>
      <c r="H130" s="164"/>
    </row>
    <row r="131">
      <c r="C131" s="166"/>
      <c r="H131" s="164"/>
    </row>
    <row r="132">
      <c r="C132" s="166"/>
      <c r="H132" s="164"/>
    </row>
    <row r="133">
      <c r="C133" s="166"/>
      <c r="H133" s="164"/>
    </row>
    <row r="134">
      <c r="C134" s="166"/>
      <c r="H134" s="164"/>
    </row>
    <row r="135">
      <c r="C135" s="166"/>
      <c r="H135" s="164"/>
    </row>
    <row r="136">
      <c r="C136" s="166"/>
      <c r="H136" s="164"/>
    </row>
    <row r="137">
      <c r="C137" s="166"/>
      <c r="H137" s="164"/>
    </row>
    <row r="138">
      <c r="C138" s="166"/>
      <c r="H138" s="164"/>
    </row>
    <row r="139">
      <c r="C139" s="166"/>
      <c r="H139" s="164"/>
    </row>
    <row r="140">
      <c r="C140" s="166"/>
      <c r="H140" s="164"/>
    </row>
    <row r="141">
      <c r="C141" s="166"/>
      <c r="H141" s="164"/>
    </row>
    <row r="142">
      <c r="C142" s="166"/>
      <c r="H142" s="164"/>
    </row>
    <row r="143">
      <c r="C143" s="166"/>
      <c r="H143" s="164"/>
    </row>
    <row r="144">
      <c r="C144" s="166"/>
      <c r="H144" s="164"/>
    </row>
    <row r="145">
      <c r="C145" s="166"/>
      <c r="H145" s="164"/>
    </row>
    <row r="146">
      <c r="C146" s="166"/>
      <c r="H146" s="164"/>
    </row>
    <row r="147">
      <c r="C147" s="166"/>
      <c r="H147" s="164"/>
    </row>
    <row r="148">
      <c r="C148" s="166"/>
      <c r="H148" s="164"/>
    </row>
    <row r="149">
      <c r="C149" s="166"/>
      <c r="H149" s="164"/>
    </row>
    <row r="150">
      <c r="C150" s="166"/>
      <c r="H150" s="164"/>
    </row>
    <row r="151">
      <c r="C151" s="166"/>
      <c r="H151" s="164"/>
    </row>
    <row r="152">
      <c r="C152" s="166"/>
      <c r="H152" s="164"/>
    </row>
    <row r="153">
      <c r="C153" s="166"/>
      <c r="H153" s="164"/>
    </row>
    <row r="154">
      <c r="C154" s="166"/>
      <c r="H154" s="164"/>
    </row>
    <row r="155">
      <c r="C155" s="166"/>
      <c r="H155" s="164"/>
    </row>
    <row r="156">
      <c r="C156" s="166"/>
      <c r="H156" s="164"/>
    </row>
    <row r="157">
      <c r="C157" s="166"/>
      <c r="H157" s="164"/>
    </row>
    <row r="158">
      <c r="C158" s="166"/>
      <c r="H158" s="164"/>
    </row>
    <row r="159">
      <c r="C159" s="166"/>
      <c r="H159" s="164"/>
    </row>
    <row r="160">
      <c r="C160" s="166"/>
      <c r="H160" s="164"/>
    </row>
    <row r="161">
      <c r="C161" s="166"/>
      <c r="H161" s="164"/>
    </row>
    <row r="162">
      <c r="C162" s="166"/>
      <c r="H162" s="164"/>
    </row>
    <row r="163">
      <c r="C163" s="166"/>
      <c r="H163" s="164"/>
    </row>
    <row r="164">
      <c r="C164" s="166"/>
      <c r="H164" s="164"/>
    </row>
    <row r="165">
      <c r="C165" s="166"/>
      <c r="H165" s="164"/>
    </row>
    <row r="166">
      <c r="C166" s="166"/>
      <c r="H166" s="164"/>
    </row>
    <row r="167">
      <c r="C167" s="166"/>
      <c r="H167" s="164"/>
    </row>
    <row r="168">
      <c r="C168" s="166"/>
      <c r="H168" s="164"/>
    </row>
    <row r="169">
      <c r="C169" s="166"/>
      <c r="H169" s="164"/>
    </row>
    <row r="170">
      <c r="C170" s="166"/>
      <c r="H170" s="164"/>
    </row>
    <row r="171">
      <c r="C171" s="166"/>
      <c r="H171" s="164"/>
    </row>
    <row r="172">
      <c r="C172" s="166"/>
      <c r="H172" s="164"/>
    </row>
    <row r="173">
      <c r="C173" s="166"/>
      <c r="H173" s="164"/>
    </row>
    <row r="174">
      <c r="C174" s="166"/>
      <c r="H174" s="164"/>
    </row>
    <row r="175">
      <c r="C175" s="166"/>
      <c r="H175" s="164"/>
    </row>
    <row r="176">
      <c r="C176" s="166"/>
      <c r="H176" s="164"/>
    </row>
    <row r="177">
      <c r="C177" s="166"/>
      <c r="H177" s="164"/>
    </row>
    <row r="178">
      <c r="C178" s="166"/>
      <c r="H178" s="164"/>
    </row>
    <row r="179">
      <c r="C179" s="166"/>
      <c r="H179" s="164"/>
    </row>
    <row r="180">
      <c r="C180" s="166"/>
      <c r="H180" s="164"/>
    </row>
    <row r="181">
      <c r="C181" s="166"/>
      <c r="H181" s="164"/>
    </row>
    <row r="182">
      <c r="C182" s="166"/>
      <c r="H182" s="164"/>
    </row>
    <row r="183">
      <c r="C183" s="166"/>
      <c r="H183" s="164"/>
    </row>
    <row r="184">
      <c r="C184" s="166"/>
      <c r="H184" s="164"/>
    </row>
    <row r="185">
      <c r="C185" s="166"/>
      <c r="H185" s="164"/>
    </row>
    <row r="186">
      <c r="C186" s="166"/>
      <c r="H186" s="164"/>
    </row>
    <row r="187">
      <c r="C187" s="166"/>
      <c r="H187" s="164"/>
    </row>
    <row r="188">
      <c r="C188" s="166"/>
      <c r="H188" s="164"/>
    </row>
    <row r="189">
      <c r="C189" s="166"/>
      <c r="H189" s="164"/>
    </row>
    <row r="190">
      <c r="C190" s="166"/>
      <c r="H190" s="164"/>
    </row>
    <row r="191">
      <c r="C191" s="166"/>
      <c r="H191" s="164"/>
    </row>
    <row r="192">
      <c r="C192" s="166"/>
      <c r="H192" s="164"/>
    </row>
    <row r="193">
      <c r="C193" s="166"/>
      <c r="H193" s="164"/>
    </row>
    <row r="194">
      <c r="C194" s="166"/>
      <c r="H194" s="164"/>
    </row>
    <row r="195">
      <c r="C195" s="166"/>
      <c r="H195" s="164"/>
    </row>
    <row r="196">
      <c r="C196" s="166"/>
      <c r="H196" s="164"/>
    </row>
    <row r="197">
      <c r="C197" s="166"/>
      <c r="H197" s="164"/>
    </row>
    <row r="198">
      <c r="C198" s="166"/>
      <c r="H198" s="164"/>
    </row>
    <row r="199">
      <c r="C199" s="166"/>
      <c r="H199" s="164"/>
    </row>
    <row r="200">
      <c r="C200" s="166"/>
      <c r="H200" s="164"/>
    </row>
    <row r="201">
      <c r="C201" s="166"/>
      <c r="H201" s="164"/>
    </row>
    <row r="202">
      <c r="C202" s="166"/>
      <c r="H202" s="164"/>
    </row>
    <row r="203">
      <c r="C203" s="166"/>
      <c r="H203" s="164"/>
    </row>
    <row r="204">
      <c r="C204" s="166"/>
      <c r="H204" s="164"/>
    </row>
    <row r="205">
      <c r="C205" s="166"/>
      <c r="H205" s="164"/>
    </row>
    <row r="206">
      <c r="C206" s="166"/>
      <c r="H206" s="164"/>
    </row>
    <row r="207">
      <c r="C207" s="166"/>
      <c r="H207" s="164"/>
    </row>
    <row r="208">
      <c r="C208" s="166"/>
      <c r="H208" s="164"/>
    </row>
    <row r="209">
      <c r="C209" s="166"/>
      <c r="H209" s="164"/>
    </row>
    <row r="210">
      <c r="C210" s="166"/>
      <c r="H210" s="164"/>
    </row>
    <row r="211">
      <c r="C211" s="166"/>
      <c r="H211" s="164"/>
    </row>
    <row r="212">
      <c r="C212" s="166"/>
      <c r="H212" s="164"/>
    </row>
    <row r="213">
      <c r="C213" s="166"/>
      <c r="H213" s="164"/>
    </row>
    <row r="214">
      <c r="C214" s="166"/>
      <c r="H214" s="164"/>
    </row>
    <row r="215">
      <c r="C215" s="166"/>
      <c r="H215" s="164"/>
    </row>
    <row r="216">
      <c r="C216" s="166"/>
      <c r="H216" s="164"/>
    </row>
    <row r="217">
      <c r="C217" s="166"/>
      <c r="H217" s="164"/>
    </row>
    <row r="218">
      <c r="C218" s="166"/>
      <c r="H218" s="164"/>
    </row>
    <row r="219">
      <c r="C219" s="166"/>
      <c r="H219" s="164"/>
    </row>
    <row r="220">
      <c r="C220" s="166"/>
      <c r="H220" s="164"/>
    </row>
    <row r="221">
      <c r="C221" s="166"/>
      <c r="H221" s="164"/>
    </row>
    <row r="222">
      <c r="C222" s="166"/>
      <c r="H222" s="164"/>
    </row>
    <row r="223">
      <c r="C223" s="166"/>
      <c r="H223" s="164"/>
    </row>
    <row r="224">
      <c r="C224" s="166"/>
      <c r="H224" s="164"/>
    </row>
    <row r="225">
      <c r="C225" s="166"/>
      <c r="H225" s="164"/>
    </row>
    <row r="226">
      <c r="C226" s="166"/>
      <c r="H226" s="164"/>
    </row>
    <row r="227">
      <c r="C227" s="166"/>
      <c r="H227" s="164"/>
    </row>
    <row r="228">
      <c r="C228" s="166"/>
      <c r="H228" s="164"/>
    </row>
    <row r="229">
      <c r="C229" s="166"/>
      <c r="H229" s="164"/>
    </row>
    <row r="230">
      <c r="C230" s="166"/>
      <c r="H230" s="164"/>
    </row>
    <row r="231">
      <c r="C231" s="166"/>
      <c r="H231" s="164"/>
    </row>
    <row r="232">
      <c r="C232" s="166"/>
      <c r="H232" s="164"/>
    </row>
    <row r="233">
      <c r="C233" s="166"/>
      <c r="H233" s="164"/>
    </row>
    <row r="234">
      <c r="C234" s="166"/>
      <c r="H234" s="164"/>
    </row>
    <row r="235">
      <c r="C235" s="166"/>
      <c r="H235" s="164"/>
    </row>
    <row r="236">
      <c r="C236" s="166"/>
      <c r="H236" s="164"/>
    </row>
    <row r="237">
      <c r="C237" s="166"/>
      <c r="H237" s="164"/>
    </row>
    <row r="238">
      <c r="C238" s="166"/>
      <c r="H238" s="164"/>
    </row>
    <row r="239">
      <c r="C239" s="166"/>
      <c r="H239" s="164"/>
    </row>
    <row r="240">
      <c r="C240" s="166"/>
      <c r="H240" s="164"/>
    </row>
    <row r="241">
      <c r="C241" s="166"/>
      <c r="H241" s="164"/>
    </row>
    <row r="242">
      <c r="C242" s="166"/>
      <c r="H242" s="164"/>
    </row>
    <row r="243">
      <c r="C243" s="166"/>
      <c r="H243" s="164"/>
    </row>
    <row r="244">
      <c r="C244" s="166"/>
      <c r="H244" s="164"/>
    </row>
    <row r="245">
      <c r="C245" s="166"/>
      <c r="H245" s="164"/>
    </row>
    <row r="246">
      <c r="C246" s="166"/>
      <c r="H246" s="164"/>
    </row>
    <row r="247">
      <c r="C247" s="166"/>
      <c r="H247" s="164"/>
    </row>
    <row r="248">
      <c r="C248" s="166"/>
      <c r="H248" s="164"/>
    </row>
    <row r="249">
      <c r="C249" s="166"/>
      <c r="H249" s="164"/>
    </row>
    <row r="250">
      <c r="C250" s="166"/>
      <c r="H250" s="164"/>
    </row>
    <row r="251">
      <c r="C251" s="166"/>
      <c r="H251" s="164"/>
    </row>
    <row r="252">
      <c r="C252" s="166"/>
      <c r="H252" s="164"/>
    </row>
    <row r="253">
      <c r="C253" s="166"/>
      <c r="H253" s="164"/>
    </row>
    <row r="254">
      <c r="C254" s="166"/>
      <c r="H254" s="164"/>
    </row>
    <row r="255">
      <c r="C255" s="166"/>
      <c r="H255" s="164"/>
    </row>
    <row r="256">
      <c r="C256" s="166"/>
      <c r="H256" s="164"/>
    </row>
    <row r="257">
      <c r="C257" s="166"/>
      <c r="H257" s="164"/>
    </row>
    <row r="258">
      <c r="C258" s="166"/>
      <c r="H258" s="164"/>
    </row>
    <row r="259">
      <c r="C259" s="166"/>
      <c r="H259" s="164"/>
    </row>
    <row r="260">
      <c r="C260" s="166"/>
      <c r="H260" s="164"/>
    </row>
    <row r="261">
      <c r="C261" s="166"/>
      <c r="H261" s="164"/>
    </row>
    <row r="262">
      <c r="C262" s="166"/>
      <c r="H262" s="164"/>
    </row>
    <row r="263">
      <c r="C263" s="166"/>
      <c r="H263" s="164"/>
    </row>
    <row r="264">
      <c r="C264" s="166"/>
      <c r="H264" s="164"/>
    </row>
    <row r="265">
      <c r="C265" s="166"/>
      <c r="H265" s="164"/>
    </row>
    <row r="266">
      <c r="C266" s="166"/>
      <c r="H266" s="164"/>
    </row>
    <row r="267">
      <c r="C267" s="166"/>
      <c r="H267" s="164"/>
    </row>
    <row r="268">
      <c r="C268" s="166"/>
      <c r="H268" s="164"/>
    </row>
    <row r="269">
      <c r="C269" s="166"/>
      <c r="H269" s="164"/>
    </row>
    <row r="270">
      <c r="C270" s="166"/>
      <c r="H270" s="164"/>
    </row>
    <row r="271">
      <c r="C271" s="166"/>
      <c r="H271" s="164"/>
    </row>
    <row r="272">
      <c r="C272" s="166"/>
      <c r="H272" s="164"/>
    </row>
    <row r="273">
      <c r="C273" s="166"/>
      <c r="H273" s="164"/>
    </row>
    <row r="274">
      <c r="C274" s="166"/>
      <c r="H274" s="164"/>
    </row>
    <row r="275">
      <c r="C275" s="166"/>
      <c r="H275" s="164"/>
    </row>
    <row r="276">
      <c r="C276" s="166"/>
      <c r="H276" s="164"/>
    </row>
    <row r="277">
      <c r="C277" s="166"/>
      <c r="H277" s="164"/>
    </row>
    <row r="278">
      <c r="C278" s="166"/>
      <c r="H278" s="164"/>
    </row>
    <row r="279">
      <c r="C279" s="166"/>
      <c r="H279" s="164"/>
    </row>
    <row r="280">
      <c r="C280" s="166"/>
      <c r="H280" s="164"/>
    </row>
    <row r="281">
      <c r="C281" s="166"/>
      <c r="H281" s="164"/>
    </row>
    <row r="282">
      <c r="C282" s="166"/>
      <c r="H282" s="164"/>
    </row>
    <row r="283">
      <c r="C283" s="166"/>
      <c r="H283" s="164"/>
    </row>
    <row r="284">
      <c r="C284" s="166"/>
      <c r="H284" s="164"/>
    </row>
    <row r="285">
      <c r="C285" s="166"/>
      <c r="H285" s="164"/>
    </row>
    <row r="286">
      <c r="C286" s="166"/>
      <c r="H286" s="164"/>
    </row>
    <row r="287">
      <c r="C287" s="166"/>
      <c r="H287" s="164"/>
    </row>
    <row r="288">
      <c r="C288" s="166"/>
      <c r="H288" s="164"/>
    </row>
    <row r="289">
      <c r="C289" s="166"/>
      <c r="H289" s="164"/>
    </row>
    <row r="290">
      <c r="C290" s="166"/>
      <c r="H290" s="164"/>
    </row>
    <row r="291">
      <c r="C291" s="166"/>
      <c r="H291" s="164"/>
    </row>
    <row r="292">
      <c r="C292" s="166"/>
      <c r="H292" s="164"/>
    </row>
    <row r="293">
      <c r="C293" s="166"/>
      <c r="H293" s="164"/>
    </row>
    <row r="294">
      <c r="C294" s="166"/>
      <c r="H294" s="164"/>
    </row>
    <row r="295">
      <c r="C295" s="166"/>
      <c r="H295" s="164"/>
    </row>
    <row r="296">
      <c r="C296" s="166"/>
      <c r="H296" s="164"/>
    </row>
    <row r="297">
      <c r="C297" s="166"/>
      <c r="H297" s="164"/>
    </row>
    <row r="298">
      <c r="C298" s="166"/>
      <c r="H298" s="164"/>
    </row>
    <row r="299">
      <c r="C299" s="166"/>
      <c r="H299" s="164"/>
    </row>
    <row r="300">
      <c r="C300" s="166"/>
      <c r="H300" s="164"/>
    </row>
    <row r="301">
      <c r="C301" s="166"/>
      <c r="H301" s="164"/>
    </row>
    <row r="302">
      <c r="C302" s="166"/>
      <c r="H302" s="164"/>
    </row>
    <row r="303">
      <c r="C303" s="166"/>
      <c r="H303" s="164"/>
    </row>
    <row r="304">
      <c r="C304" s="166"/>
      <c r="H304" s="164"/>
    </row>
    <row r="305">
      <c r="C305" s="166"/>
      <c r="H305" s="164"/>
    </row>
    <row r="306">
      <c r="C306" s="166"/>
      <c r="H306" s="164"/>
    </row>
    <row r="307">
      <c r="C307" s="166"/>
      <c r="H307" s="164"/>
    </row>
    <row r="308">
      <c r="C308" s="166"/>
      <c r="H308" s="164"/>
    </row>
    <row r="309">
      <c r="C309" s="166"/>
      <c r="H309" s="164"/>
    </row>
    <row r="310">
      <c r="C310" s="166"/>
      <c r="H310" s="164"/>
    </row>
    <row r="311">
      <c r="C311" s="166"/>
      <c r="H311" s="164"/>
    </row>
    <row r="312">
      <c r="C312" s="166"/>
      <c r="H312" s="164"/>
    </row>
    <row r="313">
      <c r="C313" s="166"/>
      <c r="H313" s="164"/>
    </row>
    <row r="314">
      <c r="C314" s="166"/>
      <c r="H314" s="164"/>
    </row>
    <row r="315">
      <c r="C315" s="166"/>
      <c r="H315" s="164"/>
    </row>
    <row r="316">
      <c r="C316" s="166"/>
      <c r="H316" s="164"/>
    </row>
    <row r="317">
      <c r="C317" s="166"/>
      <c r="H317" s="164"/>
    </row>
    <row r="318">
      <c r="C318" s="166"/>
      <c r="H318" s="164"/>
    </row>
    <row r="319">
      <c r="C319" s="166"/>
      <c r="H319" s="164"/>
    </row>
    <row r="320">
      <c r="C320" s="166"/>
      <c r="H320" s="164"/>
    </row>
    <row r="321">
      <c r="C321" s="166"/>
      <c r="H321" s="164"/>
    </row>
    <row r="322">
      <c r="C322" s="166"/>
      <c r="H322" s="164"/>
    </row>
    <row r="323">
      <c r="C323" s="166"/>
      <c r="H323" s="164"/>
    </row>
    <row r="324">
      <c r="C324" s="166"/>
      <c r="H324" s="164"/>
    </row>
    <row r="325">
      <c r="C325" s="166"/>
      <c r="H325" s="164"/>
    </row>
    <row r="326">
      <c r="C326" s="166"/>
      <c r="H326" s="164"/>
    </row>
    <row r="327">
      <c r="C327" s="166"/>
      <c r="H327" s="164"/>
    </row>
    <row r="328">
      <c r="C328" s="166"/>
      <c r="H328" s="164"/>
    </row>
    <row r="329">
      <c r="C329" s="166"/>
      <c r="H329" s="164"/>
    </row>
    <row r="330">
      <c r="C330" s="166"/>
      <c r="H330" s="164"/>
    </row>
    <row r="331">
      <c r="C331" s="166"/>
      <c r="H331" s="164"/>
    </row>
    <row r="332">
      <c r="C332" s="166"/>
      <c r="H332" s="164"/>
    </row>
    <row r="333">
      <c r="C333" s="166"/>
      <c r="H333" s="164"/>
    </row>
    <row r="334">
      <c r="C334" s="166"/>
      <c r="H334" s="164"/>
    </row>
    <row r="335">
      <c r="C335" s="166"/>
      <c r="H335" s="164"/>
    </row>
    <row r="336">
      <c r="C336" s="166"/>
      <c r="H336" s="164"/>
    </row>
    <row r="337">
      <c r="C337" s="166"/>
      <c r="H337" s="164"/>
    </row>
    <row r="338">
      <c r="C338" s="166"/>
      <c r="H338" s="164"/>
    </row>
    <row r="339">
      <c r="C339" s="166"/>
      <c r="H339" s="164"/>
    </row>
    <row r="340">
      <c r="C340" s="166"/>
      <c r="H340" s="164"/>
    </row>
    <row r="341">
      <c r="C341" s="166"/>
      <c r="H341" s="164"/>
    </row>
    <row r="342">
      <c r="C342" s="166"/>
      <c r="H342" s="164"/>
    </row>
    <row r="343">
      <c r="C343" s="166"/>
      <c r="H343" s="164"/>
    </row>
    <row r="344">
      <c r="C344" s="166"/>
      <c r="H344" s="164"/>
    </row>
    <row r="345">
      <c r="C345" s="166"/>
      <c r="H345" s="164"/>
    </row>
    <row r="346">
      <c r="C346" s="166"/>
      <c r="H346" s="164"/>
    </row>
    <row r="347">
      <c r="C347" s="166"/>
      <c r="H347" s="164"/>
    </row>
    <row r="348">
      <c r="C348" s="166"/>
      <c r="H348" s="164"/>
    </row>
    <row r="349">
      <c r="C349" s="166"/>
      <c r="H349" s="164"/>
    </row>
    <row r="350">
      <c r="C350" s="166"/>
      <c r="H350" s="164"/>
    </row>
    <row r="351">
      <c r="C351" s="166"/>
      <c r="H351" s="164"/>
    </row>
    <row r="352">
      <c r="C352" s="166"/>
      <c r="H352" s="164"/>
    </row>
    <row r="353">
      <c r="C353" s="166"/>
      <c r="H353" s="164"/>
    </row>
    <row r="354">
      <c r="C354" s="166"/>
      <c r="H354" s="164"/>
    </row>
    <row r="355">
      <c r="C355" s="166"/>
      <c r="H355" s="164"/>
    </row>
    <row r="356">
      <c r="C356" s="166"/>
      <c r="H356" s="164"/>
    </row>
    <row r="357">
      <c r="C357" s="166"/>
      <c r="H357" s="164"/>
    </row>
    <row r="358">
      <c r="C358" s="166"/>
      <c r="H358" s="164"/>
    </row>
    <row r="359">
      <c r="C359" s="166"/>
      <c r="H359" s="164"/>
    </row>
    <row r="360">
      <c r="C360" s="166"/>
      <c r="H360" s="164"/>
    </row>
    <row r="361">
      <c r="C361" s="166"/>
      <c r="H361" s="164"/>
    </row>
    <row r="362">
      <c r="C362" s="166"/>
      <c r="H362" s="164"/>
    </row>
    <row r="363">
      <c r="C363" s="166"/>
      <c r="H363" s="164"/>
    </row>
    <row r="364">
      <c r="C364" s="166"/>
      <c r="H364" s="164"/>
    </row>
    <row r="365">
      <c r="C365" s="166"/>
      <c r="H365" s="164"/>
    </row>
    <row r="366">
      <c r="C366" s="166"/>
      <c r="H366" s="164"/>
    </row>
    <row r="367">
      <c r="C367" s="166"/>
      <c r="H367" s="164"/>
    </row>
    <row r="368">
      <c r="C368" s="166"/>
      <c r="H368" s="164"/>
    </row>
    <row r="369">
      <c r="C369" s="166"/>
      <c r="H369" s="164"/>
    </row>
    <row r="370">
      <c r="C370" s="166"/>
      <c r="H370" s="164"/>
    </row>
    <row r="371">
      <c r="C371" s="166"/>
      <c r="H371" s="164"/>
    </row>
    <row r="372">
      <c r="C372" s="166"/>
      <c r="H372" s="164"/>
    </row>
    <row r="373">
      <c r="C373" s="166"/>
      <c r="H373" s="164"/>
    </row>
    <row r="374">
      <c r="C374" s="166"/>
      <c r="H374" s="164"/>
    </row>
    <row r="375">
      <c r="C375" s="166"/>
      <c r="H375" s="164"/>
    </row>
    <row r="376">
      <c r="C376" s="166"/>
      <c r="H376" s="164"/>
    </row>
    <row r="377">
      <c r="C377" s="166"/>
      <c r="H377" s="164"/>
    </row>
    <row r="378">
      <c r="C378" s="166"/>
      <c r="H378" s="164"/>
    </row>
    <row r="379">
      <c r="C379" s="166"/>
      <c r="H379" s="164"/>
    </row>
    <row r="380">
      <c r="C380" s="166"/>
      <c r="H380" s="164"/>
    </row>
    <row r="381">
      <c r="C381" s="166"/>
      <c r="H381" s="164"/>
    </row>
    <row r="382">
      <c r="C382" s="166"/>
      <c r="H382" s="164"/>
    </row>
    <row r="383">
      <c r="C383" s="166"/>
      <c r="H383" s="164"/>
    </row>
    <row r="384">
      <c r="C384" s="166"/>
      <c r="H384" s="164"/>
    </row>
    <row r="385">
      <c r="C385" s="166"/>
      <c r="H385" s="164"/>
    </row>
    <row r="386">
      <c r="C386" s="166"/>
      <c r="H386" s="164"/>
    </row>
    <row r="387">
      <c r="C387" s="166"/>
      <c r="H387" s="164"/>
    </row>
    <row r="388">
      <c r="C388" s="166"/>
      <c r="H388" s="164"/>
    </row>
    <row r="389">
      <c r="C389" s="166"/>
      <c r="H389" s="164"/>
    </row>
    <row r="390">
      <c r="C390" s="166"/>
      <c r="H390" s="164"/>
    </row>
    <row r="391">
      <c r="C391" s="166"/>
      <c r="H391" s="164"/>
    </row>
    <row r="392">
      <c r="C392" s="166"/>
      <c r="H392" s="164"/>
    </row>
    <row r="393">
      <c r="C393" s="166"/>
      <c r="H393" s="164"/>
    </row>
    <row r="394">
      <c r="C394" s="166"/>
      <c r="H394" s="164"/>
    </row>
    <row r="395">
      <c r="C395" s="166"/>
      <c r="H395" s="164"/>
    </row>
    <row r="396">
      <c r="C396" s="166"/>
      <c r="H396" s="164"/>
    </row>
    <row r="397">
      <c r="C397" s="166"/>
      <c r="H397" s="164"/>
    </row>
    <row r="398">
      <c r="C398" s="166"/>
      <c r="H398" s="164"/>
    </row>
    <row r="399">
      <c r="C399" s="166"/>
      <c r="H399" s="164"/>
    </row>
    <row r="400">
      <c r="C400" s="166"/>
      <c r="H400" s="164"/>
    </row>
    <row r="401">
      <c r="C401" s="166"/>
      <c r="H401" s="164"/>
    </row>
    <row r="402">
      <c r="C402" s="166"/>
      <c r="H402" s="164"/>
    </row>
    <row r="403">
      <c r="C403" s="166"/>
      <c r="H403" s="164"/>
    </row>
    <row r="404">
      <c r="C404" s="166"/>
      <c r="H404" s="164"/>
    </row>
    <row r="405">
      <c r="C405" s="166"/>
      <c r="H405" s="164"/>
    </row>
    <row r="406">
      <c r="C406" s="166"/>
      <c r="H406" s="164"/>
    </row>
    <row r="407">
      <c r="C407" s="166"/>
      <c r="H407" s="164"/>
    </row>
    <row r="408">
      <c r="C408" s="166"/>
      <c r="H408" s="164"/>
    </row>
    <row r="409">
      <c r="C409" s="166"/>
      <c r="H409" s="164"/>
    </row>
    <row r="410">
      <c r="C410" s="166"/>
      <c r="H410" s="164"/>
    </row>
    <row r="411">
      <c r="C411" s="166"/>
      <c r="H411" s="164"/>
    </row>
    <row r="412">
      <c r="C412" s="166"/>
      <c r="H412" s="164"/>
    </row>
    <row r="413">
      <c r="C413" s="166"/>
      <c r="H413" s="164"/>
    </row>
    <row r="414">
      <c r="C414" s="166"/>
      <c r="H414" s="164"/>
    </row>
    <row r="415">
      <c r="C415" s="166"/>
      <c r="H415" s="164"/>
    </row>
    <row r="416">
      <c r="C416" s="166"/>
      <c r="H416" s="164"/>
    </row>
    <row r="417">
      <c r="C417" s="166"/>
      <c r="H417" s="164"/>
    </row>
    <row r="418">
      <c r="C418" s="166"/>
      <c r="H418" s="164"/>
    </row>
    <row r="419">
      <c r="C419" s="166"/>
      <c r="H419" s="164"/>
    </row>
    <row r="420">
      <c r="C420" s="166"/>
      <c r="H420" s="164"/>
    </row>
    <row r="421">
      <c r="C421" s="166"/>
      <c r="H421" s="164"/>
    </row>
    <row r="422">
      <c r="C422" s="166"/>
      <c r="H422" s="164"/>
    </row>
    <row r="423">
      <c r="C423" s="166"/>
      <c r="H423" s="164"/>
    </row>
    <row r="424">
      <c r="C424" s="166"/>
      <c r="H424" s="164"/>
    </row>
    <row r="425">
      <c r="C425" s="166"/>
      <c r="H425" s="164"/>
    </row>
    <row r="426">
      <c r="C426" s="166"/>
      <c r="H426" s="164"/>
    </row>
    <row r="427">
      <c r="C427" s="166"/>
      <c r="H427" s="164"/>
    </row>
    <row r="428">
      <c r="C428" s="166"/>
      <c r="H428" s="164"/>
    </row>
    <row r="429">
      <c r="C429" s="166"/>
      <c r="H429" s="164"/>
    </row>
    <row r="430">
      <c r="C430" s="166"/>
      <c r="H430" s="164"/>
    </row>
    <row r="431">
      <c r="C431" s="166"/>
      <c r="H431" s="164"/>
    </row>
    <row r="432">
      <c r="C432" s="166"/>
      <c r="H432" s="164"/>
    </row>
    <row r="433">
      <c r="C433" s="166"/>
      <c r="H433" s="164"/>
    </row>
    <row r="434">
      <c r="C434" s="166"/>
      <c r="H434" s="164"/>
    </row>
    <row r="435">
      <c r="C435" s="166"/>
      <c r="H435" s="164"/>
    </row>
    <row r="436">
      <c r="C436" s="166"/>
      <c r="H436" s="164"/>
    </row>
    <row r="437">
      <c r="C437" s="166"/>
      <c r="H437" s="164"/>
    </row>
    <row r="438">
      <c r="C438" s="166"/>
      <c r="H438" s="164"/>
    </row>
    <row r="439">
      <c r="C439" s="166"/>
      <c r="H439" s="164"/>
    </row>
    <row r="440">
      <c r="C440" s="166"/>
      <c r="H440" s="164"/>
    </row>
    <row r="441">
      <c r="C441" s="166"/>
      <c r="H441" s="164"/>
    </row>
    <row r="442">
      <c r="C442" s="166"/>
      <c r="H442" s="164"/>
    </row>
    <row r="443">
      <c r="C443" s="166"/>
      <c r="H443" s="164"/>
    </row>
    <row r="444">
      <c r="C444" s="166"/>
      <c r="H444" s="164"/>
    </row>
    <row r="445">
      <c r="C445" s="166"/>
      <c r="H445" s="164"/>
    </row>
    <row r="446">
      <c r="C446" s="166"/>
      <c r="H446" s="164"/>
    </row>
    <row r="447">
      <c r="C447" s="166"/>
      <c r="H447" s="164"/>
    </row>
    <row r="448">
      <c r="C448" s="166"/>
      <c r="H448" s="164"/>
    </row>
    <row r="449">
      <c r="C449" s="166"/>
      <c r="H449" s="164"/>
    </row>
    <row r="450">
      <c r="C450" s="166"/>
      <c r="H450" s="164"/>
    </row>
    <row r="451">
      <c r="C451" s="166"/>
      <c r="H451" s="164"/>
    </row>
    <row r="452">
      <c r="C452" s="166"/>
      <c r="H452" s="164"/>
    </row>
    <row r="453">
      <c r="C453" s="166"/>
      <c r="H453" s="164"/>
    </row>
    <row r="454">
      <c r="C454" s="166"/>
      <c r="H454" s="164"/>
    </row>
    <row r="455">
      <c r="C455" s="166"/>
      <c r="H455" s="164"/>
    </row>
    <row r="456">
      <c r="C456" s="166"/>
      <c r="H456" s="164"/>
    </row>
    <row r="457">
      <c r="C457" s="166"/>
      <c r="H457" s="164"/>
    </row>
    <row r="458">
      <c r="C458" s="166"/>
      <c r="H458" s="164"/>
    </row>
    <row r="459">
      <c r="C459" s="166"/>
      <c r="H459" s="164"/>
    </row>
    <row r="460">
      <c r="C460" s="166"/>
      <c r="H460" s="164"/>
    </row>
    <row r="461">
      <c r="C461" s="166"/>
      <c r="H461" s="164"/>
    </row>
    <row r="462">
      <c r="C462" s="166"/>
      <c r="H462" s="164"/>
    </row>
    <row r="463">
      <c r="C463" s="166"/>
      <c r="H463" s="164"/>
    </row>
    <row r="464">
      <c r="C464" s="166"/>
      <c r="H464" s="164"/>
    </row>
    <row r="465">
      <c r="C465" s="166"/>
      <c r="H465" s="164"/>
    </row>
    <row r="466">
      <c r="C466" s="166"/>
      <c r="H466" s="164"/>
    </row>
    <row r="467">
      <c r="C467" s="166"/>
      <c r="H467" s="164"/>
    </row>
    <row r="468">
      <c r="C468" s="166"/>
      <c r="H468" s="164"/>
    </row>
    <row r="469">
      <c r="C469" s="166"/>
      <c r="H469" s="164"/>
    </row>
    <row r="470">
      <c r="C470" s="166"/>
      <c r="H470" s="164"/>
    </row>
    <row r="471">
      <c r="C471" s="166"/>
      <c r="H471" s="164"/>
    </row>
    <row r="472">
      <c r="C472" s="166"/>
      <c r="H472" s="164"/>
    </row>
    <row r="473">
      <c r="C473" s="166"/>
      <c r="H473" s="164"/>
    </row>
    <row r="474">
      <c r="C474" s="166"/>
      <c r="H474" s="164"/>
    </row>
    <row r="475">
      <c r="C475" s="166"/>
      <c r="H475" s="164"/>
    </row>
    <row r="476">
      <c r="C476" s="166"/>
      <c r="H476" s="164"/>
    </row>
    <row r="477">
      <c r="C477" s="166"/>
      <c r="H477" s="164"/>
    </row>
    <row r="478">
      <c r="C478" s="166"/>
      <c r="H478" s="164"/>
    </row>
    <row r="479">
      <c r="C479" s="166"/>
      <c r="H479" s="164"/>
    </row>
    <row r="480">
      <c r="C480" s="166"/>
      <c r="H480" s="164"/>
    </row>
    <row r="481">
      <c r="C481" s="166"/>
      <c r="H481" s="164"/>
    </row>
    <row r="482">
      <c r="C482" s="166"/>
      <c r="H482" s="164"/>
    </row>
    <row r="483">
      <c r="C483" s="166"/>
      <c r="H483" s="164"/>
    </row>
    <row r="484">
      <c r="C484" s="166"/>
      <c r="H484" s="164"/>
    </row>
    <row r="485">
      <c r="C485" s="166"/>
      <c r="H485" s="164"/>
    </row>
    <row r="486">
      <c r="C486" s="166"/>
      <c r="H486" s="164"/>
    </row>
    <row r="487">
      <c r="C487" s="166"/>
      <c r="H487" s="164"/>
    </row>
    <row r="488">
      <c r="C488" s="166"/>
      <c r="H488" s="164"/>
    </row>
    <row r="489">
      <c r="C489" s="166"/>
      <c r="H489" s="164"/>
    </row>
    <row r="490">
      <c r="C490" s="166"/>
      <c r="H490" s="164"/>
    </row>
    <row r="491">
      <c r="C491" s="166"/>
      <c r="H491" s="164"/>
    </row>
    <row r="492">
      <c r="C492" s="166"/>
      <c r="H492" s="164"/>
    </row>
    <row r="493">
      <c r="C493" s="166"/>
      <c r="H493" s="164"/>
    </row>
    <row r="494">
      <c r="C494" s="166"/>
      <c r="H494" s="164"/>
    </row>
    <row r="495">
      <c r="C495" s="166"/>
      <c r="H495" s="164"/>
    </row>
    <row r="496">
      <c r="C496" s="166"/>
      <c r="H496" s="164"/>
    </row>
    <row r="497">
      <c r="C497" s="166"/>
      <c r="H497" s="164"/>
    </row>
    <row r="498">
      <c r="C498" s="166"/>
      <c r="H498" s="164"/>
    </row>
    <row r="499">
      <c r="C499" s="166"/>
      <c r="H499" s="164"/>
    </row>
    <row r="500">
      <c r="C500" s="166"/>
      <c r="H500" s="164"/>
    </row>
    <row r="501">
      <c r="C501" s="166"/>
      <c r="H501" s="164"/>
    </row>
    <row r="502">
      <c r="C502" s="166"/>
      <c r="H502" s="164"/>
    </row>
    <row r="503">
      <c r="C503" s="166"/>
      <c r="H503" s="164"/>
    </row>
    <row r="504">
      <c r="C504" s="166"/>
      <c r="H504" s="164"/>
    </row>
    <row r="505">
      <c r="C505" s="166"/>
      <c r="H505" s="164"/>
    </row>
    <row r="506">
      <c r="C506" s="166"/>
      <c r="H506" s="164"/>
    </row>
    <row r="507">
      <c r="C507" s="166"/>
      <c r="H507" s="164"/>
    </row>
    <row r="508">
      <c r="C508" s="166"/>
      <c r="H508" s="164"/>
    </row>
    <row r="509">
      <c r="C509" s="166"/>
      <c r="H509" s="164"/>
    </row>
    <row r="510">
      <c r="C510" s="166"/>
      <c r="H510" s="164"/>
    </row>
    <row r="511">
      <c r="C511" s="166"/>
      <c r="H511" s="164"/>
    </row>
    <row r="512">
      <c r="C512" s="166"/>
      <c r="H512" s="164"/>
    </row>
    <row r="513">
      <c r="C513" s="166"/>
      <c r="H513" s="164"/>
    </row>
    <row r="514">
      <c r="C514" s="166"/>
      <c r="H514" s="164"/>
    </row>
    <row r="515">
      <c r="C515" s="166"/>
      <c r="H515" s="164"/>
    </row>
    <row r="516">
      <c r="C516" s="166"/>
      <c r="H516" s="164"/>
    </row>
    <row r="517">
      <c r="C517" s="166"/>
      <c r="H517" s="164"/>
    </row>
    <row r="518">
      <c r="C518" s="166"/>
      <c r="H518" s="164"/>
    </row>
    <row r="519">
      <c r="C519" s="166"/>
      <c r="H519" s="164"/>
    </row>
    <row r="520">
      <c r="C520" s="166"/>
      <c r="H520" s="164"/>
    </row>
    <row r="521">
      <c r="C521" s="166"/>
      <c r="H521" s="164"/>
    </row>
    <row r="522">
      <c r="C522" s="166"/>
      <c r="H522" s="164"/>
    </row>
    <row r="523">
      <c r="C523" s="166"/>
      <c r="H523" s="164"/>
    </row>
    <row r="524">
      <c r="C524" s="166"/>
      <c r="H524" s="164"/>
    </row>
    <row r="525">
      <c r="C525" s="166"/>
      <c r="H525" s="164"/>
    </row>
    <row r="526">
      <c r="C526" s="166"/>
      <c r="H526" s="164"/>
    </row>
    <row r="527">
      <c r="C527" s="166"/>
      <c r="H527" s="164"/>
    </row>
    <row r="528">
      <c r="C528" s="166"/>
      <c r="H528" s="164"/>
    </row>
    <row r="529">
      <c r="C529" s="166"/>
      <c r="H529" s="164"/>
    </row>
    <row r="530">
      <c r="C530" s="166"/>
      <c r="H530" s="164"/>
    </row>
    <row r="531">
      <c r="C531" s="166"/>
      <c r="H531" s="164"/>
    </row>
    <row r="532">
      <c r="C532" s="166"/>
      <c r="H532" s="164"/>
    </row>
    <row r="533">
      <c r="C533" s="166"/>
      <c r="H533" s="164"/>
    </row>
    <row r="534">
      <c r="C534" s="166"/>
      <c r="H534" s="164"/>
    </row>
    <row r="535">
      <c r="C535" s="166"/>
      <c r="H535" s="164"/>
    </row>
    <row r="536">
      <c r="C536" s="166"/>
      <c r="H536" s="164"/>
    </row>
    <row r="537">
      <c r="C537" s="166"/>
      <c r="H537" s="164"/>
    </row>
    <row r="538">
      <c r="C538" s="166"/>
      <c r="H538" s="164"/>
    </row>
    <row r="539">
      <c r="C539" s="166"/>
      <c r="H539" s="164"/>
    </row>
    <row r="540">
      <c r="C540" s="166"/>
      <c r="H540" s="164"/>
    </row>
    <row r="541">
      <c r="C541" s="166"/>
      <c r="H541" s="164"/>
    </row>
    <row r="542">
      <c r="C542" s="166"/>
      <c r="H542" s="164"/>
    </row>
    <row r="543">
      <c r="C543" s="166"/>
      <c r="H543" s="164"/>
    </row>
    <row r="544">
      <c r="C544" s="166"/>
      <c r="H544" s="164"/>
    </row>
    <row r="545">
      <c r="C545" s="166"/>
      <c r="H545" s="164"/>
    </row>
    <row r="546">
      <c r="C546" s="166"/>
      <c r="H546" s="164"/>
    </row>
    <row r="547">
      <c r="C547" s="166"/>
      <c r="H547" s="164"/>
    </row>
    <row r="548">
      <c r="C548" s="166"/>
      <c r="H548" s="164"/>
    </row>
    <row r="549">
      <c r="C549" s="166"/>
      <c r="H549" s="164"/>
    </row>
    <row r="550">
      <c r="C550" s="166"/>
      <c r="H550" s="164"/>
    </row>
    <row r="551">
      <c r="C551" s="166"/>
      <c r="H551" s="164"/>
    </row>
    <row r="552">
      <c r="C552" s="166"/>
      <c r="H552" s="164"/>
    </row>
    <row r="553">
      <c r="C553" s="166"/>
      <c r="H553" s="164"/>
    </row>
    <row r="554">
      <c r="C554" s="166"/>
      <c r="H554" s="164"/>
    </row>
    <row r="555">
      <c r="C555" s="166"/>
      <c r="H555" s="164"/>
    </row>
    <row r="556">
      <c r="C556" s="166"/>
      <c r="H556" s="164"/>
    </row>
    <row r="557">
      <c r="C557" s="166"/>
      <c r="H557" s="164"/>
    </row>
    <row r="558">
      <c r="C558" s="166"/>
      <c r="H558" s="164"/>
    </row>
    <row r="559">
      <c r="C559" s="166"/>
      <c r="H559" s="164"/>
    </row>
    <row r="560">
      <c r="C560" s="166"/>
      <c r="H560" s="164"/>
    </row>
    <row r="561">
      <c r="C561" s="166"/>
      <c r="H561" s="164"/>
    </row>
    <row r="562">
      <c r="C562" s="166"/>
      <c r="H562" s="164"/>
    </row>
    <row r="563">
      <c r="C563" s="166"/>
      <c r="H563" s="164"/>
    </row>
    <row r="564">
      <c r="C564" s="166"/>
      <c r="H564" s="164"/>
    </row>
    <row r="565">
      <c r="C565" s="166"/>
      <c r="H565" s="164"/>
    </row>
    <row r="566">
      <c r="C566" s="166"/>
      <c r="H566" s="164"/>
    </row>
    <row r="567">
      <c r="C567" s="166"/>
      <c r="H567" s="164"/>
    </row>
    <row r="568">
      <c r="C568" s="166"/>
      <c r="H568" s="164"/>
    </row>
    <row r="569">
      <c r="C569" s="166"/>
      <c r="H569" s="164"/>
    </row>
    <row r="570">
      <c r="C570" s="166"/>
      <c r="H570" s="164"/>
    </row>
    <row r="571">
      <c r="C571" s="166"/>
      <c r="H571" s="164"/>
    </row>
    <row r="572">
      <c r="C572" s="166"/>
      <c r="H572" s="164"/>
    </row>
    <row r="573">
      <c r="C573" s="166"/>
      <c r="H573" s="164"/>
    </row>
    <row r="574">
      <c r="C574" s="166"/>
      <c r="H574" s="164"/>
    </row>
    <row r="575">
      <c r="C575" s="166"/>
      <c r="H575" s="164"/>
    </row>
    <row r="576">
      <c r="C576" s="166"/>
      <c r="H576" s="164"/>
    </row>
    <row r="577">
      <c r="C577" s="166"/>
      <c r="H577" s="164"/>
    </row>
    <row r="578">
      <c r="C578" s="166"/>
      <c r="H578" s="164"/>
    </row>
    <row r="579">
      <c r="C579" s="166"/>
      <c r="H579" s="164"/>
    </row>
    <row r="580">
      <c r="C580" s="166"/>
      <c r="H580" s="164"/>
    </row>
    <row r="581">
      <c r="C581" s="166"/>
      <c r="H581" s="164"/>
    </row>
    <row r="582">
      <c r="C582" s="166"/>
      <c r="H582" s="164"/>
    </row>
    <row r="583">
      <c r="C583" s="166"/>
      <c r="H583" s="164"/>
    </row>
    <row r="584">
      <c r="C584" s="166"/>
      <c r="H584" s="164"/>
    </row>
    <row r="585">
      <c r="C585" s="166"/>
      <c r="H585" s="164"/>
    </row>
    <row r="586">
      <c r="C586" s="166"/>
      <c r="H586" s="164"/>
    </row>
    <row r="587">
      <c r="C587" s="166"/>
      <c r="H587" s="164"/>
    </row>
    <row r="588">
      <c r="C588" s="166"/>
      <c r="H588" s="164"/>
    </row>
    <row r="589">
      <c r="C589" s="166"/>
      <c r="H589" s="164"/>
    </row>
    <row r="590">
      <c r="C590" s="166"/>
      <c r="H590" s="164"/>
    </row>
    <row r="591">
      <c r="C591" s="166"/>
      <c r="H591" s="164"/>
    </row>
    <row r="592">
      <c r="C592" s="166"/>
      <c r="H592" s="164"/>
    </row>
    <row r="593">
      <c r="C593" s="166"/>
      <c r="H593" s="164"/>
    </row>
    <row r="594">
      <c r="C594" s="166"/>
      <c r="H594" s="164"/>
    </row>
    <row r="595">
      <c r="C595" s="166"/>
      <c r="H595" s="164"/>
    </row>
    <row r="596">
      <c r="C596" s="166"/>
      <c r="H596" s="164"/>
    </row>
    <row r="597">
      <c r="C597" s="166"/>
      <c r="H597" s="164"/>
    </row>
    <row r="598">
      <c r="C598" s="166"/>
      <c r="H598" s="164"/>
    </row>
    <row r="599">
      <c r="C599" s="166"/>
      <c r="H599" s="164"/>
    </row>
    <row r="600">
      <c r="C600" s="166"/>
      <c r="H600" s="164"/>
    </row>
    <row r="601">
      <c r="C601" s="166"/>
      <c r="H601" s="164"/>
    </row>
    <row r="602">
      <c r="C602" s="166"/>
      <c r="H602" s="164"/>
    </row>
    <row r="603">
      <c r="C603" s="166"/>
      <c r="H603" s="164"/>
    </row>
    <row r="604">
      <c r="C604" s="166"/>
      <c r="H604" s="164"/>
    </row>
    <row r="605">
      <c r="C605" s="166"/>
      <c r="H605" s="164"/>
    </row>
    <row r="606">
      <c r="C606" s="166"/>
      <c r="H606" s="164"/>
    </row>
    <row r="607">
      <c r="C607" s="166"/>
      <c r="H607" s="164"/>
    </row>
    <row r="608">
      <c r="C608" s="166"/>
      <c r="H608" s="164"/>
    </row>
    <row r="609">
      <c r="C609" s="166"/>
      <c r="H609" s="164"/>
    </row>
    <row r="610">
      <c r="C610" s="166"/>
      <c r="H610" s="164"/>
    </row>
    <row r="611">
      <c r="C611" s="166"/>
      <c r="H611" s="164"/>
    </row>
    <row r="612">
      <c r="C612" s="166"/>
      <c r="H612" s="164"/>
    </row>
    <row r="613">
      <c r="C613" s="166"/>
      <c r="H613" s="164"/>
    </row>
    <row r="614">
      <c r="C614" s="166"/>
      <c r="H614" s="164"/>
    </row>
    <row r="615">
      <c r="C615" s="166"/>
      <c r="H615" s="164"/>
    </row>
    <row r="616">
      <c r="C616" s="166"/>
      <c r="H616" s="164"/>
    </row>
    <row r="617">
      <c r="C617" s="166"/>
      <c r="H617" s="164"/>
    </row>
    <row r="618">
      <c r="C618" s="166"/>
      <c r="H618" s="164"/>
    </row>
    <row r="619">
      <c r="C619" s="166"/>
      <c r="H619" s="164"/>
    </row>
    <row r="620">
      <c r="C620" s="166"/>
      <c r="H620" s="164"/>
    </row>
    <row r="621">
      <c r="C621" s="166"/>
      <c r="H621" s="164"/>
    </row>
    <row r="622">
      <c r="C622" s="166"/>
      <c r="H622" s="164"/>
    </row>
    <row r="623">
      <c r="C623" s="166"/>
      <c r="H623" s="164"/>
    </row>
    <row r="624">
      <c r="C624" s="166"/>
      <c r="H624" s="164"/>
    </row>
    <row r="625">
      <c r="C625" s="166"/>
      <c r="H625" s="164"/>
    </row>
    <row r="626">
      <c r="C626" s="166"/>
      <c r="H626" s="164"/>
    </row>
    <row r="627">
      <c r="C627" s="166"/>
      <c r="H627" s="164"/>
    </row>
    <row r="628">
      <c r="C628" s="166"/>
      <c r="H628" s="164"/>
    </row>
    <row r="629">
      <c r="C629" s="166"/>
      <c r="H629" s="164"/>
    </row>
    <row r="630">
      <c r="C630" s="166"/>
      <c r="H630" s="164"/>
    </row>
    <row r="631">
      <c r="C631" s="166"/>
      <c r="H631" s="164"/>
    </row>
    <row r="632">
      <c r="C632" s="166"/>
      <c r="H632" s="164"/>
    </row>
    <row r="633">
      <c r="C633" s="166"/>
      <c r="H633" s="164"/>
    </row>
    <row r="634">
      <c r="C634" s="166"/>
      <c r="H634" s="164"/>
    </row>
    <row r="635">
      <c r="C635" s="166"/>
      <c r="H635" s="164"/>
    </row>
    <row r="636">
      <c r="C636" s="166"/>
      <c r="H636" s="164"/>
    </row>
    <row r="637">
      <c r="C637" s="166"/>
      <c r="H637" s="164"/>
    </row>
    <row r="638">
      <c r="C638" s="166"/>
      <c r="H638" s="164"/>
    </row>
    <row r="639">
      <c r="C639" s="166"/>
      <c r="H639" s="164"/>
    </row>
    <row r="640">
      <c r="C640" s="166"/>
      <c r="H640" s="164"/>
    </row>
    <row r="641">
      <c r="C641" s="166"/>
      <c r="H641" s="164"/>
    </row>
    <row r="642">
      <c r="C642" s="166"/>
      <c r="H642" s="164"/>
    </row>
    <row r="643">
      <c r="C643" s="166"/>
      <c r="H643" s="164"/>
    </row>
    <row r="644">
      <c r="C644" s="166"/>
      <c r="H644" s="164"/>
    </row>
    <row r="645">
      <c r="C645" s="166"/>
      <c r="H645" s="164"/>
    </row>
    <row r="646">
      <c r="C646" s="166"/>
      <c r="H646" s="164"/>
    </row>
    <row r="647">
      <c r="C647" s="166"/>
      <c r="H647" s="164"/>
    </row>
    <row r="648">
      <c r="C648" s="166"/>
      <c r="H648" s="164"/>
    </row>
    <row r="649">
      <c r="C649" s="166"/>
      <c r="H649" s="164"/>
    </row>
    <row r="650">
      <c r="C650" s="166"/>
      <c r="H650" s="164"/>
    </row>
    <row r="651">
      <c r="C651" s="166"/>
      <c r="H651" s="164"/>
    </row>
    <row r="652">
      <c r="C652" s="166"/>
      <c r="H652" s="164"/>
    </row>
    <row r="653">
      <c r="C653" s="166"/>
      <c r="H653" s="164"/>
    </row>
    <row r="654">
      <c r="C654" s="166"/>
      <c r="H654" s="164"/>
    </row>
    <row r="655">
      <c r="C655" s="166"/>
      <c r="H655" s="164"/>
    </row>
    <row r="656">
      <c r="C656" s="166"/>
      <c r="H656" s="164"/>
    </row>
    <row r="657">
      <c r="C657" s="166"/>
      <c r="H657" s="164"/>
    </row>
    <row r="658">
      <c r="C658" s="166"/>
      <c r="H658" s="164"/>
    </row>
    <row r="659">
      <c r="C659" s="166"/>
      <c r="H659" s="164"/>
    </row>
    <row r="660">
      <c r="C660" s="166"/>
      <c r="H660" s="164"/>
    </row>
    <row r="661">
      <c r="C661" s="166"/>
      <c r="H661" s="164"/>
    </row>
    <row r="662">
      <c r="C662" s="166"/>
      <c r="H662" s="164"/>
    </row>
    <row r="663">
      <c r="C663" s="166"/>
      <c r="H663" s="164"/>
    </row>
    <row r="664">
      <c r="C664" s="166"/>
      <c r="H664" s="164"/>
    </row>
    <row r="665">
      <c r="C665" s="166"/>
      <c r="H665" s="164"/>
    </row>
    <row r="666">
      <c r="C666" s="166"/>
      <c r="H666" s="164"/>
    </row>
    <row r="667">
      <c r="C667" s="166"/>
      <c r="H667" s="164"/>
    </row>
    <row r="668">
      <c r="C668" s="166"/>
      <c r="H668" s="164"/>
    </row>
    <row r="669">
      <c r="C669" s="166"/>
      <c r="H669" s="164"/>
    </row>
    <row r="670">
      <c r="C670" s="166"/>
      <c r="H670" s="164"/>
    </row>
    <row r="671">
      <c r="C671" s="166"/>
      <c r="H671" s="164"/>
    </row>
    <row r="672">
      <c r="C672" s="166"/>
      <c r="H672" s="164"/>
    </row>
    <row r="673">
      <c r="C673" s="166"/>
      <c r="H673" s="164"/>
    </row>
    <row r="674">
      <c r="C674" s="166"/>
      <c r="H674" s="164"/>
    </row>
    <row r="675">
      <c r="C675" s="166"/>
      <c r="H675" s="164"/>
    </row>
    <row r="676">
      <c r="C676" s="166"/>
      <c r="H676" s="164"/>
    </row>
    <row r="677">
      <c r="C677" s="166"/>
      <c r="H677" s="164"/>
    </row>
    <row r="678">
      <c r="C678" s="166"/>
      <c r="H678" s="164"/>
    </row>
    <row r="679">
      <c r="C679" s="166"/>
      <c r="H679" s="164"/>
    </row>
    <row r="680">
      <c r="C680" s="166"/>
      <c r="H680" s="164"/>
    </row>
    <row r="681">
      <c r="C681" s="166"/>
      <c r="H681" s="164"/>
    </row>
    <row r="682">
      <c r="C682" s="166"/>
      <c r="H682" s="164"/>
    </row>
    <row r="683">
      <c r="C683" s="166"/>
      <c r="H683" s="164"/>
    </row>
    <row r="684">
      <c r="C684" s="166"/>
      <c r="H684" s="164"/>
    </row>
    <row r="685">
      <c r="C685" s="166"/>
      <c r="H685" s="164"/>
    </row>
    <row r="686">
      <c r="C686" s="166"/>
      <c r="H686" s="164"/>
    </row>
    <row r="687">
      <c r="C687" s="166"/>
      <c r="H687" s="164"/>
    </row>
    <row r="688">
      <c r="C688" s="166"/>
      <c r="H688" s="164"/>
    </row>
    <row r="689">
      <c r="C689" s="166"/>
      <c r="H689" s="164"/>
    </row>
    <row r="690">
      <c r="C690" s="166"/>
      <c r="H690" s="164"/>
    </row>
    <row r="691">
      <c r="C691" s="166"/>
      <c r="H691" s="164"/>
    </row>
    <row r="692">
      <c r="C692" s="166"/>
      <c r="H692" s="164"/>
    </row>
    <row r="693">
      <c r="C693" s="166"/>
      <c r="H693" s="164"/>
    </row>
    <row r="694">
      <c r="C694" s="166"/>
      <c r="H694" s="164"/>
    </row>
    <row r="695">
      <c r="C695" s="166"/>
      <c r="H695" s="164"/>
    </row>
    <row r="696">
      <c r="C696" s="166"/>
      <c r="H696" s="164"/>
    </row>
    <row r="697">
      <c r="C697" s="166"/>
      <c r="H697" s="164"/>
    </row>
    <row r="698">
      <c r="C698" s="166"/>
      <c r="H698" s="164"/>
    </row>
    <row r="699">
      <c r="C699" s="166"/>
      <c r="H699" s="164"/>
    </row>
    <row r="700">
      <c r="C700" s="166"/>
      <c r="H700" s="164"/>
    </row>
    <row r="701">
      <c r="C701" s="166"/>
      <c r="H701" s="164"/>
    </row>
    <row r="702">
      <c r="C702" s="166"/>
      <c r="H702" s="164"/>
    </row>
    <row r="703">
      <c r="C703" s="166"/>
      <c r="H703" s="164"/>
    </row>
    <row r="704">
      <c r="C704" s="166"/>
      <c r="H704" s="164"/>
    </row>
    <row r="705">
      <c r="C705" s="166"/>
      <c r="H705" s="164"/>
    </row>
    <row r="706">
      <c r="C706" s="166"/>
      <c r="H706" s="164"/>
    </row>
    <row r="707">
      <c r="C707" s="166"/>
      <c r="H707" s="164"/>
    </row>
    <row r="708">
      <c r="C708" s="166"/>
      <c r="H708" s="164"/>
    </row>
    <row r="709">
      <c r="C709" s="166"/>
      <c r="H709" s="164"/>
    </row>
    <row r="710">
      <c r="C710" s="166"/>
      <c r="H710" s="164"/>
    </row>
    <row r="711">
      <c r="C711" s="166"/>
      <c r="H711" s="164"/>
    </row>
    <row r="712">
      <c r="C712" s="166"/>
      <c r="H712" s="164"/>
    </row>
    <row r="713">
      <c r="C713" s="166"/>
      <c r="H713" s="164"/>
    </row>
    <row r="714">
      <c r="C714" s="166"/>
      <c r="H714" s="164"/>
    </row>
    <row r="715">
      <c r="C715" s="166"/>
      <c r="H715" s="164"/>
    </row>
    <row r="716">
      <c r="C716" s="166"/>
      <c r="H716" s="164"/>
    </row>
    <row r="717">
      <c r="C717" s="166"/>
      <c r="H717" s="164"/>
    </row>
    <row r="718">
      <c r="C718" s="166"/>
      <c r="H718" s="164"/>
    </row>
    <row r="719">
      <c r="C719" s="166"/>
      <c r="H719" s="164"/>
    </row>
    <row r="720">
      <c r="C720" s="166"/>
      <c r="H720" s="164"/>
    </row>
    <row r="721">
      <c r="C721" s="166"/>
      <c r="H721" s="164"/>
    </row>
    <row r="722">
      <c r="C722" s="166"/>
      <c r="H722" s="164"/>
    </row>
    <row r="723">
      <c r="C723" s="166"/>
      <c r="H723" s="164"/>
    </row>
    <row r="724">
      <c r="C724" s="166"/>
      <c r="H724" s="164"/>
    </row>
    <row r="725">
      <c r="C725" s="166"/>
      <c r="H725" s="164"/>
    </row>
    <row r="726">
      <c r="C726" s="166"/>
      <c r="H726" s="164"/>
    </row>
    <row r="727">
      <c r="C727" s="166"/>
      <c r="H727" s="164"/>
    </row>
    <row r="728">
      <c r="C728" s="166"/>
      <c r="H728" s="164"/>
    </row>
    <row r="729">
      <c r="C729" s="166"/>
      <c r="H729" s="164"/>
    </row>
    <row r="730">
      <c r="C730" s="166"/>
      <c r="H730" s="164"/>
    </row>
    <row r="731">
      <c r="C731" s="166"/>
      <c r="H731" s="164"/>
    </row>
    <row r="732">
      <c r="C732" s="166"/>
      <c r="H732" s="164"/>
    </row>
    <row r="733">
      <c r="C733" s="166"/>
      <c r="H733" s="164"/>
    </row>
    <row r="734">
      <c r="C734" s="166"/>
      <c r="H734" s="164"/>
    </row>
    <row r="735">
      <c r="C735" s="166"/>
      <c r="H735" s="164"/>
    </row>
    <row r="736">
      <c r="C736" s="166"/>
      <c r="H736" s="164"/>
    </row>
    <row r="737">
      <c r="C737" s="166"/>
      <c r="H737" s="164"/>
    </row>
    <row r="738">
      <c r="C738" s="166"/>
      <c r="H738" s="164"/>
    </row>
    <row r="739">
      <c r="C739" s="166"/>
      <c r="H739" s="164"/>
    </row>
    <row r="740">
      <c r="C740" s="166"/>
      <c r="H740" s="164"/>
    </row>
    <row r="741">
      <c r="C741" s="166"/>
      <c r="H741" s="164"/>
    </row>
    <row r="742">
      <c r="C742" s="166"/>
      <c r="H742" s="164"/>
    </row>
    <row r="743">
      <c r="C743" s="166"/>
      <c r="H743" s="164"/>
    </row>
    <row r="744">
      <c r="C744" s="166"/>
      <c r="H744" s="164"/>
    </row>
    <row r="745">
      <c r="C745" s="166"/>
      <c r="H745" s="164"/>
    </row>
    <row r="746">
      <c r="C746" s="166"/>
      <c r="H746" s="164"/>
    </row>
    <row r="747">
      <c r="C747" s="166"/>
      <c r="H747" s="164"/>
    </row>
    <row r="748">
      <c r="C748" s="166"/>
      <c r="H748" s="164"/>
    </row>
    <row r="749">
      <c r="C749" s="166"/>
      <c r="H749" s="164"/>
    </row>
    <row r="750">
      <c r="C750" s="166"/>
      <c r="H750" s="164"/>
    </row>
    <row r="751">
      <c r="C751" s="166"/>
      <c r="H751" s="164"/>
    </row>
    <row r="752">
      <c r="C752" s="166"/>
      <c r="H752" s="164"/>
    </row>
    <row r="753">
      <c r="C753" s="166"/>
      <c r="H753" s="164"/>
    </row>
    <row r="754">
      <c r="C754" s="166"/>
      <c r="H754" s="164"/>
    </row>
    <row r="755">
      <c r="C755" s="166"/>
      <c r="H755" s="164"/>
    </row>
    <row r="756">
      <c r="C756" s="166"/>
      <c r="H756" s="164"/>
    </row>
    <row r="757">
      <c r="C757" s="166"/>
      <c r="H757" s="164"/>
    </row>
    <row r="758">
      <c r="C758" s="166"/>
      <c r="H758" s="164"/>
    </row>
    <row r="759">
      <c r="C759" s="166"/>
      <c r="H759" s="164"/>
    </row>
    <row r="760">
      <c r="C760" s="166"/>
      <c r="H760" s="164"/>
    </row>
    <row r="761">
      <c r="C761" s="166"/>
      <c r="H761" s="164"/>
    </row>
    <row r="762">
      <c r="C762" s="166"/>
      <c r="H762" s="164"/>
    </row>
    <row r="763">
      <c r="C763" s="166"/>
      <c r="H763" s="164"/>
    </row>
    <row r="764">
      <c r="C764" s="166"/>
      <c r="H764" s="164"/>
    </row>
    <row r="765">
      <c r="C765" s="166"/>
      <c r="H765" s="164"/>
    </row>
    <row r="766">
      <c r="C766" s="166"/>
      <c r="H766" s="164"/>
    </row>
    <row r="767">
      <c r="C767" s="166"/>
      <c r="H767" s="164"/>
    </row>
    <row r="768">
      <c r="C768" s="166"/>
      <c r="H768" s="164"/>
    </row>
    <row r="769">
      <c r="C769" s="166"/>
      <c r="H769" s="164"/>
    </row>
    <row r="770">
      <c r="C770" s="166"/>
      <c r="H770" s="164"/>
    </row>
    <row r="771">
      <c r="C771" s="166"/>
      <c r="H771" s="164"/>
    </row>
    <row r="772">
      <c r="C772" s="166"/>
      <c r="H772" s="164"/>
    </row>
    <row r="773">
      <c r="C773" s="166"/>
      <c r="H773" s="164"/>
    </row>
    <row r="774">
      <c r="C774" s="166"/>
      <c r="H774" s="164"/>
    </row>
    <row r="775">
      <c r="C775" s="166"/>
      <c r="H775" s="164"/>
    </row>
    <row r="776">
      <c r="C776" s="166"/>
      <c r="H776" s="164"/>
    </row>
    <row r="777">
      <c r="C777" s="166"/>
      <c r="H777" s="164"/>
    </row>
    <row r="778">
      <c r="C778" s="166"/>
      <c r="H778" s="164"/>
    </row>
    <row r="779">
      <c r="C779" s="166"/>
      <c r="H779" s="164"/>
    </row>
    <row r="780">
      <c r="C780" s="166"/>
      <c r="H780" s="164"/>
    </row>
    <row r="781">
      <c r="C781" s="166"/>
      <c r="H781" s="164"/>
    </row>
    <row r="782">
      <c r="C782" s="166"/>
      <c r="H782" s="164"/>
    </row>
    <row r="783">
      <c r="C783" s="166"/>
      <c r="H783" s="164"/>
    </row>
    <row r="784">
      <c r="C784" s="166"/>
      <c r="H784" s="164"/>
    </row>
    <row r="785">
      <c r="C785" s="166"/>
      <c r="H785" s="164"/>
    </row>
    <row r="786">
      <c r="C786" s="166"/>
      <c r="H786" s="164"/>
    </row>
    <row r="787">
      <c r="C787" s="166"/>
      <c r="H787" s="164"/>
    </row>
    <row r="788">
      <c r="C788" s="166"/>
      <c r="H788" s="164"/>
    </row>
    <row r="789">
      <c r="C789" s="166"/>
      <c r="H789" s="164"/>
    </row>
    <row r="790">
      <c r="C790" s="166"/>
      <c r="H790" s="164"/>
    </row>
    <row r="791">
      <c r="C791" s="166"/>
      <c r="H791" s="164"/>
    </row>
    <row r="792">
      <c r="C792" s="166"/>
      <c r="H792" s="164"/>
    </row>
    <row r="793">
      <c r="C793" s="166"/>
      <c r="H793" s="164"/>
    </row>
    <row r="794">
      <c r="C794" s="166"/>
      <c r="H794" s="164"/>
    </row>
    <row r="795">
      <c r="C795" s="166"/>
      <c r="H795" s="164"/>
    </row>
    <row r="796">
      <c r="C796" s="166"/>
      <c r="H796" s="164"/>
    </row>
    <row r="797">
      <c r="C797" s="166"/>
      <c r="H797" s="164"/>
    </row>
    <row r="798">
      <c r="C798" s="166"/>
      <c r="H798" s="164"/>
    </row>
    <row r="799">
      <c r="C799" s="166"/>
      <c r="H799" s="164"/>
    </row>
    <row r="800">
      <c r="C800" s="166"/>
      <c r="H800" s="164"/>
    </row>
    <row r="801">
      <c r="C801" s="166"/>
      <c r="H801" s="164"/>
    </row>
    <row r="802">
      <c r="C802" s="166"/>
      <c r="H802" s="164"/>
    </row>
    <row r="803">
      <c r="C803" s="166"/>
      <c r="H803" s="164"/>
    </row>
    <row r="804">
      <c r="C804" s="166"/>
      <c r="H804" s="164"/>
    </row>
    <row r="805">
      <c r="C805" s="166"/>
      <c r="H805" s="164"/>
    </row>
    <row r="806">
      <c r="C806" s="166"/>
      <c r="H806" s="164"/>
    </row>
    <row r="807">
      <c r="C807" s="166"/>
      <c r="H807" s="164"/>
    </row>
    <row r="808">
      <c r="C808" s="166"/>
      <c r="H808" s="164"/>
    </row>
    <row r="809">
      <c r="C809" s="166"/>
      <c r="H809" s="164"/>
    </row>
    <row r="810">
      <c r="C810" s="166"/>
      <c r="H810" s="164"/>
    </row>
    <row r="811">
      <c r="C811" s="166"/>
      <c r="H811" s="164"/>
    </row>
    <row r="812">
      <c r="C812" s="166"/>
      <c r="H812" s="164"/>
    </row>
    <row r="813">
      <c r="C813" s="166"/>
      <c r="H813" s="164"/>
    </row>
    <row r="814">
      <c r="C814" s="166"/>
      <c r="H814" s="164"/>
    </row>
    <row r="815">
      <c r="C815" s="166"/>
      <c r="H815" s="164"/>
    </row>
    <row r="816">
      <c r="C816" s="166"/>
      <c r="H816" s="164"/>
    </row>
    <row r="817">
      <c r="C817" s="166"/>
      <c r="H817" s="164"/>
    </row>
    <row r="818">
      <c r="C818" s="166"/>
      <c r="H818" s="164"/>
    </row>
    <row r="819">
      <c r="C819" s="166"/>
      <c r="H819" s="164"/>
    </row>
    <row r="820">
      <c r="C820" s="166"/>
      <c r="H820" s="164"/>
    </row>
    <row r="821">
      <c r="C821" s="166"/>
      <c r="H821" s="164"/>
    </row>
    <row r="822">
      <c r="C822" s="166"/>
      <c r="H822" s="164"/>
    </row>
    <row r="823">
      <c r="C823" s="166"/>
      <c r="H823" s="164"/>
    </row>
    <row r="824">
      <c r="C824" s="166"/>
      <c r="H824" s="164"/>
    </row>
    <row r="825">
      <c r="C825" s="166"/>
      <c r="H825" s="164"/>
    </row>
    <row r="826">
      <c r="C826" s="166"/>
      <c r="H826" s="164"/>
    </row>
    <row r="827">
      <c r="C827" s="166"/>
      <c r="H827" s="164"/>
    </row>
    <row r="828">
      <c r="C828" s="166"/>
      <c r="H828" s="164"/>
    </row>
    <row r="829">
      <c r="C829" s="166"/>
      <c r="H829" s="164"/>
    </row>
    <row r="830">
      <c r="C830" s="166"/>
      <c r="H830" s="164"/>
    </row>
    <row r="831">
      <c r="C831" s="166"/>
      <c r="H831" s="164"/>
    </row>
    <row r="832">
      <c r="C832" s="166"/>
      <c r="H832" s="164"/>
    </row>
    <row r="833">
      <c r="C833" s="166"/>
      <c r="H833" s="164"/>
    </row>
    <row r="834">
      <c r="C834" s="166"/>
      <c r="H834" s="164"/>
    </row>
    <row r="835">
      <c r="C835" s="166"/>
      <c r="H835" s="164"/>
    </row>
    <row r="836">
      <c r="C836" s="166"/>
      <c r="H836" s="164"/>
    </row>
    <row r="837">
      <c r="C837" s="166"/>
      <c r="H837" s="164"/>
    </row>
    <row r="838">
      <c r="C838" s="166"/>
      <c r="H838" s="164"/>
    </row>
    <row r="839">
      <c r="C839" s="166"/>
      <c r="H839" s="164"/>
    </row>
    <row r="840">
      <c r="C840" s="166"/>
      <c r="H840" s="164"/>
    </row>
    <row r="841">
      <c r="C841" s="166"/>
      <c r="H841" s="164"/>
    </row>
    <row r="842">
      <c r="C842" s="166"/>
      <c r="H842" s="164"/>
    </row>
    <row r="843">
      <c r="C843" s="166"/>
      <c r="H843" s="164"/>
    </row>
    <row r="844">
      <c r="C844" s="166"/>
      <c r="H844" s="164"/>
    </row>
    <row r="845">
      <c r="C845" s="166"/>
      <c r="H845" s="164"/>
    </row>
    <row r="846">
      <c r="C846" s="166"/>
      <c r="H846" s="164"/>
    </row>
    <row r="847">
      <c r="C847" s="166"/>
      <c r="H847" s="164"/>
    </row>
    <row r="848">
      <c r="C848" s="166"/>
      <c r="H848" s="164"/>
    </row>
    <row r="849">
      <c r="C849" s="166"/>
      <c r="H849" s="164"/>
    </row>
    <row r="850">
      <c r="C850" s="166"/>
      <c r="H850" s="164"/>
    </row>
    <row r="851">
      <c r="C851" s="166"/>
      <c r="H851" s="164"/>
    </row>
    <row r="852">
      <c r="C852" s="166"/>
      <c r="H852" s="164"/>
    </row>
    <row r="853">
      <c r="C853" s="166"/>
      <c r="H853" s="164"/>
    </row>
    <row r="854">
      <c r="C854" s="166"/>
      <c r="H854" s="164"/>
    </row>
    <row r="855">
      <c r="C855" s="166"/>
      <c r="H855" s="164"/>
    </row>
    <row r="856">
      <c r="C856" s="166"/>
      <c r="H856" s="164"/>
    </row>
    <row r="857">
      <c r="C857" s="166"/>
      <c r="H857" s="164"/>
    </row>
    <row r="858">
      <c r="C858" s="166"/>
      <c r="H858" s="164"/>
    </row>
    <row r="859">
      <c r="C859" s="166"/>
      <c r="H859" s="164"/>
    </row>
    <row r="860">
      <c r="C860" s="166"/>
      <c r="H860" s="164"/>
    </row>
    <row r="861">
      <c r="C861" s="166"/>
      <c r="H861" s="164"/>
    </row>
    <row r="862">
      <c r="C862" s="166"/>
      <c r="H862" s="164"/>
    </row>
    <row r="863">
      <c r="C863" s="166"/>
      <c r="H863" s="164"/>
    </row>
    <row r="864">
      <c r="C864" s="166"/>
      <c r="H864" s="164"/>
    </row>
    <row r="865">
      <c r="C865" s="166"/>
      <c r="H865" s="164"/>
    </row>
    <row r="866">
      <c r="C866" s="166"/>
      <c r="H866" s="164"/>
    </row>
    <row r="867">
      <c r="C867" s="166"/>
      <c r="H867" s="164"/>
    </row>
    <row r="868">
      <c r="C868" s="166"/>
      <c r="H868" s="164"/>
    </row>
    <row r="869">
      <c r="C869" s="166"/>
      <c r="H869" s="164"/>
    </row>
    <row r="870">
      <c r="C870" s="166"/>
      <c r="H870" s="164"/>
    </row>
    <row r="871">
      <c r="C871" s="166"/>
      <c r="H871" s="164"/>
    </row>
    <row r="872">
      <c r="C872" s="166"/>
      <c r="H872" s="164"/>
    </row>
    <row r="873">
      <c r="C873" s="166"/>
      <c r="H873" s="164"/>
    </row>
    <row r="874">
      <c r="C874" s="166"/>
      <c r="H874" s="164"/>
    </row>
    <row r="875">
      <c r="C875" s="166"/>
      <c r="H875" s="164"/>
    </row>
    <row r="876">
      <c r="C876" s="166"/>
      <c r="H876" s="164"/>
    </row>
    <row r="877">
      <c r="C877" s="166"/>
      <c r="H877" s="164"/>
    </row>
    <row r="878">
      <c r="C878" s="166"/>
      <c r="H878" s="164"/>
    </row>
    <row r="879">
      <c r="C879" s="166"/>
      <c r="H879" s="164"/>
    </row>
    <row r="880">
      <c r="C880" s="166"/>
      <c r="H880" s="164"/>
    </row>
    <row r="881">
      <c r="C881" s="166"/>
      <c r="H881" s="164"/>
    </row>
    <row r="882">
      <c r="C882" s="166"/>
      <c r="H882" s="164"/>
    </row>
    <row r="883">
      <c r="C883" s="166"/>
      <c r="H883" s="164"/>
    </row>
    <row r="884">
      <c r="C884" s="166"/>
      <c r="H884" s="164"/>
    </row>
    <row r="885">
      <c r="C885" s="166"/>
      <c r="H885" s="164"/>
    </row>
    <row r="886">
      <c r="C886" s="166"/>
      <c r="H886" s="164"/>
    </row>
    <row r="887">
      <c r="C887" s="166"/>
      <c r="H887" s="164"/>
    </row>
    <row r="888">
      <c r="C888" s="166"/>
      <c r="H888" s="164"/>
    </row>
    <row r="889">
      <c r="C889" s="166"/>
      <c r="H889" s="164"/>
    </row>
    <row r="890">
      <c r="C890" s="166"/>
      <c r="H890" s="164"/>
    </row>
    <row r="891">
      <c r="C891" s="166"/>
      <c r="H891" s="164"/>
    </row>
    <row r="892">
      <c r="C892" s="166"/>
      <c r="H892" s="164"/>
    </row>
    <row r="893">
      <c r="C893" s="166"/>
      <c r="H893" s="164"/>
    </row>
    <row r="894">
      <c r="C894" s="166"/>
      <c r="H894" s="164"/>
    </row>
    <row r="895">
      <c r="C895" s="166"/>
      <c r="H895" s="164"/>
    </row>
    <row r="896">
      <c r="C896" s="166"/>
      <c r="H896" s="164"/>
    </row>
    <row r="897">
      <c r="C897" s="166"/>
      <c r="H897" s="164"/>
    </row>
    <row r="898">
      <c r="C898" s="166"/>
      <c r="H898" s="164"/>
    </row>
    <row r="899">
      <c r="C899" s="166"/>
      <c r="H899" s="164"/>
    </row>
    <row r="900">
      <c r="C900" s="166"/>
      <c r="H900" s="164"/>
    </row>
    <row r="901">
      <c r="C901" s="166"/>
      <c r="H901" s="164"/>
    </row>
    <row r="902">
      <c r="C902" s="166"/>
      <c r="H902" s="164"/>
    </row>
    <row r="903">
      <c r="C903" s="166"/>
      <c r="H903" s="164"/>
    </row>
    <row r="904">
      <c r="C904" s="166"/>
      <c r="H904" s="164"/>
    </row>
    <row r="905">
      <c r="C905" s="166"/>
      <c r="H905" s="164"/>
    </row>
    <row r="906">
      <c r="C906" s="166"/>
      <c r="H906" s="164"/>
    </row>
    <row r="907">
      <c r="C907" s="166"/>
      <c r="H907" s="164"/>
    </row>
    <row r="908">
      <c r="C908" s="166"/>
      <c r="H908" s="164"/>
    </row>
    <row r="909">
      <c r="C909" s="166"/>
      <c r="H909" s="164"/>
    </row>
    <row r="910">
      <c r="C910" s="166"/>
      <c r="H910" s="164"/>
    </row>
    <row r="911">
      <c r="C911" s="166"/>
      <c r="H911" s="164"/>
    </row>
    <row r="912">
      <c r="C912" s="166"/>
      <c r="H912" s="164"/>
    </row>
    <row r="913">
      <c r="C913" s="166"/>
      <c r="H913" s="164"/>
    </row>
    <row r="914">
      <c r="C914" s="166"/>
      <c r="H914" s="164"/>
    </row>
    <row r="915">
      <c r="C915" s="166"/>
      <c r="H915" s="164"/>
    </row>
    <row r="916">
      <c r="C916" s="166"/>
      <c r="H916" s="164"/>
    </row>
    <row r="917">
      <c r="C917" s="166"/>
      <c r="H917" s="164"/>
    </row>
    <row r="918">
      <c r="C918" s="166"/>
      <c r="H918" s="164"/>
    </row>
    <row r="919">
      <c r="C919" s="166"/>
      <c r="H919" s="164"/>
    </row>
    <row r="920">
      <c r="C920" s="166"/>
      <c r="H920" s="164"/>
    </row>
    <row r="921">
      <c r="C921" s="166"/>
      <c r="H921" s="164"/>
    </row>
    <row r="922">
      <c r="C922" s="166"/>
      <c r="H922" s="164"/>
    </row>
    <row r="923">
      <c r="C923" s="166"/>
      <c r="H923" s="164"/>
    </row>
    <row r="924">
      <c r="C924" s="166"/>
      <c r="H924" s="164"/>
    </row>
    <row r="925">
      <c r="C925" s="166"/>
      <c r="H925" s="164"/>
    </row>
    <row r="926">
      <c r="C926" s="166"/>
      <c r="H926" s="164"/>
    </row>
    <row r="927">
      <c r="C927" s="166"/>
      <c r="H927" s="164"/>
    </row>
    <row r="928">
      <c r="C928" s="166"/>
      <c r="H928" s="164"/>
    </row>
    <row r="929">
      <c r="C929" s="166"/>
      <c r="H929" s="164"/>
    </row>
    <row r="930">
      <c r="C930" s="166"/>
      <c r="H930" s="164"/>
    </row>
    <row r="931">
      <c r="C931" s="166"/>
      <c r="H931" s="164"/>
    </row>
    <row r="932">
      <c r="C932" s="166"/>
      <c r="H932" s="164"/>
    </row>
    <row r="933">
      <c r="C933" s="166"/>
      <c r="H933" s="164"/>
    </row>
    <row r="934">
      <c r="C934" s="166"/>
      <c r="H934" s="164"/>
    </row>
    <row r="935">
      <c r="C935" s="166"/>
      <c r="H935" s="164"/>
    </row>
    <row r="936">
      <c r="C936" s="166"/>
      <c r="H936" s="164"/>
    </row>
    <row r="937">
      <c r="C937" s="166"/>
      <c r="H937" s="164"/>
    </row>
    <row r="938">
      <c r="C938" s="166"/>
      <c r="H938" s="164"/>
    </row>
    <row r="939">
      <c r="C939" s="166"/>
      <c r="H939" s="164"/>
    </row>
    <row r="940">
      <c r="C940" s="166"/>
      <c r="H940" s="164"/>
    </row>
    <row r="941">
      <c r="C941" s="166"/>
      <c r="H941" s="164"/>
    </row>
    <row r="942">
      <c r="C942" s="166"/>
      <c r="H942" s="164"/>
    </row>
    <row r="943">
      <c r="C943" s="166"/>
      <c r="H943" s="164"/>
    </row>
    <row r="944">
      <c r="C944" s="166"/>
      <c r="H944" s="164"/>
    </row>
    <row r="945">
      <c r="C945" s="166"/>
      <c r="H945" s="164"/>
    </row>
    <row r="946">
      <c r="C946" s="166"/>
      <c r="H946" s="164"/>
    </row>
    <row r="947">
      <c r="C947" s="166"/>
      <c r="H947" s="164"/>
    </row>
    <row r="948">
      <c r="C948" s="166"/>
      <c r="H948" s="164"/>
    </row>
    <row r="949">
      <c r="C949" s="166"/>
      <c r="H949" s="164"/>
    </row>
    <row r="950">
      <c r="C950" s="166"/>
      <c r="H950" s="164"/>
    </row>
    <row r="951">
      <c r="C951" s="166"/>
      <c r="H951" s="164"/>
    </row>
    <row r="952">
      <c r="C952" s="166"/>
      <c r="H952" s="164"/>
    </row>
    <row r="953">
      <c r="C953" s="166"/>
      <c r="H953" s="164"/>
    </row>
    <row r="954">
      <c r="C954" s="166"/>
      <c r="H954" s="164"/>
    </row>
    <row r="955">
      <c r="C955" s="166"/>
      <c r="H955" s="164"/>
    </row>
    <row r="956">
      <c r="C956" s="166"/>
      <c r="H956" s="164"/>
    </row>
    <row r="957">
      <c r="C957" s="166"/>
      <c r="H957" s="164"/>
    </row>
    <row r="958">
      <c r="C958" s="166"/>
      <c r="H958" s="164"/>
    </row>
    <row r="959">
      <c r="C959" s="166"/>
      <c r="H959" s="164"/>
    </row>
    <row r="960">
      <c r="C960" s="166"/>
      <c r="H960" s="164"/>
    </row>
    <row r="961">
      <c r="C961" s="166"/>
      <c r="H961" s="164"/>
    </row>
    <row r="962">
      <c r="C962" s="166"/>
      <c r="H962" s="164"/>
    </row>
    <row r="963">
      <c r="C963" s="166"/>
      <c r="H963" s="164"/>
    </row>
    <row r="964">
      <c r="C964" s="166"/>
      <c r="H964" s="164"/>
    </row>
    <row r="965">
      <c r="C965" s="166"/>
      <c r="H965" s="164"/>
    </row>
    <row r="966">
      <c r="C966" s="166"/>
      <c r="H966" s="164"/>
    </row>
    <row r="967">
      <c r="C967" s="166"/>
      <c r="H967" s="164"/>
    </row>
    <row r="968">
      <c r="C968" s="166"/>
      <c r="H968" s="164"/>
    </row>
    <row r="969">
      <c r="C969" s="166"/>
      <c r="H969" s="164"/>
    </row>
    <row r="970">
      <c r="C970" s="166"/>
      <c r="H970" s="164"/>
    </row>
    <row r="971">
      <c r="C971" s="166"/>
      <c r="H971" s="164"/>
    </row>
    <row r="972">
      <c r="C972" s="166"/>
      <c r="H972" s="164"/>
    </row>
    <row r="973">
      <c r="C973" s="166"/>
      <c r="H973" s="164"/>
    </row>
    <row r="974">
      <c r="C974" s="166"/>
      <c r="H974" s="164"/>
    </row>
    <row r="975">
      <c r="C975" s="166"/>
      <c r="H975" s="164"/>
    </row>
    <row r="976">
      <c r="C976" s="166"/>
      <c r="H976" s="164"/>
    </row>
    <row r="977">
      <c r="C977" s="166"/>
      <c r="H977" s="164"/>
    </row>
    <row r="978">
      <c r="C978" s="166"/>
      <c r="H978" s="164"/>
    </row>
    <row r="979">
      <c r="C979" s="166"/>
      <c r="H979" s="164"/>
    </row>
    <row r="980">
      <c r="C980" s="166"/>
      <c r="H980" s="164"/>
    </row>
    <row r="981">
      <c r="C981" s="166"/>
      <c r="H981" s="164"/>
    </row>
    <row r="982">
      <c r="C982" s="166"/>
      <c r="H982" s="164"/>
    </row>
    <row r="983">
      <c r="C983" s="166"/>
      <c r="H983" s="164"/>
    </row>
    <row r="984">
      <c r="C984" s="166"/>
      <c r="H984" s="164"/>
    </row>
    <row r="985">
      <c r="C985" s="166"/>
      <c r="H985" s="164"/>
    </row>
    <row r="986">
      <c r="C986" s="166"/>
      <c r="H986" s="164"/>
    </row>
    <row r="987">
      <c r="C987" s="166"/>
      <c r="H987" s="164"/>
    </row>
    <row r="988">
      <c r="C988" s="166"/>
      <c r="H988" s="164"/>
    </row>
    <row r="989">
      <c r="C989" s="166"/>
      <c r="H989" s="164"/>
    </row>
    <row r="990">
      <c r="C990" s="166"/>
      <c r="H990" s="164"/>
    </row>
    <row r="991">
      <c r="C991" s="166"/>
      <c r="H991" s="164"/>
    </row>
    <row r="992">
      <c r="C992" s="166"/>
      <c r="H992" s="164"/>
    </row>
    <row r="993">
      <c r="C993" s="166"/>
      <c r="H993" s="164"/>
    </row>
    <row r="994">
      <c r="C994" s="166"/>
      <c r="H994" s="164"/>
    </row>
    <row r="995">
      <c r="C995" s="166"/>
      <c r="H995" s="164"/>
    </row>
    <row r="996">
      <c r="C996" s="166"/>
      <c r="H996" s="164"/>
    </row>
    <row r="997">
      <c r="C997" s="166"/>
      <c r="H997" s="164"/>
    </row>
    <row r="998">
      <c r="C998" s="166"/>
      <c r="H998" s="164"/>
    </row>
    <row r="999">
      <c r="C999" s="166"/>
      <c r="H999" s="164"/>
    </row>
    <row r="1000">
      <c r="C1000" s="166"/>
      <c r="H1000" s="164"/>
    </row>
  </sheetData>
  <drawing r:id="rId1"/>
</worksheet>
</file>